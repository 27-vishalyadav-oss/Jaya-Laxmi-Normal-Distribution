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D:\FIIB\stats\image\"/>
    </mc:Choice>
  </mc:AlternateContent>
  <xr:revisionPtr revIDLastSave="0" documentId="13_ncr:1_{08924FF5-F78B-419F-8306-3D178EEDE52F}" xr6:coauthVersionLast="47" xr6:coauthVersionMax="47" xr10:uidLastSave="{00000000-0000-0000-0000-000000000000}"/>
  <bookViews>
    <workbookView xWindow="-108" yWindow="-108" windowWidth="23256" windowHeight="12456" firstSheet="3" activeTab="8" xr2:uid="{00000000-000D-0000-FFFF-FFFF00000000}"/>
  </bookViews>
  <sheets>
    <sheet name="Copyright@ IIMB" sheetId="5" r:id="rId1"/>
    <sheet name="Detail1" sheetId="20" r:id="rId2"/>
    <sheet name="crop insured vs people trained" sheetId="19" r:id="rId3"/>
    <sheet name="Hypotheis Test Data" sheetId="7" r:id="rId4"/>
    <sheet name="Problem no. 1" sheetId="29" r:id="rId5"/>
    <sheet name="Problem no. 2" sheetId="34" r:id="rId6"/>
    <sheet name="income across regions" sheetId="26" r:id="rId7"/>
    <sheet name="Regression Data" sheetId="8" r:id="rId8"/>
    <sheet name="Dashboard" sheetId="31" r:id="rId9"/>
  </sheets>
  <definedNames>
    <definedName name="_xlnm._FilterDatabase" localSheetId="3" hidden="1">'Hypotheis Test Data'!$A$1:$K$1219</definedName>
    <definedName name="_xlnm._FilterDatabase" localSheetId="4" hidden="1">'Problem no. 1'!$B$2:$C$1220</definedName>
    <definedName name="_xlnm._FilterDatabase" localSheetId="7" hidden="1">'Regression Data'!$A$1:$Y$509</definedName>
    <definedName name="_xlchart.v1.0" hidden="1">'income across regions'!$A$3</definedName>
    <definedName name="_xlchart.v1.1" hidden="1">'income across regions'!$A$4:$A$74</definedName>
    <definedName name="_xlchart.v1.10" hidden="1">'income across regions'!$A$3</definedName>
    <definedName name="_xlchart.v1.11" hidden="1">'income across regions'!$A$4:$A$74</definedName>
    <definedName name="_xlchart.v1.12" hidden="1">'income across regions'!$B$3</definedName>
    <definedName name="_xlchart.v1.13" hidden="1">'income across regions'!$B$4:$B$74</definedName>
    <definedName name="_xlchart.v1.14" hidden="1">'income across regions'!$C$3</definedName>
    <definedName name="_xlchart.v1.15" hidden="1">'income across regions'!$C$4:$C$74</definedName>
    <definedName name="_xlchart.v1.16" hidden="1">'income across regions'!$D$3</definedName>
    <definedName name="_xlchart.v1.17" hidden="1">'income across regions'!$D$4:$D$74</definedName>
    <definedName name="_xlchart.v1.18" hidden="1">'income across regions'!$E$3</definedName>
    <definedName name="_xlchart.v1.19" hidden="1">'income across regions'!$E$4:$E$74</definedName>
    <definedName name="_xlchart.v1.2" hidden="1">'income across regions'!$B$3</definedName>
    <definedName name="_xlchart.v1.3" hidden="1">'income across regions'!$B$4:$B$74</definedName>
    <definedName name="_xlchart.v1.4" hidden="1">'income across regions'!$C$3</definedName>
    <definedName name="_xlchart.v1.5" hidden="1">'income across regions'!$C$4:$C$74</definedName>
    <definedName name="_xlchart.v1.6" hidden="1">'income across regions'!$D$3</definedName>
    <definedName name="_xlchart.v1.7" hidden="1">'income across regions'!$D$4:$D$74</definedName>
    <definedName name="_xlchart.v1.8" hidden="1">'income across regions'!$E$3</definedName>
    <definedName name="_xlchart.v1.9" hidden="1">'income across regions'!$E$4:$E$74</definedName>
    <definedName name="Slicer_District">#N/A</definedName>
    <definedName name="Slicer_District1">#N/A</definedName>
    <definedName name="Slicer_training_on_sericulture">#N/A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Z4" i="29" l="1"/>
  <c r="Z5" i="29"/>
  <c r="Z6" i="29"/>
  <c r="Z7" i="29"/>
  <c r="Z8" i="29"/>
  <c r="Z9" i="29"/>
  <c r="Z10" i="29"/>
  <c r="Z11" i="29"/>
  <c r="Z12" i="29"/>
  <c r="Z13" i="29"/>
  <c r="Z14" i="29"/>
  <c r="Z15" i="29"/>
  <c r="Z16" i="29"/>
  <c r="Z17" i="29"/>
  <c r="Z18" i="29"/>
  <c r="Z19" i="29"/>
  <c r="Z20" i="29"/>
  <c r="Z21" i="29"/>
  <c r="Z22" i="29"/>
  <c r="Z23" i="29"/>
  <c r="Z24" i="29"/>
  <c r="Z25" i="29"/>
  <c r="Z26" i="29"/>
  <c r="Z27" i="29"/>
  <c r="Z3" i="29"/>
  <c r="Y4" i="29"/>
  <c r="Y5" i="29"/>
  <c r="Y6" i="29"/>
  <c r="Y7" i="29"/>
  <c r="Y8" i="29"/>
  <c r="Y9" i="29"/>
  <c r="Y10" i="29"/>
  <c r="Y11" i="29"/>
  <c r="Y12" i="29"/>
  <c r="Y13" i="29"/>
  <c r="Y14" i="29"/>
  <c r="Y15" i="29"/>
  <c r="Y16" i="29"/>
  <c r="Y17" i="29"/>
  <c r="Y18" i="29"/>
  <c r="Y19" i="29"/>
  <c r="Y20" i="29"/>
  <c r="Y21" i="29"/>
  <c r="Y22" i="29"/>
  <c r="Y23" i="29"/>
  <c r="Y24" i="29"/>
  <c r="Y25" i="29"/>
  <c r="Y26" i="29"/>
  <c r="Y27" i="29"/>
  <c r="Y3" i="29"/>
  <c r="X4" i="29"/>
  <c r="X5" i="29" s="1"/>
  <c r="X6" i="29" s="1"/>
  <c r="X7" i="29" s="1"/>
  <c r="X8" i="29" s="1"/>
  <c r="X9" i="29" s="1"/>
  <c r="X10" i="29" s="1"/>
  <c r="X11" i="29" s="1"/>
  <c r="X12" i="29" s="1"/>
  <c r="X13" i="29" s="1"/>
  <c r="X14" i="29" s="1"/>
  <c r="X15" i="29" s="1"/>
  <c r="X16" i="29" s="1"/>
  <c r="X17" i="29" s="1"/>
  <c r="X18" i="29" s="1"/>
  <c r="X19" i="29" s="1"/>
  <c r="X20" i="29" s="1"/>
  <c r="X21" i="29" s="1"/>
  <c r="X22" i="29" s="1"/>
  <c r="X23" i="29" s="1"/>
  <c r="X24" i="29" s="1"/>
  <c r="X25" i="29" s="1"/>
  <c r="X26" i="29" s="1"/>
  <c r="X27" i="29" s="1"/>
  <c r="K585" i="29"/>
  <c r="K583" i="29"/>
  <c r="I585" i="29"/>
  <c r="I583" i="29"/>
  <c r="O9" i="29" l="1"/>
  <c r="N9" i="29"/>
  <c r="O7" i="29"/>
  <c r="N7" i="29"/>
  <c r="O4" i="29"/>
  <c r="N4" i="29"/>
  <c r="F4" i="26"/>
  <c r="G4" i="26"/>
  <c r="H4" i="26"/>
  <c r="I4" i="26"/>
  <c r="J4" i="26"/>
  <c r="N11" i="29" l="1"/>
</calcChain>
</file>

<file path=xl/sharedStrings.xml><?xml version="1.0" encoding="utf-8"?>
<sst xmlns="http://schemas.openxmlformats.org/spreadsheetml/2006/main" count="4770" uniqueCount="96">
  <si>
    <t>This spreadsheet was prepared by U Dinesh Kumar, Professor of Decison Sciences and Information Systems. Copyright © 2018 by the Indian Institute of Management Bangalore. No part of the publication may be reproduced or transmitted in any form or by any means – electronic, mechanical, photocopying, recording, or otherwise (including internet) – without the permission of the Indian Institute of Management Bangalore.</t>
  </si>
  <si>
    <t>person_id</t>
  </si>
  <si>
    <t>income_per_acre</t>
  </si>
  <si>
    <t>gender</t>
  </si>
  <si>
    <t>female</t>
  </si>
  <si>
    <t>training_on_sericulture</t>
  </si>
  <si>
    <t>crop_insured</t>
  </si>
  <si>
    <t>chawki_bivol</t>
  </si>
  <si>
    <t>chawki_combo_other</t>
  </si>
  <si>
    <t>district</t>
  </si>
  <si>
    <t>loan_repaid</t>
  </si>
  <si>
    <t>affected_by_pest</t>
  </si>
  <si>
    <t>Female</t>
  </si>
  <si>
    <t>Bellary</t>
  </si>
  <si>
    <t>Male</t>
  </si>
  <si>
    <t>Chikballapur</t>
  </si>
  <si>
    <t>Tumakuru</t>
  </si>
  <si>
    <t>Belagavi</t>
  </si>
  <si>
    <t>Mandya</t>
  </si>
  <si>
    <t>loan_amount</t>
  </si>
  <si>
    <t>years_of_exp_in_sericulture</t>
  </si>
  <si>
    <t>krishi_pond</t>
  </si>
  <si>
    <t>borewell_recharge</t>
  </si>
  <si>
    <t>rain_harvesting</t>
  </si>
  <si>
    <t>own_compost_manure</t>
  </si>
  <si>
    <t>own_vermi_compost</t>
  </si>
  <si>
    <t>trenching_mulching</t>
  </si>
  <si>
    <t>bio_fertilizers</t>
  </si>
  <si>
    <t>mechanization</t>
  </si>
  <si>
    <t>mulberry_diseases</t>
  </si>
  <si>
    <t>rearing_cost</t>
  </si>
  <si>
    <t>instrument_mgmt_cost</t>
  </si>
  <si>
    <t>temp_mgmt</t>
  </si>
  <si>
    <t>humidity_mgmt</t>
  </si>
  <si>
    <t>airvent_temp_mgmt</t>
  </si>
  <si>
    <t>rotary_mounting</t>
  </si>
  <si>
    <t>seri_total_subsidy</t>
  </si>
  <si>
    <t>rearing_cost_missing</t>
  </si>
  <si>
    <t>Grand Total</t>
  </si>
  <si>
    <t>Row Labels</t>
  </si>
  <si>
    <t>Count of training_on_sericulture</t>
  </si>
  <si>
    <t>Details for Average of income_per_acre - crop_insured: 0</t>
  </si>
  <si>
    <t>income_per_acre tumukar</t>
  </si>
  <si>
    <t>income_per_acre mandaya</t>
  </si>
  <si>
    <t>income per acre bellary</t>
  </si>
  <si>
    <t>income_per_acre chik</t>
  </si>
  <si>
    <t>income_per_acre belagavi</t>
  </si>
  <si>
    <t>average income tumukar</t>
  </si>
  <si>
    <t>average income mandaya</t>
  </si>
  <si>
    <t>average income bellary</t>
  </si>
  <si>
    <t>average income chik</t>
  </si>
  <si>
    <t>average income belagavi</t>
  </si>
  <si>
    <t>Farmer Income affected by pest</t>
  </si>
  <si>
    <t>Farmer Income not affected by pest</t>
  </si>
  <si>
    <t>Group 2</t>
  </si>
  <si>
    <t>Group 1</t>
  </si>
  <si>
    <t>Income affected by pest</t>
  </si>
  <si>
    <t xml:space="preserve">MEAN </t>
  </si>
  <si>
    <t>Income not affected by pest</t>
  </si>
  <si>
    <t>STV DEV</t>
  </si>
  <si>
    <t>COUNT</t>
  </si>
  <si>
    <t>STV ERROR</t>
  </si>
  <si>
    <t>t-Test: Two-Sample Assuming Unequal Variances</t>
  </si>
  <si>
    <t>Variable 1</t>
  </si>
  <si>
    <t>Variable 2</t>
  </si>
  <si>
    <t>Mean</t>
  </si>
  <si>
    <t>Variance</t>
  </si>
  <si>
    <t>Observations</t>
  </si>
  <si>
    <t>Hypothesized Mean Difference</t>
  </si>
  <si>
    <t>df</t>
  </si>
  <si>
    <t>t Stat</t>
  </si>
  <si>
    <t>P(T&lt;=t) one-tail</t>
  </si>
  <si>
    <t>t Critical one-tail</t>
  </si>
  <si>
    <t>P(T&lt;=t) two-tail</t>
  </si>
  <si>
    <t>t Critical two-tail</t>
  </si>
  <si>
    <t>Hypotheses</t>
  </si>
  <si>
    <r>
      <t xml:space="preserve">H₀ (Null Hypothesis): </t>
    </r>
    <r>
      <rPr>
        <sz val="11"/>
        <color rgb="FF000000"/>
        <rFont val="Aptos Narrow"/>
        <family val="2"/>
      </rPr>
      <t>There is no difference in mean income per acre between farmers affected by pest and farmers not affected by pest.H₀:</t>
    </r>
    <r>
      <rPr>
        <b/>
        <sz val="11"/>
        <color rgb="FF000000"/>
        <rFont val="Aptos Narrow"/>
        <family val="2"/>
      </rPr>
      <t>(µ₁ = µ₂)</t>
    </r>
  </si>
  <si>
    <r>
      <rPr>
        <b/>
        <sz val="11"/>
        <color rgb="FF000000"/>
        <rFont val="Aptos Narrow"/>
        <family val="2"/>
      </rPr>
      <t>H₁ (Alternative Hypothesis):</t>
    </r>
    <r>
      <rPr>
        <sz val="11"/>
        <color rgb="FF000000"/>
        <rFont val="Aptos Narrow"/>
        <family val="2"/>
      </rPr>
      <t xml:space="preserve"> There is a difference in mean income per acre between farmers affected by pest and farmers not affected by pest. (H₁:µ₁ ≠ µ₂)</t>
    </r>
  </si>
  <si>
    <t>Results</t>
  </si>
  <si>
    <r>
      <rPr>
        <b/>
        <sz val="11"/>
        <color theme="1"/>
        <rFont val="Calibri"/>
        <family val="2"/>
        <scheme val="minor"/>
      </rPr>
      <t>Mean (Group 1, affected by pest):</t>
    </r>
    <r>
      <rPr>
        <sz val="11"/>
        <color theme="1"/>
        <rFont val="Calibri"/>
        <family val="2"/>
        <scheme val="minor"/>
      </rPr>
      <t xml:space="preserve"> 35476.58</t>
    </r>
  </si>
  <si>
    <r>
      <rPr>
        <b/>
        <sz val="11"/>
        <color theme="1"/>
        <rFont val="Calibri"/>
        <family val="2"/>
        <scheme val="minor"/>
      </rPr>
      <t>Mean (Group 2, affected by pest):</t>
    </r>
    <r>
      <rPr>
        <sz val="11"/>
        <color theme="1"/>
        <rFont val="Calibri"/>
        <family val="2"/>
        <scheme val="minor"/>
      </rPr>
      <t xml:space="preserve"> 41367.41</t>
    </r>
  </si>
  <si>
    <r>
      <rPr>
        <b/>
        <sz val="11"/>
        <color theme="1"/>
        <rFont val="Calibri"/>
        <family val="2"/>
        <scheme val="minor"/>
      </rPr>
      <t>Difference :</t>
    </r>
    <r>
      <rPr>
        <sz val="11"/>
        <color theme="1"/>
        <rFont val="Calibri"/>
        <family val="2"/>
        <scheme val="minor"/>
      </rPr>
      <t xml:space="preserve"> apporx 5891 (farmers not affected by pest earn more)</t>
    </r>
  </si>
  <si>
    <r>
      <rPr>
        <b/>
        <sz val="11"/>
        <color theme="1"/>
        <rFont val="Calibri"/>
        <family val="2"/>
        <scheme val="minor"/>
      </rPr>
      <t>t stat:</t>
    </r>
    <r>
      <rPr>
        <sz val="11"/>
        <color theme="1"/>
        <rFont val="Calibri"/>
        <family val="2"/>
        <scheme val="minor"/>
      </rPr>
      <t xml:space="preserve"> -2.296</t>
    </r>
  </si>
  <si>
    <r>
      <rPr>
        <b/>
        <sz val="11"/>
        <color theme="1"/>
        <rFont val="Calibri"/>
        <family val="2"/>
        <scheme val="minor"/>
      </rPr>
      <t>p-value(two-tail):</t>
    </r>
    <r>
      <rPr>
        <sz val="11"/>
        <color theme="1"/>
        <rFont val="Calibri"/>
        <family val="2"/>
        <scheme val="minor"/>
      </rPr>
      <t xml:space="preserve"> 0.02185</t>
    </r>
  </si>
  <si>
    <r>
      <rPr>
        <b/>
        <sz val="11"/>
        <color theme="1"/>
        <rFont val="Calibri"/>
        <family val="2"/>
        <scheme val="minor"/>
      </rPr>
      <t>t critical(two-tail):</t>
    </r>
    <r>
      <rPr>
        <sz val="11"/>
        <color theme="1"/>
        <rFont val="Calibri"/>
        <family val="2"/>
        <scheme val="minor"/>
      </rPr>
      <t xml:space="preserve"> ±1.962</t>
    </r>
  </si>
  <si>
    <t>min</t>
  </si>
  <si>
    <t>max</t>
  </si>
  <si>
    <t>x axis</t>
  </si>
  <si>
    <t>farmers Income affected by pest</t>
  </si>
  <si>
    <t>farmers income not affected by pest</t>
  </si>
  <si>
    <t>Problem statement</t>
  </si>
  <si>
    <t>Not_using_chawki_bivol.</t>
  </si>
  <si>
    <t>Using_chawki_bivol.</t>
  </si>
  <si>
    <t>Trained.</t>
  </si>
  <si>
    <t>Untrained.</t>
  </si>
  <si>
    <t>Problem 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</si>
</sst>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i/>
      <sz val="14"/>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1"/>
      <color rgb="FF000000"/>
      <name val="Aptos Narrow"/>
      <family val="2"/>
    </font>
    <font>
      <b/>
      <sz val="11"/>
      <color rgb="FF000000"/>
      <name val="Aptos Narrow"/>
      <family val="2"/>
    </font>
    <font>
      <b/>
      <sz val="12"/>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theme="0"/>
        <bgColor indexed="64"/>
      </patternFill>
    </fill>
  </fills>
  <borders count="8">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0" borderId="0" xfId="0" applyFont="1" applyAlignment="1">
      <alignment horizontal="justify" vertical="center" wrapText="1"/>
    </xf>
    <xf numFmtId="11"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2" fillId="3" borderId="3" xfId="0" applyFont="1" applyFill="1" applyBorder="1"/>
    <xf numFmtId="0" fontId="0" fillId="2" borderId="3" xfId="0" applyFill="1" applyBorder="1"/>
    <xf numFmtId="0" fontId="0" fillId="0" borderId="2" xfId="0" applyBorder="1"/>
    <xf numFmtId="0" fontId="0" fillId="0" borderId="3" xfId="0" applyBorder="1"/>
    <xf numFmtId="0" fontId="0" fillId="0" borderId="4" xfId="0" applyBorder="1"/>
    <xf numFmtId="0" fontId="2" fillId="3" borderId="5" xfId="0" applyFont="1" applyFill="1" applyBorder="1"/>
    <xf numFmtId="1" fontId="2" fillId="3" borderId="1" xfId="0" applyNumberFormat="1" applyFont="1" applyFill="1" applyBorder="1"/>
    <xf numFmtId="0" fontId="2" fillId="3" borderId="1" xfId="0" applyFont="1" applyFill="1" applyBorder="1"/>
    <xf numFmtId="0" fontId="2" fillId="3" borderId="6" xfId="0" applyFont="1" applyFill="1" applyBorder="1"/>
    <xf numFmtId="0" fontId="0" fillId="2" borderId="5" xfId="0" applyFill="1" applyBorder="1"/>
    <xf numFmtId="1" fontId="0" fillId="2" borderId="1" xfId="0" applyNumberFormat="1" applyFill="1" applyBorder="1"/>
    <xf numFmtId="0" fontId="0" fillId="2" borderId="1" xfId="0" applyFill="1" applyBorder="1"/>
    <xf numFmtId="0" fontId="0" fillId="2" borderId="6" xfId="0" applyFill="1" applyBorder="1"/>
    <xf numFmtId="0" fontId="0" fillId="0" borderId="5" xfId="0" applyBorder="1"/>
    <xf numFmtId="1" fontId="0" fillId="0" borderId="1" xfId="0" applyNumberFormat="1" applyBorder="1"/>
    <xf numFmtId="0" fontId="0" fillId="0" borderId="1" xfId="0" applyBorder="1"/>
    <xf numFmtId="0" fontId="0" fillId="0" borderId="6" xfId="0" applyBorder="1"/>
    <xf numFmtId="1" fontId="0" fillId="0" borderId="3" xfId="0" applyNumberFormat="1" applyBorder="1"/>
    <xf numFmtId="0" fontId="3" fillId="0" borderId="0" xfId="0" applyFont="1"/>
    <xf numFmtId="2" fontId="0" fillId="2" borderId="3" xfId="0" applyNumberFormat="1" applyFill="1" applyBorder="1"/>
    <xf numFmtId="2" fontId="0" fillId="0" borderId="3" xfId="0" applyNumberFormat="1" applyBorder="1"/>
    <xf numFmtId="0" fontId="3" fillId="0" borderId="0" xfId="0" applyFont="1" applyAlignment="1">
      <alignment horizontal="center"/>
    </xf>
    <xf numFmtId="0" fontId="3" fillId="4" borderId="0" xfId="0" applyFont="1" applyFill="1" applyAlignment="1">
      <alignment horizontal="center"/>
    </xf>
    <xf numFmtId="0" fontId="0" fillId="4" borderId="0" xfId="0" applyFill="1"/>
    <xf numFmtId="2" fontId="0" fillId="0" borderId="0" xfId="0" applyNumberFormat="1"/>
    <xf numFmtId="0" fontId="4" fillId="0" borderId="7" xfId="0" applyFont="1" applyBorder="1" applyAlignment="1">
      <alignment horizontal="center"/>
    </xf>
    <xf numFmtId="0" fontId="0" fillId="0" borderId="7" xfId="0" applyBorder="1"/>
    <xf numFmtId="0" fontId="5" fillId="0" borderId="7" xfId="0" applyFont="1" applyBorder="1" applyAlignment="1">
      <alignment horizontal="center"/>
    </xf>
    <xf numFmtId="0" fontId="6" fillId="0" borderId="0" xfId="0" applyFont="1"/>
    <xf numFmtId="0" fontId="7" fillId="0" borderId="0" xfId="0" applyFont="1"/>
    <xf numFmtId="0" fontId="3" fillId="4" borderId="0" xfId="0" applyFont="1" applyFill="1"/>
    <xf numFmtId="0" fontId="7" fillId="4" borderId="0" xfId="0" applyFont="1" applyFill="1"/>
    <xf numFmtId="0" fontId="0" fillId="5" borderId="0" xfId="0" applyFill="1"/>
    <xf numFmtId="0" fontId="9" fillId="4" borderId="0" xfId="0" applyFont="1" applyFill="1" applyAlignment="1">
      <alignment vertical="center"/>
    </xf>
    <xf numFmtId="0" fontId="9" fillId="4" borderId="0" xfId="0" applyFont="1" applyFill="1" applyAlignment="1">
      <alignment horizontal="center"/>
    </xf>
    <xf numFmtId="0" fontId="0" fillId="4" borderId="0" xfId="0" applyFill="1" applyAlignment="1">
      <alignment horizontal="center"/>
    </xf>
    <xf numFmtId="0" fontId="0" fillId="0" borderId="0" xfId="0" applyAlignment="1">
      <alignment horizontal="center"/>
    </xf>
    <xf numFmtId="0" fontId="0" fillId="0" borderId="0" xfId="0" applyAlignment="1">
      <alignment horizontal="left"/>
    </xf>
    <xf numFmtId="0" fontId="8"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[Learning team 6.xlsx]crop insured vs people trained!PivotTable7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'crop insured vs people trained'!$B$3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'crop insured vs people trained'!$A$4:$A$6</c:f>
              <c:strCache>
                <c:ptCount val="2"/>
                <c:pt idx="0">
                  <c:v>0</c:v>
                </c:pt>
                <c:pt idx="1">
                  <c:v>1</c:v>
                </c:pt>
              </c:strCache>
            </c:strRef>
          </c:cat>
          <c:val>
            <c:numRef>
              <c:f>'crop insured vs people trained'!$B$4:$B$6</c:f>
              <c:numCache>
                <c:formatCode>General</c:formatCode>
                <c:ptCount val="2"/>
                <c:pt idx="0">
                  <c:v>1103</c:v>
                </c:pt>
                <c:pt idx="1">
                  <c:v>115</c:v>
                </c:pt>
              </c:numCache>
            </c:numRef>
          </c:val>
          <c:extLst>
            <c:ext xmlns:c16="http://schemas.microsoft.com/office/drawing/2014/chart" uri="{C3380CC4-5D6E-409C-BE32-E72D297353CC}">
              <c16:uniqueId val="{00000000-975E-486A-9A35-62188EC95DC0}"/>
            </c:ext>
          </c:extLst>
        </c:ser>
        <c:dLbls>
          <c:dLblPos val="outEnd"/>
          <c:showLegendKey val="0"/>
          <c:showVal val="1"/>
          <c:showCatName val="0"/>
          <c:showSerName val="0"/>
          <c:showPercent val="0"/>
          <c:showBubbleSize val="0"/>
        </c:dLbls>
        <c:gapWidth val="219"/>
        <c:overlap val="-27"/>
        <c:axId val="202552928"/>
        <c:axId val="202549568"/>
      </c:barChart>
      <c:catAx>
        <c:axId val="20255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49568"/>
        <c:crosses val="autoZero"/>
        <c:auto val="1"/>
        <c:lblAlgn val="ctr"/>
        <c:lblOffset val="100"/>
        <c:noMultiLvlLbl val="0"/>
      </c:catAx>
      <c:valAx>
        <c:axId val="20254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5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Farmers</a:t>
            </a:r>
            <a:r>
              <a:rPr lang="en-IN" baseline="0"/>
              <a:t> </a:t>
            </a:r>
            <a:r>
              <a:rPr lang="en-IN"/>
              <a:t>Income</a:t>
            </a:r>
            <a:r>
              <a:rPr lang="en-IN" baseline="0"/>
              <a:t> affected by pest or not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'Problem no. 1'!$Y$2</c:f>
              <c:strCache>
                <c:ptCount val="1"/>
                <c:pt idx="0">
                  <c:v>farmers Income affected by pest</c:v>
                </c:pt>
              </c:strCache>
            </c:strRef>
          </c:tx>
          <c:spPr>
            <a:ln w="28575" cap="rnd">
              <a:solidFill>
                <a:schemeClr val="accent1"/>
              </a:solidFill>
              <a:round/>
            </a:ln>
            <a:effectLst/>
          </c:spPr>
          <c:marker>
            <c:symbol val="none"/>
          </c:marker>
          <c:cat>
            <c:numRef>
              <c:f>'Problem no. 1'!$X$3:$X$27</c:f>
              <c:numCache>
                <c:formatCode>General</c:formatCode>
                <c:ptCount val="25"/>
                <c:pt idx="0">
                  <c:v>-80000</c:v>
                </c:pt>
                <c:pt idx="1">
                  <c:v>-70000</c:v>
                </c:pt>
                <c:pt idx="2">
                  <c:v>-60000</c:v>
                </c:pt>
                <c:pt idx="3">
                  <c:v>-50000</c:v>
                </c:pt>
                <c:pt idx="4">
                  <c:v>-40000</c:v>
                </c:pt>
                <c:pt idx="5">
                  <c:v>-30000</c:v>
                </c:pt>
                <c:pt idx="6">
                  <c:v>-20000</c:v>
                </c:pt>
                <c:pt idx="7">
                  <c:v>-10000</c:v>
                </c:pt>
                <c:pt idx="8">
                  <c:v>0</c:v>
                </c:pt>
                <c:pt idx="9">
                  <c:v>10000</c:v>
                </c:pt>
                <c:pt idx="10">
                  <c:v>20000</c:v>
                </c:pt>
                <c:pt idx="11">
                  <c:v>30000</c:v>
                </c:pt>
                <c:pt idx="12">
                  <c:v>40000</c:v>
                </c:pt>
                <c:pt idx="13">
                  <c:v>50000</c:v>
                </c:pt>
                <c:pt idx="14">
                  <c:v>60000</c:v>
                </c:pt>
                <c:pt idx="15">
                  <c:v>70000</c:v>
                </c:pt>
                <c:pt idx="16">
                  <c:v>80000</c:v>
                </c:pt>
                <c:pt idx="17">
                  <c:v>90000</c:v>
                </c:pt>
                <c:pt idx="18">
                  <c:v>100000</c:v>
                </c:pt>
                <c:pt idx="19">
                  <c:v>110000</c:v>
                </c:pt>
                <c:pt idx="20">
                  <c:v>120000</c:v>
                </c:pt>
                <c:pt idx="21">
                  <c:v>130000</c:v>
                </c:pt>
                <c:pt idx="22">
                  <c:v>140000</c:v>
                </c:pt>
                <c:pt idx="23">
                  <c:v>150000</c:v>
                </c:pt>
                <c:pt idx="24">
                  <c:v>160000</c:v>
                </c:pt>
              </c:numCache>
            </c:numRef>
          </c:cat>
          <c:val>
            <c:numRef>
              <c:f>'Problem no. 1'!$Y$3:$Y$27</c:f>
              <c:numCache>
                <c:formatCode>General</c:formatCode>
                <c:ptCount val="25"/>
                <c:pt idx="0">
                  <c:v>1.7076748970777044E-7</c:v>
                </c:pt>
                <c:pt idx="1">
                  <c:v>3.3427517735594948E-7</c:v>
                </c:pt>
                <c:pt idx="2">
                  <c:v>6.1574284331835212E-7</c:v>
                </c:pt>
                <c:pt idx="3">
                  <c:v>1.0673108614320436E-6</c:v>
                </c:pt>
                <c:pt idx="4">
                  <c:v>1.7409199278146474E-6</c:v>
                </c:pt>
                <c:pt idx="5">
                  <c:v>2.672163179349307E-6</c:v>
                </c:pt>
                <c:pt idx="6">
                  <c:v>3.8596103787047463E-6</c:v>
                </c:pt>
                <c:pt idx="7">
                  <c:v>5.2459031340838738E-6</c:v>
                </c:pt>
                <c:pt idx="8">
                  <c:v>6.7095497871157032E-6</c:v>
                </c:pt>
                <c:pt idx="9">
                  <c:v>8.0753769515471364E-6</c:v>
                </c:pt>
                <c:pt idx="10">
                  <c:v>9.1459440314732493E-6</c:v>
                </c:pt>
                <c:pt idx="11">
                  <c:v>9.7474403490047728E-6</c:v>
                </c:pt>
                <c:pt idx="12">
                  <c:v>9.7757242846607914E-6</c:v>
                </c:pt>
                <c:pt idx="13">
                  <c:v>9.2257910348636824E-6</c:v>
                </c:pt>
                <c:pt idx="14">
                  <c:v>8.1932195811235435E-6</c:v>
                </c:pt>
                <c:pt idx="15">
                  <c:v>6.8470245694060561E-6</c:v>
                </c:pt>
                <c:pt idx="16">
                  <c:v>5.3845013425729728E-6</c:v>
                </c:pt>
                <c:pt idx="17">
                  <c:v>3.9846061801914327E-6</c:v>
                </c:pt>
                <c:pt idx="18">
                  <c:v>2.774735753025554E-6</c:v>
                </c:pt>
                <c:pt idx="19">
                  <c:v>1.8182523914197038E-6</c:v>
                </c:pt>
                <c:pt idx="20">
                  <c:v>1.1211998113733541E-6</c:v>
                </c:pt>
                <c:pt idx="21">
                  <c:v>6.505911869273544E-7</c:v>
                </c:pt>
                <c:pt idx="22">
                  <c:v>3.5524636856787578E-7</c:v>
                </c:pt>
                <c:pt idx="23">
                  <c:v>1.8253553778081313E-7</c:v>
                </c:pt>
                <c:pt idx="24">
                  <c:v>8.8259512340106467E-8</c:v>
                </c:pt>
              </c:numCache>
            </c:numRef>
          </c:val>
          <c:smooth val="0"/>
          <c:extLst>
            <c:ext xmlns:c16="http://schemas.microsoft.com/office/drawing/2014/chart" uri="{C3380CC4-5D6E-409C-BE32-E72D297353CC}">
              <c16:uniqueId val="{00000000-544A-4608-A385-6AAFFA116297}"/>
            </c:ext>
          </c:extLst>
        </c:ser>
        <c:ser>
          <c:idx val="1"/>
          <c:order val="1"/>
          <c:tx>
            <c:strRef>
              <c:f>'Problem no. 1'!$Z$2</c:f>
              <c:strCache>
                <c:ptCount val="1"/>
                <c:pt idx="0">
                  <c:v>farmers income not affected by pest</c:v>
                </c:pt>
              </c:strCache>
            </c:strRef>
          </c:tx>
          <c:spPr>
            <a:ln w="28575" cap="rnd">
              <a:solidFill>
                <a:schemeClr val="accent2"/>
              </a:solidFill>
              <a:round/>
            </a:ln>
            <a:effectLst/>
          </c:spPr>
          <c:marker>
            <c:symbol val="none"/>
          </c:marker>
          <c:cat>
            <c:numRef>
              <c:f>'Problem no. 1'!$X$3:$X$27</c:f>
              <c:numCache>
                <c:formatCode>General</c:formatCode>
                <c:ptCount val="25"/>
                <c:pt idx="0">
                  <c:v>-80000</c:v>
                </c:pt>
                <c:pt idx="1">
                  <c:v>-70000</c:v>
                </c:pt>
                <c:pt idx="2">
                  <c:v>-60000</c:v>
                </c:pt>
                <c:pt idx="3">
                  <c:v>-50000</c:v>
                </c:pt>
                <c:pt idx="4">
                  <c:v>-40000</c:v>
                </c:pt>
                <c:pt idx="5">
                  <c:v>-30000</c:v>
                </c:pt>
                <c:pt idx="6">
                  <c:v>-20000</c:v>
                </c:pt>
                <c:pt idx="7">
                  <c:v>-10000</c:v>
                </c:pt>
                <c:pt idx="8">
                  <c:v>0</c:v>
                </c:pt>
                <c:pt idx="9">
                  <c:v>10000</c:v>
                </c:pt>
                <c:pt idx="10">
                  <c:v>20000</c:v>
                </c:pt>
                <c:pt idx="11">
                  <c:v>30000</c:v>
                </c:pt>
                <c:pt idx="12">
                  <c:v>40000</c:v>
                </c:pt>
                <c:pt idx="13">
                  <c:v>50000</c:v>
                </c:pt>
                <c:pt idx="14">
                  <c:v>60000</c:v>
                </c:pt>
                <c:pt idx="15">
                  <c:v>70000</c:v>
                </c:pt>
                <c:pt idx="16">
                  <c:v>80000</c:v>
                </c:pt>
                <c:pt idx="17">
                  <c:v>90000</c:v>
                </c:pt>
                <c:pt idx="18">
                  <c:v>100000</c:v>
                </c:pt>
                <c:pt idx="19">
                  <c:v>110000</c:v>
                </c:pt>
                <c:pt idx="20">
                  <c:v>120000</c:v>
                </c:pt>
                <c:pt idx="21">
                  <c:v>130000</c:v>
                </c:pt>
                <c:pt idx="22">
                  <c:v>140000</c:v>
                </c:pt>
                <c:pt idx="23">
                  <c:v>150000</c:v>
                </c:pt>
                <c:pt idx="24">
                  <c:v>160000</c:v>
                </c:pt>
              </c:numCache>
            </c:numRef>
          </c:cat>
          <c:val>
            <c:numRef>
              <c:f>'Problem no. 1'!$Z$3:$Z$27</c:f>
              <c:numCache>
                <c:formatCode>General</c:formatCode>
                <c:ptCount val="25"/>
                <c:pt idx="0">
                  <c:v>2.105794136621974E-7</c:v>
                </c:pt>
                <c:pt idx="1">
                  <c:v>3.8093351369619136E-7</c:v>
                </c:pt>
                <c:pt idx="2">
                  <c:v>6.5491037847338006E-7</c:v>
                </c:pt>
                <c:pt idx="3">
                  <c:v>1.0700744206885928E-6</c:v>
                </c:pt>
                <c:pt idx="4">
                  <c:v>1.6616728051051308E-6</c:v>
                </c:pt>
                <c:pt idx="5">
                  <c:v>2.4523161685379023E-6</c:v>
                </c:pt>
                <c:pt idx="6">
                  <c:v>3.4395912102742707E-6</c:v>
                </c:pt>
                <c:pt idx="7">
                  <c:v>4.5849712742678063E-6</c:v>
                </c:pt>
                <c:pt idx="8">
                  <c:v>5.8085245247750241E-6</c:v>
                </c:pt>
                <c:pt idx="9">
                  <c:v>6.9934980055459859E-6</c:v>
                </c:pt>
                <c:pt idx="10">
                  <c:v>8.0024414080788699E-6</c:v>
                </c:pt>
                <c:pt idx="11">
                  <c:v>8.7026189964365822E-6</c:v>
                </c:pt>
                <c:pt idx="12">
                  <c:v>8.9944965058801388E-6</c:v>
                </c:pt>
                <c:pt idx="13">
                  <c:v>8.8349310422807902E-6</c:v>
                </c:pt>
                <c:pt idx="14">
                  <c:v>8.2476246990807023E-6</c:v>
                </c:pt>
                <c:pt idx="15">
                  <c:v>7.3173535066467589E-6</c:v>
                </c:pt>
                <c:pt idx="16">
                  <c:v>6.1699067797609627E-6</c:v>
                </c:pt>
                <c:pt idx="17">
                  <c:v>4.9442746548229958E-6</c:v>
                </c:pt>
                <c:pt idx="18">
                  <c:v>3.7655289682063108E-6</c:v>
                </c:pt>
                <c:pt idx="19">
                  <c:v>2.7255165141144345E-6</c:v>
                </c:pt>
                <c:pt idx="20">
                  <c:v>1.8748695784908149E-6</c:v>
                </c:pt>
                <c:pt idx="21">
                  <c:v>1.2257241035829478E-6</c:v>
                </c:pt>
                <c:pt idx="22">
                  <c:v>7.6157698366395258E-7</c:v>
                </c:pt>
                <c:pt idx="23">
                  <c:v>4.4971183181259491E-7</c:v>
                </c:pt>
                <c:pt idx="24">
                  <c:v>2.5237959386441115E-7</c:v>
                </c:pt>
              </c:numCache>
            </c:numRef>
          </c:val>
          <c:smooth val="0"/>
          <c:extLst>
            <c:ext xmlns:c16="http://schemas.microsoft.com/office/drawing/2014/chart" uri="{C3380CC4-5D6E-409C-BE32-E72D297353CC}">
              <c16:uniqueId val="{00000001-544A-4608-A385-6AAFFA116297}"/>
            </c:ext>
          </c:extLst>
        </c:ser>
        <c:dLbls>
          <c:showLegendKey val="0"/>
          <c:showVal val="0"/>
          <c:showCatName val="0"/>
          <c:showSerName val="0"/>
          <c:showPercent val="0"/>
          <c:showBubbleSize val="0"/>
        </c:dLbls>
        <c:smooth val="0"/>
        <c:axId val="162833920"/>
        <c:axId val="162830560"/>
      </c:lineChart>
      <c:catAx>
        <c:axId val="16283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0560"/>
        <c:crosses val="autoZero"/>
        <c:auto val="1"/>
        <c:lblAlgn val="ctr"/>
        <c:lblOffset val="100"/>
        <c:noMultiLvlLbl val="0"/>
      </c:catAx>
      <c:valAx>
        <c:axId val="16283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3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[Learning team 6.xlsx]Problem no. 2!PivotTable24</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no. 2'!$B$3</c:f>
              <c:strCache>
                <c:ptCount val="1"/>
                <c:pt idx="0">
                  <c:v>Not_using_chawki_bivol.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no. 2'!$A$4:$A$9</c:f>
              <c:strCache>
                <c:ptCount val="5"/>
                <c:pt idx="0">
                  <c:v>Belagavi</c:v>
                </c:pt>
                <c:pt idx="1">
                  <c:v>Bellary</c:v>
                </c:pt>
                <c:pt idx="2">
                  <c:v>Chikballapur</c:v>
                </c:pt>
                <c:pt idx="3">
                  <c:v>Mandya</c:v>
                </c:pt>
                <c:pt idx="4">
                  <c:v>Tumakuru</c:v>
                </c:pt>
              </c:strCache>
            </c:strRef>
          </c:cat>
          <c:val>
            <c:numRef>
              <c:f>'Problem no. 2'!$B$4:$B$9</c:f>
              <c:numCache>
                <c:formatCode>General</c:formatCode>
                <c:ptCount val="5"/>
                <c:pt idx="0">
                  <c:v>70</c:v>
                </c:pt>
                <c:pt idx="1">
                  <c:v>123</c:v>
                </c:pt>
                <c:pt idx="2">
                  <c:v>3</c:v>
                </c:pt>
                <c:pt idx="3">
                  <c:v>2</c:v>
                </c:pt>
                <c:pt idx="4">
                  <c:v>204</c:v>
                </c:pt>
              </c:numCache>
            </c:numRef>
          </c:val>
          <c:extLst>
            <c:ext xmlns:c16="http://schemas.microsoft.com/office/drawing/2014/chart" uri="{C3380CC4-5D6E-409C-BE32-E72D297353CC}">
              <c16:uniqueId val="{00000000-2176-46F0-B386-48D03F94358F}"/>
            </c:ext>
          </c:extLst>
        </c:ser>
        <c:ser>
          <c:idx val="1"/>
          <c:order val="1"/>
          <c:tx>
            <c:strRef>
              <c:f>'Problem no. 2'!$C$3</c:f>
              <c:strCache>
                <c:ptCount val="1"/>
                <c:pt idx="0">
                  <c:v>Using_chawki_bivol.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no. 2'!$A$4:$A$9</c:f>
              <c:strCache>
                <c:ptCount val="5"/>
                <c:pt idx="0">
                  <c:v>Belagavi</c:v>
                </c:pt>
                <c:pt idx="1">
                  <c:v>Bellary</c:v>
                </c:pt>
                <c:pt idx="2">
                  <c:v>Chikballapur</c:v>
                </c:pt>
                <c:pt idx="3">
                  <c:v>Mandya</c:v>
                </c:pt>
                <c:pt idx="4">
                  <c:v>Tumakuru</c:v>
                </c:pt>
              </c:strCache>
            </c:strRef>
          </c:cat>
          <c:val>
            <c:numRef>
              <c:f>'Problem no. 2'!$C$4:$C$9</c:f>
              <c:numCache>
                <c:formatCode>General</c:formatCode>
                <c:ptCount val="5"/>
                <c:pt idx="0">
                  <c:v>1</c:v>
                </c:pt>
                <c:pt idx="1">
                  <c:v>174</c:v>
                </c:pt>
                <c:pt idx="2">
                  <c:v>397</c:v>
                </c:pt>
                <c:pt idx="3">
                  <c:v>67</c:v>
                </c:pt>
                <c:pt idx="4">
                  <c:v>177</c:v>
                </c:pt>
              </c:numCache>
            </c:numRef>
          </c:val>
          <c:extLst>
            <c:ext xmlns:c16="http://schemas.microsoft.com/office/drawing/2014/chart" uri="{C3380CC4-5D6E-409C-BE32-E72D297353CC}">
              <c16:uniqueId val="{00000001-2176-46F0-B386-48D03F94358F}"/>
            </c:ext>
          </c:extLst>
        </c:ser>
        <c:dLbls>
          <c:dLblPos val="outEnd"/>
          <c:showLegendKey val="0"/>
          <c:showVal val="1"/>
          <c:showCatName val="0"/>
          <c:showSerName val="0"/>
          <c:showPercent val="0"/>
          <c:showBubbleSize val="0"/>
        </c:dLbls>
        <c:gapWidth val="219"/>
        <c:overlap val="-27"/>
        <c:axId val="202550528"/>
        <c:axId val="202554368"/>
      </c:barChart>
      <c:catAx>
        <c:axId val="20255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54368"/>
        <c:crosses val="autoZero"/>
        <c:auto val="1"/>
        <c:lblAlgn val="ctr"/>
        <c:lblOffset val="100"/>
        <c:noMultiLvlLbl val="0"/>
      </c:catAx>
      <c:valAx>
        <c:axId val="20255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5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[Learning team 6.xlsx]Problem no. 2!PivotTable25</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no. 2'!$F$3</c:f>
              <c:strCache>
                <c:ptCount val="1"/>
                <c:pt idx="0">
                  <c:v>Trained.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no. 2'!$E$4:$E$9</c:f>
              <c:strCache>
                <c:ptCount val="5"/>
                <c:pt idx="0">
                  <c:v>Belagavi</c:v>
                </c:pt>
                <c:pt idx="1">
                  <c:v>Bellary</c:v>
                </c:pt>
                <c:pt idx="2">
                  <c:v>Chikballapur</c:v>
                </c:pt>
                <c:pt idx="3">
                  <c:v>Mandya</c:v>
                </c:pt>
                <c:pt idx="4">
                  <c:v>Tumakuru</c:v>
                </c:pt>
              </c:strCache>
            </c:strRef>
          </c:cat>
          <c:val>
            <c:numRef>
              <c:f>'Problem no. 2'!$F$4:$F$9</c:f>
              <c:numCache>
                <c:formatCode>General</c:formatCode>
                <c:ptCount val="5"/>
                <c:pt idx="0">
                  <c:v>45</c:v>
                </c:pt>
                <c:pt idx="1">
                  <c:v>164</c:v>
                </c:pt>
                <c:pt idx="2">
                  <c:v>58</c:v>
                </c:pt>
                <c:pt idx="3">
                  <c:v>9</c:v>
                </c:pt>
                <c:pt idx="4">
                  <c:v>382</c:v>
                </c:pt>
              </c:numCache>
            </c:numRef>
          </c:val>
          <c:extLst>
            <c:ext xmlns:c16="http://schemas.microsoft.com/office/drawing/2014/chart" uri="{C3380CC4-5D6E-409C-BE32-E72D297353CC}">
              <c16:uniqueId val="{00000000-3CE9-4EF2-9CF5-93D58C5B5DB2}"/>
            </c:ext>
          </c:extLst>
        </c:ser>
        <c:ser>
          <c:idx val="1"/>
          <c:order val="1"/>
          <c:tx>
            <c:strRef>
              <c:f>'Problem no. 2'!$G$3</c:f>
              <c:strCache>
                <c:ptCount val="1"/>
                <c:pt idx="0">
                  <c:v>Untrained.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no. 2'!$E$4:$E$9</c:f>
              <c:strCache>
                <c:ptCount val="5"/>
                <c:pt idx="0">
                  <c:v>Belagavi</c:v>
                </c:pt>
                <c:pt idx="1">
                  <c:v>Bellary</c:v>
                </c:pt>
                <c:pt idx="2">
                  <c:v>Chikballapur</c:v>
                </c:pt>
                <c:pt idx="3">
                  <c:v>Mandya</c:v>
                </c:pt>
                <c:pt idx="4">
                  <c:v>Tumakuru</c:v>
                </c:pt>
              </c:strCache>
            </c:strRef>
          </c:cat>
          <c:val>
            <c:numRef>
              <c:f>'Problem no. 2'!$G$4:$G$9</c:f>
              <c:numCache>
                <c:formatCode>General</c:formatCode>
                <c:ptCount val="5"/>
                <c:pt idx="0">
                  <c:v>26</c:v>
                </c:pt>
                <c:pt idx="1">
                  <c:v>133</c:v>
                </c:pt>
                <c:pt idx="2">
                  <c:v>342</c:v>
                </c:pt>
                <c:pt idx="3">
                  <c:v>60</c:v>
                </c:pt>
                <c:pt idx="4">
                  <c:v>288</c:v>
                </c:pt>
              </c:numCache>
            </c:numRef>
          </c:val>
          <c:extLst>
            <c:ext xmlns:c16="http://schemas.microsoft.com/office/drawing/2014/chart" uri="{C3380CC4-5D6E-409C-BE32-E72D297353CC}">
              <c16:uniqueId val="{00000001-3CE9-4EF2-9CF5-93D58C5B5DB2}"/>
            </c:ext>
          </c:extLst>
        </c:ser>
        <c:dLbls>
          <c:dLblPos val="outEnd"/>
          <c:showLegendKey val="0"/>
          <c:showVal val="1"/>
          <c:showCatName val="0"/>
          <c:showSerName val="0"/>
          <c:showPercent val="0"/>
          <c:showBubbleSize val="0"/>
        </c:dLbls>
        <c:gapWidth val="219"/>
        <c:overlap val="-27"/>
        <c:axId val="202534688"/>
        <c:axId val="202518368"/>
      </c:barChart>
      <c:catAx>
        <c:axId val="20253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8368"/>
        <c:crosses val="autoZero"/>
        <c:auto val="1"/>
        <c:lblAlgn val="ctr"/>
        <c:lblOffset val="100"/>
        <c:noMultiLvlLbl val="0"/>
      </c:catAx>
      <c:valAx>
        <c:axId val="20251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3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A3-4684-BE83-53866094FE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A3-4684-BE83-53866094FE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A3-4684-BE83-53866094FE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A3-4684-BE83-53866094FE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DA3-4684-BE83-53866094FE7B}"/>
              </c:ext>
            </c:extLst>
          </c:dPt>
          <c:cat>
            <c:strRef>
              <c:f>'income across regions'!$F$3:$J$3</c:f>
              <c:strCache>
                <c:ptCount val="5"/>
                <c:pt idx="0">
                  <c:v>average income tumukar</c:v>
                </c:pt>
                <c:pt idx="1">
                  <c:v>average income mandaya</c:v>
                </c:pt>
                <c:pt idx="2">
                  <c:v>average income bellary</c:v>
                </c:pt>
                <c:pt idx="3">
                  <c:v>average income chik</c:v>
                </c:pt>
                <c:pt idx="4">
                  <c:v>average income belagavi</c:v>
                </c:pt>
              </c:strCache>
            </c:strRef>
          </c:cat>
          <c:val>
            <c:numRef>
              <c:f>'income across regions'!$F$4:$J$4</c:f>
              <c:numCache>
                <c:formatCode>0</c:formatCode>
                <c:ptCount val="5"/>
                <c:pt idx="0">
                  <c:v>16436.977321101585</c:v>
                </c:pt>
                <c:pt idx="1">
                  <c:v>22751.754211710155</c:v>
                </c:pt>
                <c:pt idx="2">
                  <c:v>27602.121820354354</c:v>
                </c:pt>
                <c:pt idx="3">
                  <c:v>60389.185411277525</c:v>
                </c:pt>
                <c:pt idx="4">
                  <c:v>66092.289352774664</c:v>
                </c:pt>
              </c:numCache>
            </c:numRef>
          </c:val>
          <c:extLst>
            <c:ext xmlns:c16="http://schemas.microsoft.com/office/drawing/2014/chart" uri="{C3380CC4-5D6E-409C-BE32-E72D297353CC}">
              <c16:uniqueId val="{00000000-4000-4AB4-BE39-AD2AFD9764E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Farmers</a:t>
            </a:r>
            <a:r>
              <a:rPr lang="en-IN" baseline="0">
                <a:solidFill>
                  <a:schemeClr val="dk1"/>
                </a:solidFill>
                <a:latin typeface="+mn-lt"/>
                <a:ea typeface="+mn-ea"/>
                <a:cs typeface="+mn-cs"/>
              </a:rPr>
              <a:t> </a:t>
            </a:r>
            <a:r>
              <a:rPr lang="en-IN">
                <a:solidFill>
                  <a:schemeClr val="dk1"/>
                </a:solidFill>
                <a:latin typeface="+mn-lt"/>
                <a:ea typeface="+mn-ea"/>
                <a:cs typeface="+mn-cs"/>
              </a:rPr>
              <a:t>Income</a:t>
            </a:r>
            <a:r>
              <a:rPr lang="en-IN" baseline="0">
                <a:solidFill>
                  <a:schemeClr val="dk1"/>
                </a:solidFill>
                <a:latin typeface="+mn-lt"/>
                <a:ea typeface="+mn-ea"/>
                <a:cs typeface="+mn-cs"/>
              </a:rPr>
              <a:t> affected by pest or not</a:t>
            </a:r>
            <a:endParaRPr lang="en-IN"/>
          </a:p>
        </c:rich>
      </c:tx>
      <c:overlay val="0"/>
      <c:spPr>
        <a:solidFill>
          <a:schemeClr val="tx2">
            <a:lumMod val="40000"/>
            <a:lumOff val="60000"/>
          </a:schemeClr>
        </a:soli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lotArea>
      <c:layout>
        <c:manualLayout>
          <c:layoutTarget val="inner"/>
          <c:xMode val="edge"/>
          <c:yMode val="edge"/>
          <c:x val="9.9791273119474833E-2"/>
          <c:y val="0.14404517774041578"/>
          <c:w val="0.87528123170613825"/>
          <c:h val="0.61438161331773344"/>
        </c:manualLayout>
      </c:layout>
      <c:lineChart>
        <c:grouping val="standard"/>
        <c:varyColors val="0"/>
        <c:ser>
          <c:idx val="0"/>
          <c:order val="0"/>
          <c:tx>
            <c:strRef>
              <c:f>'Problem no. 1'!$Y$2</c:f>
              <c:strCache>
                <c:ptCount val="1"/>
                <c:pt idx="0">
                  <c:v>farmers Income affected by pest</c:v>
                </c:pt>
              </c:strCache>
            </c:strRef>
          </c:tx>
          <c:spPr>
            <a:ln w="28575" cap="rnd">
              <a:solidFill>
                <a:schemeClr val="accent1"/>
              </a:solidFill>
              <a:round/>
            </a:ln>
            <a:effectLst/>
          </c:spPr>
          <c:marker>
            <c:symbol val="none"/>
          </c:marker>
          <c:cat>
            <c:numRef>
              <c:f>'Problem no. 1'!$X$3:$X$27</c:f>
              <c:numCache>
                <c:formatCode>General</c:formatCode>
                <c:ptCount val="25"/>
                <c:pt idx="0">
                  <c:v>-80000</c:v>
                </c:pt>
                <c:pt idx="1">
                  <c:v>-70000</c:v>
                </c:pt>
                <c:pt idx="2">
                  <c:v>-60000</c:v>
                </c:pt>
                <c:pt idx="3">
                  <c:v>-50000</c:v>
                </c:pt>
                <c:pt idx="4">
                  <c:v>-40000</c:v>
                </c:pt>
                <c:pt idx="5">
                  <c:v>-30000</c:v>
                </c:pt>
                <c:pt idx="6">
                  <c:v>-20000</c:v>
                </c:pt>
                <c:pt idx="7">
                  <c:v>-10000</c:v>
                </c:pt>
                <c:pt idx="8">
                  <c:v>0</c:v>
                </c:pt>
                <c:pt idx="9">
                  <c:v>10000</c:v>
                </c:pt>
                <c:pt idx="10">
                  <c:v>20000</c:v>
                </c:pt>
                <c:pt idx="11">
                  <c:v>30000</c:v>
                </c:pt>
                <c:pt idx="12">
                  <c:v>40000</c:v>
                </c:pt>
                <c:pt idx="13">
                  <c:v>50000</c:v>
                </c:pt>
                <c:pt idx="14">
                  <c:v>60000</c:v>
                </c:pt>
                <c:pt idx="15">
                  <c:v>70000</c:v>
                </c:pt>
                <c:pt idx="16">
                  <c:v>80000</c:v>
                </c:pt>
                <c:pt idx="17">
                  <c:v>90000</c:v>
                </c:pt>
                <c:pt idx="18">
                  <c:v>100000</c:v>
                </c:pt>
                <c:pt idx="19">
                  <c:v>110000</c:v>
                </c:pt>
                <c:pt idx="20">
                  <c:v>120000</c:v>
                </c:pt>
                <c:pt idx="21">
                  <c:v>130000</c:v>
                </c:pt>
                <c:pt idx="22">
                  <c:v>140000</c:v>
                </c:pt>
                <c:pt idx="23">
                  <c:v>150000</c:v>
                </c:pt>
                <c:pt idx="24">
                  <c:v>160000</c:v>
                </c:pt>
              </c:numCache>
            </c:numRef>
          </c:cat>
          <c:val>
            <c:numRef>
              <c:f>'Problem no. 1'!$Y$3:$Y$27</c:f>
              <c:numCache>
                <c:formatCode>General</c:formatCode>
                <c:ptCount val="25"/>
                <c:pt idx="0">
                  <c:v>1.7076748970777044E-7</c:v>
                </c:pt>
                <c:pt idx="1">
                  <c:v>3.3427517735594948E-7</c:v>
                </c:pt>
                <c:pt idx="2">
                  <c:v>6.1574284331835212E-7</c:v>
                </c:pt>
                <c:pt idx="3">
                  <c:v>1.0673108614320436E-6</c:v>
                </c:pt>
                <c:pt idx="4">
                  <c:v>1.7409199278146474E-6</c:v>
                </c:pt>
                <c:pt idx="5">
                  <c:v>2.672163179349307E-6</c:v>
                </c:pt>
                <c:pt idx="6">
                  <c:v>3.8596103787047463E-6</c:v>
                </c:pt>
                <c:pt idx="7">
                  <c:v>5.2459031340838738E-6</c:v>
                </c:pt>
                <c:pt idx="8">
                  <c:v>6.7095497871157032E-6</c:v>
                </c:pt>
                <c:pt idx="9">
                  <c:v>8.0753769515471364E-6</c:v>
                </c:pt>
                <c:pt idx="10">
                  <c:v>9.1459440314732493E-6</c:v>
                </c:pt>
                <c:pt idx="11">
                  <c:v>9.7474403490047728E-6</c:v>
                </c:pt>
                <c:pt idx="12">
                  <c:v>9.7757242846607914E-6</c:v>
                </c:pt>
                <c:pt idx="13">
                  <c:v>9.2257910348636824E-6</c:v>
                </c:pt>
                <c:pt idx="14">
                  <c:v>8.1932195811235435E-6</c:v>
                </c:pt>
                <c:pt idx="15">
                  <c:v>6.8470245694060561E-6</c:v>
                </c:pt>
                <c:pt idx="16">
                  <c:v>5.3845013425729728E-6</c:v>
                </c:pt>
                <c:pt idx="17">
                  <c:v>3.9846061801914327E-6</c:v>
                </c:pt>
                <c:pt idx="18">
                  <c:v>2.774735753025554E-6</c:v>
                </c:pt>
                <c:pt idx="19">
                  <c:v>1.8182523914197038E-6</c:v>
                </c:pt>
                <c:pt idx="20">
                  <c:v>1.1211998113733541E-6</c:v>
                </c:pt>
                <c:pt idx="21">
                  <c:v>6.505911869273544E-7</c:v>
                </c:pt>
                <c:pt idx="22">
                  <c:v>3.5524636856787578E-7</c:v>
                </c:pt>
                <c:pt idx="23">
                  <c:v>1.8253553778081313E-7</c:v>
                </c:pt>
                <c:pt idx="24">
                  <c:v>8.8259512340106467E-8</c:v>
                </c:pt>
              </c:numCache>
            </c:numRef>
          </c:val>
          <c:smooth val="0"/>
          <c:extLst>
            <c:ext xmlns:c16="http://schemas.microsoft.com/office/drawing/2014/chart" uri="{C3380CC4-5D6E-409C-BE32-E72D297353CC}">
              <c16:uniqueId val="{00000000-FF51-4077-8721-7AE585272055}"/>
            </c:ext>
          </c:extLst>
        </c:ser>
        <c:ser>
          <c:idx val="1"/>
          <c:order val="1"/>
          <c:tx>
            <c:strRef>
              <c:f>'Problem no. 1'!$Z$2</c:f>
              <c:strCache>
                <c:ptCount val="1"/>
                <c:pt idx="0">
                  <c:v>farmers income not affected by pest</c:v>
                </c:pt>
              </c:strCache>
            </c:strRef>
          </c:tx>
          <c:spPr>
            <a:ln w="28575" cap="rnd">
              <a:solidFill>
                <a:schemeClr val="accent2"/>
              </a:solidFill>
              <a:round/>
            </a:ln>
            <a:effectLst/>
          </c:spPr>
          <c:marker>
            <c:symbol val="none"/>
          </c:marker>
          <c:cat>
            <c:numRef>
              <c:f>'Problem no. 1'!$X$3:$X$27</c:f>
              <c:numCache>
                <c:formatCode>General</c:formatCode>
                <c:ptCount val="25"/>
                <c:pt idx="0">
                  <c:v>-80000</c:v>
                </c:pt>
                <c:pt idx="1">
                  <c:v>-70000</c:v>
                </c:pt>
                <c:pt idx="2">
                  <c:v>-60000</c:v>
                </c:pt>
                <c:pt idx="3">
                  <c:v>-50000</c:v>
                </c:pt>
                <c:pt idx="4">
                  <c:v>-40000</c:v>
                </c:pt>
                <c:pt idx="5">
                  <c:v>-30000</c:v>
                </c:pt>
                <c:pt idx="6">
                  <c:v>-20000</c:v>
                </c:pt>
                <c:pt idx="7">
                  <c:v>-10000</c:v>
                </c:pt>
                <c:pt idx="8">
                  <c:v>0</c:v>
                </c:pt>
                <c:pt idx="9">
                  <c:v>10000</c:v>
                </c:pt>
                <c:pt idx="10">
                  <c:v>20000</c:v>
                </c:pt>
                <c:pt idx="11">
                  <c:v>30000</c:v>
                </c:pt>
                <c:pt idx="12">
                  <c:v>40000</c:v>
                </c:pt>
                <c:pt idx="13">
                  <c:v>50000</c:v>
                </c:pt>
                <c:pt idx="14">
                  <c:v>60000</c:v>
                </c:pt>
                <c:pt idx="15">
                  <c:v>70000</c:v>
                </c:pt>
                <c:pt idx="16">
                  <c:v>80000</c:v>
                </c:pt>
                <c:pt idx="17">
                  <c:v>90000</c:v>
                </c:pt>
                <c:pt idx="18">
                  <c:v>100000</c:v>
                </c:pt>
                <c:pt idx="19">
                  <c:v>110000</c:v>
                </c:pt>
                <c:pt idx="20">
                  <c:v>120000</c:v>
                </c:pt>
                <c:pt idx="21">
                  <c:v>130000</c:v>
                </c:pt>
                <c:pt idx="22">
                  <c:v>140000</c:v>
                </c:pt>
                <c:pt idx="23">
                  <c:v>150000</c:v>
                </c:pt>
                <c:pt idx="24">
                  <c:v>160000</c:v>
                </c:pt>
              </c:numCache>
            </c:numRef>
          </c:cat>
          <c:val>
            <c:numRef>
              <c:f>'Problem no. 1'!$Z$3:$Z$27</c:f>
              <c:numCache>
                <c:formatCode>General</c:formatCode>
                <c:ptCount val="25"/>
                <c:pt idx="0">
                  <c:v>2.105794136621974E-7</c:v>
                </c:pt>
                <c:pt idx="1">
                  <c:v>3.8093351369619136E-7</c:v>
                </c:pt>
                <c:pt idx="2">
                  <c:v>6.5491037847338006E-7</c:v>
                </c:pt>
                <c:pt idx="3">
                  <c:v>1.0700744206885928E-6</c:v>
                </c:pt>
                <c:pt idx="4">
                  <c:v>1.6616728051051308E-6</c:v>
                </c:pt>
                <c:pt idx="5">
                  <c:v>2.4523161685379023E-6</c:v>
                </c:pt>
                <c:pt idx="6">
                  <c:v>3.4395912102742707E-6</c:v>
                </c:pt>
                <c:pt idx="7">
                  <c:v>4.5849712742678063E-6</c:v>
                </c:pt>
                <c:pt idx="8">
                  <c:v>5.8085245247750241E-6</c:v>
                </c:pt>
                <c:pt idx="9">
                  <c:v>6.9934980055459859E-6</c:v>
                </c:pt>
                <c:pt idx="10">
                  <c:v>8.0024414080788699E-6</c:v>
                </c:pt>
                <c:pt idx="11">
                  <c:v>8.7026189964365822E-6</c:v>
                </c:pt>
                <c:pt idx="12">
                  <c:v>8.9944965058801388E-6</c:v>
                </c:pt>
                <c:pt idx="13">
                  <c:v>8.8349310422807902E-6</c:v>
                </c:pt>
                <c:pt idx="14">
                  <c:v>8.2476246990807023E-6</c:v>
                </c:pt>
                <c:pt idx="15">
                  <c:v>7.3173535066467589E-6</c:v>
                </c:pt>
                <c:pt idx="16">
                  <c:v>6.1699067797609627E-6</c:v>
                </c:pt>
                <c:pt idx="17">
                  <c:v>4.9442746548229958E-6</c:v>
                </c:pt>
                <c:pt idx="18">
                  <c:v>3.7655289682063108E-6</c:v>
                </c:pt>
                <c:pt idx="19">
                  <c:v>2.7255165141144345E-6</c:v>
                </c:pt>
                <c:pt idx="20">
                  <c:v>1.8748695784908149E-6</c:v>
                </c:pt>
                <c:pt idx="21">
                  <c:v>1.2257241035829478E-6</c:v>
                </c:pt>
                <c:pt idx="22">
                  <c:v>7.6157698366395258E-7</c:v>
                </c:pt>
                <c:pt idx="23">
                  <c:v>4.4971183181259491E-7</c:v>
                </c:pt>
                <c:pt idx="24">
                  <c:v>2.5237959386441115E-7</c:v>
                </c:pt>
              </c:numCache>
            </c:numRef>
          </c:val>
          <c:smooth val="0"/>
          <c:extLst>
            <c:ext xmlns:c16="http://schemas.microsoft.com/office/drawing/2014/chart" uri="{C3380CC4-5D6E-409C-BE32-E72D297353CC}">
              <c16:uniqueId val="{00000001-FF51-4077-8721-7AE585272055}"/>
            </c:ext>
          </c:extLst>
        </c:ser>
        <c:dLbls>
          <c:showLegendKey val="0"/>
          <c:showVal val="0"/>
          <c:showCatName val="0"/>
          <c:showSerName val="0"/>
          <c:showPercent val="0"/>
          <c:showBubbleSize val="0"/>
        </c:dLbls>
        <c:smooth val="0"/>
        <c:axId val="162833920"/>
        <c:axId val="162830560"/>
      </c:lineChart>
      <c:catAx>
        <c:axId val="16283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0560"/>
        <c:crosses val="autoZero"/>
        <c:auto val="1"/>
        <c:lblAlgn val="ctr"/>
        <c:lblOffset val="100"/>
        <c:noMultiLvlLbl val="0"/>
      </c:catAx>
      <c:valAx>
        <c:axId val="16283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3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[Learning team 6.xlsx]crop insured vs people trained!PivotTable7</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'crop insured vs people trained'!$B$3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'crop insured vs people trained'!$A$4:$A$6</c:f>
              <c:strCache>
                <c:ptCount val="2"/>
                <c:pt idx="0">
                  <c:v>0</c:v>
                </c:pt>
                <c:pt idx="1">
                  <c:v>1</c:v>
                </c:pt>
              </c:strCache>
            </c:strRef>
          </c:cat>
          <c:val>
            <c:numRef>
              <c:f>'crop insured vs people trained'!$B$4:$B$6</c:f>
              <c:numCache>
                <c:formatCode>General</c:formatCode>
                <c:ptCount val="2"/>
                <c:pt idx="0">
                  <c:v>1103</c:v>
                </c:pt>
                <c:pt idx="1">
                  <c:v>115</c:v>
                </c:pt>
              </c:numCache>
            </c:numRef>
          </c:val>
          <c:extLst>
            <c:ext xmlns:c16="http://schemas.microsoft.com/office/drawing/2014/chart" uri="{C3380CC4-5D6E-409C-BE32-E72D297353CC}">
              <c16:uniqueId val="{00000000-C174-416F-A6DA-5D517543E340}"/>
            </c:ext>
          </c:extLst>
        </c:ser>
        <c:dLbls>
          <c:dLblPos val="outEnd"/>
          <c:showLegendKey val="0"/>
          <c:showVal val="1"/>
          <c:showCatName val="0"/>
          <c:showSerName val="0"/>
          <c:showPercent val="0"/>
          <c:showBubbleSize val="0"/>
        </c:dLbls>
        <c:gapWidth val="219"/>
        <c:overlap val="-27"/>
        <c:axId val="202552928"/>
        <c:axId val="202549568"/>
      </c:barChart>
      <c:catAx>
        <c:axId val="20255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49568"/>
        <c:crosses val="autoZero"/>
        <c:auto val="1"/>
        <c:lblAlgn val="ctr"/>
        <c:lblOffset val="100"/>
        <c:noMultiLvlLbl val="0"/>
      </c:catAx>
      <c:valAx>
        <c:axId val="20254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5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[Learning team 6.xlsx]Problem no. 2!PivotTable24</c:name>
    <c:fmtId val="7"/>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no. 2'!$B$3</c:f>
              <c:strCache>
                <c:ptCount val="1"/>
                <c:pt idx="0">
                  <c:v>Not_using_chawki_bivol.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no. 2'!$A$4:$A$9</c:f>
              <c:strCache>
                <c:ptCount val="5"/>
                <c:pt idx="0">
                  <c:v>Belagavi</c:v>
                </c:pt>
                <c:pt idx="1">
                  <c:v>Bellary</c:v>
                </c:pt>
                <c:pt idx="2">
                  <c:v>Chikballapur</c:v>
                </c:pt>
                <c:pt idx="3">
                  <c:v>Mandya</c:v>
                </c:pt>
                <c:pt idx="4">
                  <c:v>Tumakuru</c:v>
                </c:pt>
              </c:strCache>
            </c:strRef>
          </c:cat>
          <c:val>
            <c:numRef>
              <c:f>'Problem no. 2'!$B$4:$B$9</c:f>
              <c:numCache>
                <c:formatCode>General</c:formatCode>
                <c:ptCount val="5"/>
                <c:pt idx="0">
                  <c:v>70</c:v>
                </c:pt>
                <c:pt idx="1">
                  <c:v>123</c:v>
                </c:pt>
                <c:pt idx="2">
                  <c:v>3</c:v>
                </c:pt>
                <c:pt idx="3">
                  <c:v>2</c:v>
                </c:pt>
                <c:pt idx="4">
                  <c:v>204</c:v>
                </c:pt>
              </c:numCache>
            </c:numRef>
          </c:val>
          <c:extLst>
            <c:ext xmlns:c16="http://schemas.microsoft.com/office/drawing/2014/chart" uri="{C3380CC4-5D6E-409C-BE32-E72D297353CC}">
              <c16:uniqueId val="{00000000-5511-4AB4-A73A-646C78F7471C}"/>
            </c:ext>
          </c:extLst>
        </c:ser>
        <c:ser>
          <c:idx val="1"/>
          <c:order val="1"/>
          <c:tx>
            <c:strRef>
              <c:f>'Problem no. 2'!$C$3</c:f>
              <c:strCache>
                <c:ptCount val="1"/>
                <c:pt idx="0">
                  <c:v>Using_chawki_bivol.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no. 2'!$A$4:$A$9</c:f>
              <c:strCache>
                <c:ptCount val="5"/>
                <c:pt idx="0">
                  <c:v>Belagavi</c:v>
                </c:pt>
                <c:pt idx="1">
                  <c:v>Bellary</c:v>
                </c:pt>
                <c:pt idx="2">
                  <c:v>Chikballapur</c:v>
                </c:pt>
                <c:pt idx="3">
                  <c:v>Mandya</c:v>
                </c:pt>
                <c:pt idx="4">
                  <c:v>Tumakuru</c:v>
                </c:pt>
              </c:strCache>
            </c:strRef>
          </c:cat>
          <c:val>
            <c:numRef>
              <c:f>'Problem no. 2'!$C$4:$C$9</c:f>
              <c:numCache>
                <c:formatCode>General</c:formatCode>
                <c:ptCount val="5"/>
                <c:pt idx="0">
                  <c:v>1</c:v>
                </c:pt>
                <c:pt idx="1">
                  <c:v>174</c:v>
                </c:pt>
                <c:pt idx="2">
                  <c:v>397</c:v>
                </c:pt>
                <c:pt idx="3">
                  <c:v>67</c:v>
                </c:pt>
                <c:pt idx="4">
                  <c:v>177</c:v>
                </c:pt>
              </c:numCache>
            </c:numRef>
          </c:val>
          <c:extLst>
            <c:ext xmlns:c16="http://schemas.microsoft.com/office/drawing/2014/chart" uri="{C3380CC4-5D6E-409C-BE32-E72D297353CC}">
              <c16:uniqueId val="{00000001-5511-4AB4-A73A-646C78F7471C}"/>
            </c:ext>
          </c:extLst>
        </c:ser>
        <c:dLbls>
          <c:dLblPos val="outEnd"/>
          <c:showLegendKey val="0"/>
          <c:showVal val="1"/>
          <c:showCatName val="0"/>
          <c:showSerName val="0"/>
          <c:showPercent val="0"/>
          <c:showBubbleSize val="0"/>
        </c:dLbls>
        <c:gapWidth val="219"/>
        <c:overlap val="-27"/>
        <c:axId val="202550528"/>
        <c:axId val="202554368"/>
      </c:barChart>
      <c:catAx>
        <c:axId val="20255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54368"/>
        <c:crosses val="autoZero"/>
        <c:auto val="1"/>
        <c:lblAlgn val="ctr"/>
        <c:lblOffset val="100"/>
        <c:noMultiLvlLbl val="0"/>
      </c:catAx>
      <c:valAx>
        <c:axId val="20255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5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[Learning team 6.xlsx]Problem no. 2!PivotTable25</c:name>
    <c:fmtId val="7"/>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no. 2'!$F$3</c:f>
              <c:strCache>
                <c:ptCount val="1"/>
                <c:pt idx="0">
                  <c:v>Trained.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no. 2'!$E$4:$E$9</c:f>
              <c:strCache>
                <c:ptCount val="5"/>
                <c:pt idx="0">
                  <c:v>Belagavi</c:v>
                </c:pt>
                <c:pt idx="1">
                  <c:v>Bellary</c:v>
                </c:pt>
                <c:pt idx="2">
                  <c:v>Chikballapur</c:v>
                </c:pt>
                <c:pt idx="3">
                  <c:v>Mandya</c:v>
                </c:pt>
                <c:pt idx="4">
                  <c:v>Tumakuru</c:v>
                </c:pt>
              </c:strCache>
            </c:strRef>
          </c:cat>
          <c:val>
            <c:numRef>
              <c:f>'Problem no. 2'!$F$4:$F$9</c:f>
              <c:numCache>
                <c:formatCode>General</c:formatCode>
                <c:ptCount val="5"/>
                <c:pt idx="0">
                  <c:v>45</c:v>
                </c:pt>
                <c:pt idx="1">
                  <c:v>164</c:v>
                </c:pt>
                <c:pt idx="2">
                  <c:v>58</c:v>
                </c:pt>
                <c:pt idx="3">
                  <c:v>9</c:v>
                </c:pt>
                <c:pt idx="4">
                  <c:v>382</c:v>
                </c:pt>
              </c:numCache>
            </c:numRef>
          </c:val>
          <c:extLst>
            <c:ext xmlns:c16="http://schemas.microsoft.com/office/drawing/2014/chart" uri="{C3380CC4-5D6E-409C-BE32-E72D297353CC}">
              <c16:uniqueId val="{00000000-4B7C-4974-A843-E4B89C260B66}"/>
            </c:ext>
          </c:extLst>
        </c:ser>
        <c:ser>
          <c:idx val="1"/>
          <c:order val="1"/>
          <c:tx>
            <c:strRef>
              <c:f>'Problem no. 2'!$G$3</c:f>
              <c:strCache>
                <c:ptCount val="1"/>
                <c:pt idx="0">
                  <c:v>Untrained.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no. 2'!$E$4:$E$9</c:f>
              <c:strCache>
                <c:ptCount val="5"/>
                <c:pt idx="0">
                  <c:v>Belagavi</c:v>
                </c:pt>
                <c:pt idx="1">
                  <c:v>Bellary</c:v>
                </c:pt>
                <c:pt idx="2">
                  <c:v>Chikballapur</c:v>
                </c:pt>
                <c:pt idx="3">
                  <c:v>Mandya</c:v>
                </c:pt>
                <c:pt idx="4">
                  <c:v>Tumakuru</c:v>
                </c:pt>
              </c:strCache>
            </c:strRef>
          </c:cat>
          <c:val>
            <c:numRef>
              <c:f>'Problem no. 2'!$G$4:$G$9</c:f>
              <c:numCache>
                <c:formatCode>General</c:formatCode>
                <c:ptCount val="5"/>
                <c:pt idx="0">
                  <c:v>26</c:v>
                </c:pt>
                <c:pt idx="1">
                  <c:v>133</c:v>
                </c:pt>
                <c:pt idx="2">
                  <c:v>342</c:v>
                </c:pt>
                <c:pt idx="3">
                  <c:v>60</c:v>
                </c:pt>
                <c:pt idx="4">
                  <c:v>288</c:v>
                </c:pt>
              </c:numCache>
            </c:numRef>
          </c:val>
          <c:extLst>
            <c:ext xmlns:c16="http://schemas.microsoft.com/office/drawing/2014/chart" uri="{C3380CC4-5D6E-409C-BE32-E72D297353CC}">
              <c16:uniqueId val="{00000001-4B7C-4974-A843-E4B89C260B66}"/>
            </c:ext>
          </c:extLst>
        </c:ser>
        <c:dLbls>
          <c:dLblPos val="outEnd"/>
          <c:showLegendKey val="0"/>
          <c:showVal val="1"/>
          <c:showCatName val="0"/>
          <c:showSerName val="0"/>
          <c:showPercent val="0"/>
          <c:showBubbleSize val="0"/>
        </c:dLbls>
        <c:gapWidth val="219"/>
        <c:overlap val="-27"/>
        <c:axId val="202534688"/>
        <c:axId val="202518368"/>
      </c:barChart>
      <c:catAx>
        <c:axId val="20253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8368"/>
        <c:crosses val="autoZero"/>
        <c:auto val="1"/>
        <c:lblAlgn val="ctr"/>
        <c:lblOffset val="100"/>
        <c:noMultiLvlLbl val="0"/>
      </c:catAx>
      <c:valAx>
        <c:axId val="20251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3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chartData>
  <cx:chart>
    <cx:title pos="t" align="ctr" overlay="0">
      <cx:tx>
        <cx:txData>
          <cx:v>Comparison of Average Income Across Regions</cx:v>
        </cx:txData>
      </cx:tx>
      <cx: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tx1"/>
          </a:solidFill>
          <a:prstDash val="solid"/>
        </a:ln>
        <a:effectLst>
          <a:outerShdw blurRad="40000" dist="20000" dir="5400000" rotWithShape="0">
            <a:srgbClr val="000000">
              <a:alpha val="38000"/>
            </a:srgbClr>
          </a:outerShdw>
        </a:effectLst>
      </cx:spPr>
      <cx:txPr>
        <a:bodyPr spcFirstLastPara="1" vertOverflow="ellipsis" horzOverflow="overflow" wrap="square" lIns="0" tIns="0" rIns="0" bIns="0" anchor="ctr" anchorCtr="1"/>
        <a:lstStyle/>
        <a:p>
          <a:pPr algn="ctr" rtl="0">
            <a:defRPr/>
          </a:pPr>
          <a:r>
            <a:rPr>
              <a:solidFill>
                <a:schemeClr val="dk1"/>
              </a:solidFill>
              <a:latin typeface="+mn-lt"/>
              <a:ea typeface="+mn-ea"/>
              <a:cs typeface="+mn-cs"/>
            </a:rPr>
            <a:t>Comparison of Average Income Across Regions</a:t>
          </a:r>
        </a:p>
      </cx:txPr>
    </cx:title>
    <cx:plotArea>
      <cx:plotAreaRegion>
        <cx:series layoutId="boxWhisker" uniqueId="{B56174DA-3082-4795-A958-88B01D4285DA}">
          <cx:tx>
            <cx:txData>
              <cx:f>_xlchart.v1.0</cx:f>
              <cx:v>income_per_acre tumukar</cx:v>
            </cx:txData>
          </cx:tx>
          <cx:dataId val="0"/>
          <cx:layoutPr>
            <cx:visibility meanLine="0" meanMarker="1" nonoutliers="0" outliers="1"/>
            <cx:statistics quartileMethod="exclusive"/>
          </cx:layoutPr>
        </cx:series>
        <cx:series layoutId="boxWhisker" uniqueId="{B59EA2FF-4CBA-49A5-BCB9-361F090DA1BD}">
          <cx:tx>
            <cx:txData>
              <cx:f>_xlchart.v1.2</cx:f>
              <cx:v>income_per_acre mandaya</cx:v>
            </cx:txData>
          </cx:tx>
          <cx:dataId val="1"/>
          <cx:layoutPr>
            <cx:visibility meanLine="0" meanMarker="1" nonoutliers="0" outliers="1"/>
            <cx:statistics quartileMethod="exclusive"/>
          </cx:layoutPr>
        </cx:series>
        <cx:series layoutId="boxWhisker" uniqueId="{F9CAB1E9-B9E4-42F8-BE5E-607A767ABACA}">
          <cx:tx>
            <cx:txData>
              <cx:f>_xlchart.v1.4</cx:f>
              <cx:v>income per acre bellary</cx:v>
            </cx:txData>
          </cx:tx>
          <cx:dataId val="2"/>
          <cx:layoutPr>
            <cx:visibility meanLine="0" meanMarker="1" nonoutliers="0" outliers="1"/>
            <cx:statistics quartileMethod="exclusive"/>
          </cx:layoutPr>
        </cx:series>
        <cx:series layoutId="boxWhisker" uniqueId="{2A9B044A-BFFC-4D02-8FBD-F748A096C92C}">
          <cx:tx>
            <cx:txData>
              <cx:f>_xlchart.v1.6</cx:f>
              <cx:v>income_per_acre chik</cx:v>
            </cx:txData>
          </cx:tx>
          <cx:dataId val="3"/>
          <cx:layoutPr>
            <cx:visibility meanLine="0" meanMarker="1" nonoutliers="0" outliers="1"/>
            <cx:statistics quartileMethod="exclusive"/>
          </cx:layoutPr>
        </cx:series>
        <cx:series layoutId="boxWhisker" uniqueId="{69502E2E-AC62-47CB-A6EA-13A0D685B33A}">
          <cx:tx>
            <cx:txData>
              <cx:f>_xlchart.v1.8</cx:f>
              <cx:v>income_per_acre belagavi</cx:v>
            </cx:txData>
          </cx:tx>
          <cx:dataId val="4"/>
          <cx:layoutPr>
            <cx:visibility meanLine="0" meanMarker="1" nonoutliers="0" outliers="1"/>
            <cx:statistics quartileMethod="exclusive"/>
          </cx:layoutPr>
        </cx:series>
      </cx:plotAreaRegion>
      <cx:axis id="0">
        <cx:catScaling gapWidth="1"/>
        <cx:title>
          <cx:tx>
            <cx:rich>
              <a:bodyPr spcFirstLastPara="1" vertOverflow="ellipsis" horzOverflow="overflow" wrap="square" lIns="0" tIns="0" rIns="0" bIns="0" anchor="ctr" anchorCtr="1"/>
              <a:lstStyle/>
              <a:p>
                <a:pPr algn="ctr" rtl="0">
                  <a:defRPr/>
                </a:pPr>
                <a:r>
                  <a:rPr lang="en-IN" sz="900" b="1"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Region</a:t>
                </a:r>
                <a:endParaRPr lang="en-US" sz="900" b="0" i="0" u="none" strike="noStrike" baseline="0">
                  <a:solidFill>
                    <a:sysClr val="windowText" lastClr="000000">
                      <a:lumMod val="65000"/>
                      <a:lumOff val="35000"/>
                    </a:sysClr>
                  </a:solidFill>
                  <a:latin typeface="Calibri"/>
                </a:endParaRPr>
              </a:p>
            </cx:rich>
          </cx:tx>
        </cx:title>
        <cx:tickLabels/>
      </cx:axis>
      <cx:axis id="1">
        <cx:valScaling/>
        <cx:title>
          <cx:tx>
            <cx:rich>
              <a:bodyPr spcFirstLastPara="1" vertOverflow="ellipsis" horzOverflow="overflow" wrap="square" lIns="0" tIns="0" rIns="0" bIns="0" anchor="ctr" anchorCtr="1"/>
              <a:lstStyle/>
              <a:p>
                <a:pPr algn="ctr" rtl="0">
                  <a:defRPr/>
                </a:pPr>
                <a:r>
                  <a:rPr lang="en-IN" sz="900" b="1"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Mean Annual Income (₹)</a:t>
                </a:r>
                <a:endParaRPr lang="en-US" sz="900" b="0" i="0" u="none" strike="noStrike" baseline="0">
                  <a:solidFill>
                    <a:sysClr val="windowText" lastClr="000000">
                      <a:lumMod val="65000"/>
                      <a:lumOff val="35000"/>
                    </a:sysClr>
                  </a:solidFill>
                  <a:latin typeface="Calibri"/>
                </a:endParaRPr>
              </a:p>
            </cx:rich>
          </cx:tx>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data id="1">
      <cx:numDim type="val">
        <cx:f>_xlchart.v1.13</cx:f>
      </cx:numDim>
    </cx:data>
    <cx:data id="2">
      <cx:numDim type="val">
        <cx:f>_xlchart.v1.15</cx:f>
      </cx:numDim>
    </cx:data>
    <cx:data id="3">
      <cx:numDim type="val">
        <cx:f>_xlchart.v1.17</cx:f>
      </cx:numDim>
    </cx:data>
    <cx:data id="4">
      <cx:numDim type="val">
        <cx:f>_xlchart.v1.19</cx:f>
      </cx:numDim>
    </cx:data>
  </cx:chartData>
  <cx:chart>
    <cx:title pos="t" align="ctr" overlay="0">
      <cx:tx>
        <cx:txData>
          <cx:v>Comparison of Average Income Across Regions</cx:v>
        </cx:txData>
      </cx:tx>
      <cx: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tx1"/>
          </a:solidFill>
          <a:prstDash val="solid"/>
        </a:ln>
        <a:effectLst>
          <a:outerShdw blurRad="40000" dist="20000" dir="5400000" rotWithShape="0">
            <a:srgbClr val="000000">
              <a:alpha val="38000"/>
            </a:srgbClr>
          </a:outerShdw>
        </a:effectLst>
      </cx:spPr>
      <cx:txPr>
        <a:bodyPr spcFirstLastPara="1" vertOverflow="ellipsis" horzOverflow="overflow" wrap="square" lIns="0" tIns="0" rIns="0" bIns="0" anchor="ctr" anchorCtr="1"/>
        <a:lstStyle/>
        <a:p>
          <a:pPr algn="ctr" rtl="0">
            <a:defRPr/>
          </a:pPr>
          <a:r>
            <a:rPr>
              <a:solidFill>
                <a:schemeClr val="dk1"/>
              </a:solidFill>
              <a:latin typeface="+mn-lt"/>
              <a:ea typeface="+mn-ea"/>
              <a:cs typeface="+mn-cs"/>
            </a:rPr>
            <a:t>Comparison of Average Income Across Regions</a:t>
          </a:r>
        </a:p>
      </cx:txPr>
    </cx:title>
    <cx:plotArea>
      <cx:plotAreaRegion>
        <cx:series layoutId="boxWhisker" uniqueId="{B56174DA-3082-4795-A958-88B01D4285DA}">
          <cx:tx>
            <cx:txData>
              <cx:f>_xlchart.v1.10</cx:f>
              <cx:v>income_per_acre tumukar</cx:v>
            </cx:txData>
          </cx:tx>
          <cx:dataId val="0"/>
          <cx:layoutPr>
            <cx:visibility meanLine="0" meanMarker="1" nonoutliers="0" outliers="1"/>
            <cx:statistics quartileMethod="exclusive"/>
          </cx:layoutPr>
        </cx:series>
        <cx:series layoutId="boxWhisker" uniqueId="{B59EA2FF-4CBA-49A5-BCB9-361F090DA1BD}">
          <cx:tx>
            <cx:txData>
              <cx:f>_xlchart.v1.12</cx:f>
              <cx:v>income_per_acre mandaya</cx:v>
            </cx:txData>
          </cx:tx>
          <cx:dataId val="1"/>
          <cx:layoutPr>
            <cx:visibility meanLine="0" meanMarker="1" nonoutliers="0" outliers="1"/>
            <cx:statistics quartileMethod="exclusive"/>
          </cx:layoutPr>
        </cx:series>
        <cx:series layoutId="boxWhisker" uniqueId="{F9CAB1E9-B9E4-42F8-BE5E-607A767ABACA}">
          <cx:tx>
            <cx:txData>
              <cx:f>_xlchart.v1.14</cx:f>
              <cx:v>income per acre bellary</cx:v>
            </cx:txData>
          </cx:tx>
          <cx:dataId val="2"/>
          <cx:layoutPr>
            <cx:visibility meanLine="0" meanMarker="1" nonoutliers="0" outliers="1"/>
            <cx:statistics quartileMethod="exclusive"/>
          </cx:layoutPr>
        </cx:series>
        <cx:series layoutId="boxWhisker" uniqueId="{2A9B044A-BFFC-4D02-8FBD-F748A096C92C}">
          <cx:tx>
            <cx:txData>
              <cx:f>_xlchart.v1.16</cx:f>
              <cx:v>income_per_acre chik</cx:v>
            </cx:txData>
          </cx:tx>
          <cx:dataId val="3"/>
          <cx:layoutPr>
            <cx:visibility meanLine="0" meanMarker="1" nonoutliers="0" outliers="1"/>
            <cx:statistics quartileMethod="exclusive"/>
          </cx:layoutPr>
        </cx:series>
        <cx:series layoutId="boxWhisker" uniqueId="{69502E2E-AC62-47CB-A6EA-13A0D685B33A}">
          <cx:tx>
            <cx:txData>
              <cx:f>_xlchart.v1.18</cx:f>
              <cx:v>income_per_acre belagavi</cx:v>
            </cx:txData>
          </cx:tx>
          <cx:dataId val="4"/>
          <cx:layoutPr>
            <cx:visibility meanLine="0" meanMarker="1" nonoutliers="0" outliers="1"/>
            <cx:statistics quartileMethod="exclusive"/>
          </cx:layoutPr>
        </cx:series>
      </cx:plotAreaRegion>
      <cx:axis id="0">
        <cx:catScaling gapWidth="1"/>
        <cx:title>
          <cx:tx>
            <cx:rich>
              <a:bodyPr spcFirstLastPara="1" vertOverflow="ellipsis" horzOverflow="overflow" wrap="square" lIns="0" tIns="0" rIns="0" bIns="0" anchor="ctr" anchorCtr="1"/>
              <a:lstStyle/>
              <a:p>
                <a:pPr algn="ctr" rtl="0">
                  <a:defRPr/>
                </a:pPr>
                <a:r>
                  <a:rPr lang="en-IN" sz="900" b="1"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Region</a:t>
                </a:r>
                <a:endParaRPr lang="en-US" sz="900" b="0" i="0" u="none" strike="noStrike" baseline="0">
                  <a:solidFill>
                    <a:sysClr val="windowText" lastClr="000000">
                      <a:lumMod val="65000"/>
                      <a:lumOff val="35000"/>
                    </a:sysClr>
                  </a:solidFill>
                  <a:latin typeface="Calibri"/>
                </a:endParaRPr>
              </a:p>
            </cx:rich>
          </cx:tx>
        </cx:title>
        <cx:tickLabels/>
      </cx:axis>
      <cx:axis id="1">
        <cx:valScaling/>
        <cx:title>
          <cx:tx>
            <cx:rich>
              <a:bodyPr spcFirstLastPara="1" vertOverflow="ellipsis" horzOverflow="overflow" wrap="square" lIns="0" tIns="0" rIns="0" bIns="0" anchor="ctr" anchorCtr="1"/>
              <a:lstStyle/>
              <a:p>
                <a:pPr algn="ctr" rtl="0">
                  <a:defRPr/>
                </a:pPr>
                <a:r>
                  <a:rPr lang="en-IN" sz="900" b="1"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Mean Annual Income (₹)</a:t>
                </a:r>
                <a:endParaRPr lang="en-US" sz="900" b="0" i="0" u="none" strike="noStrike" baseline="0">
                  <a:solidFill>
                    <a:sysClr val="windowText" lastClr="000000">
                      <a:lumMod val="65000"/>
                      <a:lumOff val="35000"/>
                    </a:sysClr>
                  </a:solidFill>
                  <a:latin typeface="Calibri"/>
                </a:endParaRPr>
              </a:p>
            </cx:rich>
          </cx:tx>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microsoft.com/office/2014/relationships/chartEx" Target="../charts/chartEx2.xml"/><Relationship Id="rId1" Type="http://schemas.openxmlformats.org/officeDocument/2006/relationships/chart" Target="../charts/chart6.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0</xdr:row>
      <xdr:rowOff>175488</xdr:rowOff>
    </xdr:from>
    <xdr:to>
      <xdr:col>2</xdr:col>
      <xdr:colOff>3949700</xdr:colOff>
      <xdr:row>5</xdr:row>
      <xdr:rowOff>172364</xdr:rowOff>
    </xdr:to>
    <xdr:pic>
      <xdr:nvPicPr>
        <xdr:cNvPr id="2" name="Picture 1" descr="http://iimb-cpp.iimb.ernet.in/docs/iimb-logo/IIMB%20Logo%20unit%20Final.jp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175488"/>
          <a:ext cx="3924300" cy="949376"/>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411480</xdr:colOff>
      <xdr:row>10</xdr:row>
      <xdr:rowOff>99060</xdr:rowOff>
    </xdr:from>
    <xdr:to>
      <xdr:col>10</xdr:col>
      <xdr:colOff>411480</xdr:colOff>
      <xdr:row>24</xdr:row>
      <xdr:rowOff>5715</xdr:rowOff>
    </xdr:to>
    <mc:AlternateContent xmlns:mc="http://schemas.openxmlformats.org/markup-compatibility/2006" xmlns:a14="http://schemas.microsoft.com/office/drawing/2010/main">
      <mc:Choice Requires="a14">
        <xdr:graphicFrame macro="">
          <xdr:nvGraphicFramePr>
            <xdr:cNvPr id="3" name="training_on_sericulture">
              <a:extLst>
                <a:ext uri="{FF2B5EF4-FFF2-40B4-BE49-F238E27FC236}">
                  <a16:creationId xmlns:a16="http://schemas.microsoft.com/office/drawing/2014/main" id="{270D1AAE-FBC3-74F3-C788-B8E2BB0202A8}"/>
                </a:ext>
              </a:extLst>
            </xdr:cNvPr>
            <xdr:cNvGraphicFramePr/>
          </xdr:nvGraphicFramePr>
          <xdr:xfrm>
            <a:off x="0" y="0"/>
            <a:ext cx="0" cy="0"/>
          </xdr:xfrm>
          <a:graphic>
            <a:graphicData uri="http://schemas.microsoft.com/office/drawing/2010/slicer">
              <sle:slicer xmlns:sle="http://schemas.microsoft.com/office/drawing/2010/slicer" name="training_on_sericulture"/>
            </a:graphicData>
          </a:graphic>
        </xdr:graphicFrame>
      </mc:Choice>
      <mc:Fallback xmlns="">
        <xdr:sp macro="" textlink="">
          <xdr:nvSpPr>
            <xdr:cNvPr id="0" name=""/>
            <xdr:cNvSpPr>
              <a:spLocks noTextEdit="1"/>
            </xdr:cNvSpPr>
          </xdr:nvSpPr>
          <xdr:spPr>
            <a:xfrm>
              <a:off x="6286500" y="1973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358140</xdr:colOff>
      <xdr:row>9</xdr:row>
      <xdr:rowOff>163830</xdr:rowOff>
    </xdr:from>
    <xdr:to>
      <xdr:col>6</xdr:col>
      <xdr:colOff>525780</xdr:colOff>
      <xdr:row>24</xdr:row>
      <xdr:rowOff>163830</xdr:rowOff>
    </xdr:to>
    <xdr:graphicFrame macro="">
      <xdr:nvGraphicFramePr>
        <xdr:cNvPr id="4" name="Chart 3">
          <a:extLst>
            <a:ext uri="{FF2B5EF4-FFF2-40B4-BE49-F238E27FC236}">
              <a16:creationId xmlns:a16="http://schemas.microsoft.com/office/drawing/2014/main" id="{6B628964-098D-C4A3-F1C5-5AFCDE35D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xdr:row>
      <xdr:rowOff>175260</xdr:rowOff>
    </xdr:from>
    <xdr:to>
      <xdr:col>10</xdr:col>
      <xdr:colOff>601980</xdr:colOff>
      <xdr:row>9</xdr:row>
      <xdr:rowOff>137160</xdr:rowOff>
    </xdr:to>
    <xdr:sp macro="" textlink="">
      <xdr:nvSpPr>
        <xdr:cNvPr id="9" name="Rectangle 8">
          <a:extLst>
            <a:ext uri="{FF2B5EF4-FFF2-40B4-BE49-F238E27FC236}">
              <a16:creationId xmlns:a16="http://schemas.microsoft.com/office/drawing/2014/main" id="{AEAEDF47-7B41-D5B0-AD11-1158424D51D1}"/>
            </a:ext>
          </a:extLst>
        </xdr:cNvPr>
        <xdr:cNvSpPr/>
      </xdr:nvSpPr>
      <xdr:spPr>
        <a:xfrm>
          <a:off x="3451860" y="403860"/>
          <a:ext cx="4853940" cy="14249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To determine if there is a significant relationship between receiving training on sericulture and a farmers</a:t>
          </a:r>
          <a:r>
            <a:rPr lang="en-IN" sz="1400" b="1" baseline="0"/>
            <a:t> decision  to enroll in a group insurance scheme. the data suggests a need to investigate whether the training program is an effective intervation for increasing insurance update among sericulture farmers.</a:t>
          </a:r>
          <a:endParaRPr lang="en-IN" sz="1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27</xdr:col>
      <xdr:colOff>149678</xdr:colOff>
      <xdr:row>0</xdr:row>
      <xdr:rowOff>176212</xdr:rowOff>
    </xdr:from>
    <xdr:to>
      <xdr:col>37</xdr:col>
      <xdr:colOff>144318</xdr:colOff>
      <xdr:row>18</xdr:row>
      <xdr:rowOff>121227</xdr:rowOff>
    </xdr:to>
    <xdr:graphicFrame macro="">
      <xdr:nvGraphicFramePr>
        <xdr:cNvPr id="4" name="Chart 3">
          <a:extLst>
            <a:ext uri="{FF2B5EF4-FFF2-40B4-BE49-F238E27FC236}">
              <a16:creationId xmlns:a16="http://schemas.microsoft.com/office/drawing/2014/main" id="{04218DF6-9D1E-3C9C-74CB-1981E459D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9181</xdr:colOff>
      <xdr:row>1</xdr:row>
      <xdr:rowOff>27542</xdr:rowOff>
    </xdr:from>
    <xdr:to>
      <xdr:col>21</xdr:col>
      <xdr:colOff>596747</xdr:colOff>
      <xdr:row>10</xdr:row>
      <xdr:rowOff>137710</xdr:rowOff>
    </xdr:to>
    <xdr:sp macro="" textlink="">
      <xdr:nvSpPr>
        <xdr:cNvPr id="5" name="Rectangle 4">
          <a:extLst>
            <a:ext uri="{FF2B5EF4-FFF2-40B4-BE49-F238E27FC236}">
              <a16:creationId xmlns:a16="http://schemas.microsoft.com/office/drawing/2014/main" id="{8B896683-BBE0-3F60-A2FC-51E7A6818B27}"/>
            </a:ext>
          </a:extLst>
        </xdr:cNvPr>
        <xdr:cNvSpPr/>
      </xdr:nvSpPr>
      <xdr:spPr>
        <a:xfrm>
          <a:off x="15083928" y="229518"/>
          <a:ext cx="4406747" cy="176269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Pest</a:t>
          </a:r>
          <a:r>
            <a:rPr lang="en-IN" sz="1400" b="1" baseline="0"/>
            <a:t> infections lead to a marked reduction in farmer incomes, as evidenced by lower income distribution among affected farmers compared to their unaffected counterparts.there is a clear needs.</a:t>
          </a:r>
        </a:p>
        <a:p>
          <a:pPr algn="l"/>
          <a:r>
            <a:rPr lang="en-IN" sz="1400" b="1"/>
            <a:t>Compare the mean income per acre of farmers affected by pest with those not affected by pest to check if pest infestation has a significant impact on farmer income.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182880</xdr:colOff>
      <xdr:row>9</xdr:row>
      <xdr:rowOff>148590</xdr:rowOff>
    </xdr:from>
    <xdr:to>
      <xdr:col>3</xdr:col>
      <xdr:colOff>266700</xdr:colOff>
      <xdr:row>24</xdr:row>
      <xdr:rowOff>148590</xdr:rowOff>
    </xdr:to>
    <xdr:graphicFrame macro="">
      <xdr:nvGraphicFramePr>
        <xdr:cNvPr id="2" name="Chart 1">
          <a:extLst>
            <a:ext uri="{FF2B5EF4-FFF2-40B4-BE49-F238E27FC236}">
              <a16:creationId xmlns:a16="http://schemas.microsoft.com/office/drawing/2014/main" id="{AE922893-E89A-D6DB-60E1-BED727D2E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327660</xdr:colOff>
      <xdr:row>9</xdr:row>
      <xdr:rowOff>95250</xdr:rowOff>
    </xdr:from>
    <xdr:to>
      <xdr:col>17</xdr:col>
      <xdr:colOff>22860</xdr:colOff>
      <xdr:row>24</xdr:row>
      <xdr:rowOff>95250</xdr:rowOff>
    </xdr:to>
    <xdr:graphicFrame macro="">
      <xdr:nvGraphicFramePr>
        <xdr:cNvPr id="3" name="Chart 2">
          <a:extLst>
            <a:ext uri="{FF2B5EF4-FFF2-40B4-BE49-F238E27FC236}">
              <a16:creationId xmlns:a16="http://schemas.microsoft.com/office/drawing/2014/main" id="{499CCB54-1C5D-1A85-D3FA-63BE14A4C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243840</xdr:colOff>
      <xdr:row>10</xdr:row>
      <xdr:rowOff>30480</xdr:rowOff>
    </xdr:from>
    <xdr:to>
      <xdr:col>9</xdr:col>
      <xdr:colOff>167640</xdr:colOff>
      <xdr:row>23</xdr:row>
      <xdr:rowOff>120015</xdr:rowOff>
    </xdr:to>
    <mc:AlternateContent xmlns:mc="http://schemas.openxmlformats.org/markup-compatibility/2006" xmlns:a14="http://schemas.microsoft.com/office/drawing/2010/main">
      <mc:Choice Requires="a14">
        <xdr:graphicFrame macro="">
          <xdr:nvGraphicFramePr>
            <xdr:cNvPr id="4" name="District">
              <a:extLst>
                <a:ext uri="{FF2B5EF4-FFF2-40B4-BE49-F238E27FC236}">
                  <a16:creationId xmlns:a16="http://schemas.microsoft.com/office/drawing/2014/main" id="{36E4FFC5-D1F9-8CBB-F2A9-11D7BD34BB60}"/>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5920740" y="1874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426720</xdr:colOff>
      <xdr:row>10</xdr:row>
      <xdr:rowOff>30480</xdr:rowOff>
    </xdr:from>
    <xdr:to>
      <xdr:col>6</xdr:col>
      <xdr:colOff>243840</xdr:colOff>
      <xdr:row>23</xdr:row>
      <xdr:rowOff>120015</xdr:rowOff>
    </xdr:to>
    <mc:AlternateContent xmlns:mc="http://schemas.openxmlformats.org/markup-compatibility/2006" xmlns:a14="http://schemas.microsoft.com/office/drawing/2010/main">
      <mc:Choice Requires="a14">
        <xdr:graphicFrame macro="">
          <xdr:nvGraphicFramePr>
            <xdr:cNvPr id="5" name="District 1">
              <a:extLst>
                <a:ext uri="{FF2B5EF4-FFF2-40B4-BE49-F238E27FC236}">
                  <a16:creationId xmlns:a16="http://schemas.microsoft.com/office/drawing/2014/main" id="{77192806-FACD-5916-48EA-C5AF36B0CC01}"/>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mlns="">
        <xdr:sp macro="" textlink="">
          <xdr:nvSpPr>
            <xdr:cNvPr id="0" name=""/>
            <xdr:cNvSpPr>
              <a:spLocks noTextEdit="1"/>
            </xdr:cNvSpPr>
          </xdr:nvSpPr>
          <xdr:spPr>
            <a:xfrm>
              <a:off x="4091940" y="1874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2</xdr:row>
      <xdr:rowOff>15240</xdr:rowOff>
    </xdr:from>
    <xdr:to>
      <xdr:col>17</xdr:col>
      <xdr:colOff>186956</xdr:colOff>
      <xdr:row>9</xdr:row>
      <xdr:rowOff>106680</xdr:rowOff>
    </xdr:to>
    <xdr:sp macro="" textlink="">
      <xdr:nvSpPr>
        <xdr:cNvPr id="6" name="Rectangle 5">
          <a:extLst>
            <a:ext uri="{FF2B5EF4-FFF2-40B4-BE49-F238E27FC236}">
              <a16:creationId xmlns:a16="http://schemas.microsoft.com/office/drawing/2014/main" id="{2792FC38-5327-4C19-AA7F-6A9CB472A0C8}"/>
            </a:ext>
          </a:extLst>
        </xdr:cNvPr>
        <xdr:cNvSpPr/>
      </xdr:nvSpPr>
      <xdr:spPr>
        <a:xfrm>
          <a:off x="6972300" y="381000"/>
          <a:ext cx="5673356" cy="1371600"/>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i="0">
              <a:solidFill>
                <a:schemeClr val="dk1"/>
              </a:solidFill>
              <a:effectLst/>
              <a:latin typeface="+mn-lt"/>
              <a:ea typeface="+mn-ea"/>
              <a:cs typeface="+mn-cs"/>
            </a:rPr>
            <a:t>Training and adoption of chawki_bivol are not perfectly correlated. In some districts, many farmers are trained but do not adopt chawki_bivol, while in others, adoption occurs without formal training. This suggests current training is not universally effective, nor is a single generic training model suitable for every district. Farmers in different regions face diverse challenges and requirements, so a tailored approach to training  addressing district-specific needs  is necessary to increase adoption and usefulness of chawki_bivol practices.</a:t>
          </a:r>
          <a:r>
            <a:rPr lang="en-IN" sz="1100"/>
            <a:t>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274320</xdr:colOff>
      <xdr:row>5</xdr:row>
      <xdr:rowOff>99060</xdr:rowOff>
    </xdr:from>
    <xdr:to>
      <xdr:col>14</xdr:col>
      <xdr:colOff>114300</xdr:colOff>
      <xdr:row>22</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10A3CB7-A583-C477-52A9-84E491E5F4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696200" y="1013460"/>
              <a:ext cx="9319260" cy="30289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1216903</xdr:colOff>
      <xdr:row>24</xdr:row>
      <xdr:rowOff>68423</xdr:rowOff>
    </xdr:from>
    <xdr:to>
      <xdr:col>9</xdr:col>
      <xdr:colOff>211063</xdr:colOff>
      <xdr:row>39</xdr:row>
      <xdr:rowOff>68424</xdr:rowOff>
    </xdr:to>
    <xdr:graphicFrame macro="">
      <xdr:nvGraphicFramePr>
        <xdr:cNvPr id="3" name="Chart 2">
          <a:extLst>
            <a:ext uri="{FF2B5EF4-FFF2-40B4-BE49-F238E27FC236}">
              <a16:creationId xmlns:a16="http://schemas.microsoft.com/office/drawing/2014/main" id="{1C8EB906-36D3-8950-57BA-B013FF985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1137781</xdr:colOff>
      <xdr:row>25</xdr:row>
      <xdr:rowOff>73069</xdr:rowOff>
    </xdr:from>
    <xdr:to>
      <xdr:col>17</xdr:col>
      <xdr:colOff>135699</xdr:colOff>
      <xdr:row>35</xdr:row>
      <xdr:rowOff>10439</xdr:rowOff>
    </xdr:to>
    <xdr:sp macro="" textlink="">
      <xdr:nvSpPr>
        <xdr:cNvPr id="4" name="Rectangle 3">
          <a:extLst>
            <a:ext uri="{FF2B5EF4-FFF2-40B4-BE49-F238E27FC236}">
              <a16:creationId xmlns:a16="http://schemas.microsoft.com/office/drawing/2014/main" id="{0B508C6D-AFF3-30E8-0AFB-BBCFAC864249}"/>
            </a:ext>
          </a:extLst>
        </xdr:cNvPr>
        <xdr:cNvSpPr/>
      </xdr:nvSpPr>
      <xdr:spPr>
        <a:xfrm>
          <a:off x="14143973" y="4770329"/>
          <a:ext cx="4697260" cy="181627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t>Compare the average income</a:t>
          </a:r>
          <a:r>
            <a:rPr lang="en-IN" sz="2000" b="1" baseline="0"/>
            <a:t> per acre of farmers across different districts(Tumukar, Mandya, Bellary, Chikballapur, Belagavi) to check if farmer income significantly differs between regions.</a:t>
          </a:r>
          <a:endParaRPr lang="en-IN" sz="20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-1</xdr:colOff>
      <xdr:row>5</xdr:row>
      <xdr:rowOff>49160</xdr:rowOff>
    </xdr:from>
    <xdr:to>
      <xdr:col>20</xdr:col>
      <xdr:colOff>479321</xdr:colOff>
      <xdr:row>23</xdr:row>
      <xdr:rowOff>98322</xdr:rowOff>
    </xdr:to>
    <xdr:sp macro="" textlink="">
      <xdr:nvSpPr>
        <xdr:cNvPr id="30" name="Oval 29">
          <a:extLst>
            <a:ext uri="{FF2B5EF4-FFF2-40B4-BE49-F238E27FC236}">
              <a16:creationId xmlns:a16="http://schemas.microsoft.com/office/drawing/2014/main" id="{BE6C0CC1-82E8-26E2-E548-6BC7D2A4D4B9}"/>
            </a:ext>
          </a:extLst>
        </xdr:cNvPr>
        <xdr:cNvSpPr/>
      </xdr:nvSpPr>
      <xdr:spPr>
        <a:xfrm>
          <a:off x="7374193" y="970934"/>
          <a:ext cx="5395451" cy="336754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155350</xdr:colOff>
      <xdr:row>4</xdr:row>
      <xdr:rowOff>161741</xdr:rowOff>
    </xdr:from>
    <xdr:to>
      <xdr:col>31</xdr:col>
      <xdr:colOff>577645</xdr:colOff>
      <xdr:row>45</xdr:row>
      <xdr:rowOff>32201</xdr:rowOff>
    </xdr:to>
    <xdr:sp macro="" textlink="">
      <xdr:nvSpPr>
        <xdr:cNvPr id="2" name="Rectangle: Rounded Corners 1">
          <a:extLst>
            <a:ext uri="{FF2B5EF4-FFF2-40B4-BE49-F238E27FC236}">
              <a16:creationId xmlns:a16="http://schemas.microsoft.com/office/drawing/2014/main" id="{97F256AA-361B-50F1-7E4E-EC55FE7B0A68}"/>
            </a:ext>
          </a:extLst>
        </xdr:cNvPr>
        <xdr:cNvSpPr/>
      </xdr:nvSpPr>
      <xdr:spPr>
        <a:xfrm>
          <a:off x="769866" y="899160"/>
          <a:ext cx="18857779" cy="7429009"/>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541131</xdr:colOff>
      <xdr:row>27</xdr:row>
      <xdr:rowOff>24581</xdr:rowOff>
    </xdr:from>
    <xdr:to>
      <xdr:col>31</xdr:col>
      <xdr:colOff>172065</xdr:colOff>
      <xdr:row>44</xdr:row>
      <xdr:rowOff>159775</xdr:rowOff>
    </xdr:to>
    <xdr:sp macro="" textlink="">
      <xdr:nvSpPr>
        <xdr:cNvPr id="23" name="Rectangle: Rounded Corners 22">
          <a:extLst>
            <a:ext uri="{FF2B5EF4-FFF2-40B4-BE49-F238E27FC236}">
              <a16:creationId xmlns:a16="http://schemas.microsoft.com/office/drawing/2014/main" id="{9957C4CD-E83E-66A2-C057-B965CD645219}"/>
            </a:ext>
          </a:extLst>
        </xdr:cNvPr>
        <xdr:cNvSpPr/>
      </xdr:nvSpPr>
      <xdr:spPr>
        <a:xfrm>
          <a:off x="13296348" y="5093538"/>
          <a:ext cx="5704847" cy="3326759"/>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574262</xdr:colOff>
      <xdr:row>27</xdr:row>
      <xdr:rowOff>172065</xdr:rowOff>
    </xdr:from>
    <xdr:to>
      <xdr:col>21</xdr:col>
      <xdr:colOff>467035</xdr:colOff>
      <xdr:row>44</xdr:row>
      <xdr:rowOff>159775</xdr:rowOff>
    </xdr:to>
    <xdr:sp macro="" textlink="">
      <xdr:nvSpPr>
        <xdr:cNvPr id="20" name="Rectangle: Rounded Corners 19">
          <a:extLst>
            <a:ext uri="{FF2B5EF4-FFF2-40B4-BE49-F238E27FC236}">
              <a16:creationId xmlns:a16="http://schemas.microsoft.com/office/drawing/2014/main" id="{D26509A7-89D9-272C-168D-EF7F91A32D9E}"/>
            </a:ext>
          </a:extLst>
        </xdr:cNvPr>
        <xdr:cNvSpPr/>
      </xdr:nvSpPr>
      <xdr:spPr>
        <a:xfrm>
          <a:off x="7255566" y="5241022"/>
          <a:ext cx="5966686" cy="3179275"/>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152400</xdr:colOff>
      <xdr:row>27</xdr:row>
      <xdr:rowOff>137160</xdr:rowOff>
    </xdr:from>
    <xdr:to>
      <xdr:col>11</xdr:col>
      <xdr:colOff>485913</xdr:colOff>
      <xdr:row>44</xdr:row>
      <xdr:rowOff>152400</xdr:rowOff>
    </xdr:to>
    <xdr:sp macro="" textlink="">
      <xdr:nvSpPr>
        <xdr:cNvPr id="15" name="Rectangle: Rounded Corners 14">
          <a:extLst>
            <a:ext uri="{FF2B5EF4-FFF2-40B4-BE49-F238E27FC236}">
              <a16:creationId xmlns:a16="http://schemas.microsoft.com/office/drawing/2014/main" id="{7ECA8469-71C7-BBE3-1B39-04DA03B6C77C}"/>
            </a:ext>
          </a:extLst>
        </xdr:cNvPr>
        <xdr:cNvSpPr/>
      </xdr:nvSpPr>
      <xdr:spPr>
        <a:xfrm>
          <a:off x="1367183" y="5206117"/>
          <a:ext cx="5800034" cy="3206805"/>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485913</xdr:colOff>
      <xdr:row>5</xdr:row>
      <xdr:rowOff>12290</xdr:rowOff>
    </xdr:from>
    <xdr:to>
      <xdr:col>31</xdr:col>
      <xdr:colOff>159774</xdr:colOff>
      <xdr:row>23</xdr:row>
      <xdr:rowOff>86032</xdr:rowOff>
    </xdr:to>
    <xdr:sp macro="" textlink="">
      <xdr:nvSpPr>
        <xdr:cNvPr id="12" name="Rectangle: Rounded Corners 11">
          <a:extLst>
            <a:ext uri="{FF2B5EF4-FFF2-40B4-BE49-F238E27FC236}">
              <a16:creationId xmlns:a16="http://schemas.microsoft.com/office/drawing/2014/main" id="{7478FB7F-B51A-2FEB-8BDA-C77AD9FC1097}"/>
            </a:ext>
          </a:extLst>
        </xdr:cNvPr>
        <xdr:cNvSpPr/>
      </xdr:nvSpPr>
      <xdr:spPr>
        <a:xfrm>
          <a:off x="10811565" y="950986"/>
          <a:ext cx="8177339" cy="3453046"/>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525780</xdr:colOff>
      <xdr:row>5</xdr:row>
      <xdr:rowOff>73741</xdr:rowOff>
    </xdr:from>
    <xdr:to>
      <xdr:col>14</xdr:col>
      <xdr:colOff>474870</xdr:colOff>
      <xdr:row>24</xdr:row>
      <xdr:rowOff>49160</xdr:rowOff>
    </xdr:to>
    <xdr:sp macro="" textlink="">
      <xdr:nvSpPr>
        <xdr:cNvPr id="9" name="Rectangle: Rounded Corners 8">
          <a:extLst>
            <a:ext uri="{FF2B5EF4-FFF2-40B4-BE49-F238E27FC236}">
              <a16:creationId xmlns:a16="http://schemas.microsoft.com/office/drawing/2014/main" id="{D69AB519-1DD1-EC85-AEB4-594FE47D57DF}"/>
            </a:ext>
          </a:extLst>
        </xdr:cNvPr>
        <xdr:cNvSpPr/>
      </xdr:nvSpPr>
      <xdr:spPr>
        <a:xfrm>
          <a:off x="1133171" y="1012437"/>
          <a:ext cx="7845177" cy="3542462"/>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470228</xdr:colOff>
      <xdr:row>1</xdr:row>
      <xdr:rowOff>78657</xdr:rowOff>
    </xdr:from>
    <xdr:to>
      <xdr:col>23</xdr:col>
      <xdr:colOff>5407</xdr:colOff>
      <xdr:row>4</xdr:row>
      <xdr:rowOff>61452</xdr:rowOff>
    </xdr:to>
    <xdr:sp macro="" textlink="">
      <xdr:nvSpPr>
        <xdr:cNvPr id="3" name="Rectangle: Rounded Corners 2">
          <a:extLst>
            <a:ext uri="{FF2B5EF4-FFF2-40B4-BE49-F238E27FC236}">
              <a16:creationId xmlns:a16="http://schemas.microsoft.com/office/drawing/2014/main" id="{936E6F33-964F-2B86-9CA1-69C4F1C7FB8A}"/>
            </a:ext>
          </a:extLst>
        </xdr:cNvPr>
        <xdr:cNvSpPr/>
      </xdr:nvSpPr>
      <xdr:spPr>
        <a:xfrm>
          <a:off x="5386357" y="263012"/>
          <a:ext cx="8752921" cy="535859"/>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IN" sz="2800" b="1"/>
            <a:t>Jayalaxmi</a:t>
          </a:r>
          <a:r>
            <a:rPr lang="en-IN" sz="2800" b="1" baseline="0"/>
            <a:t> Agro Tech.</a:t>
          </a:r>
          <a:endParaRPr lang="en-IN" sz="2800" b="1"/>
        </a:p>
      </xdr:txBody>
    </xdr:sp>
    <xdr:clientData/>
  </xdr:twoCellAnchor>
  <xdr:twoCellAnchor>
    <xdr:from>
      <xdr:col>2</xdr:col>
      <xdr:colOff>160021</xdr:colOff>
      <xdr:row>5</xdr:row>
      <xdr:rowOff>172064</xdr:rowOff>
    </xdr:from>
    <xdr:to>
      <xdr:col>13</xdr:col>
      <xdr:colOff>585304</xdr:colOff>
      <xdr:row>23</xdr:row>
      <xdr:rowOff>98322</xdr:rowOff>
    </xdr:to>
    <xdr:graphicFrame macro="">
      <xdr:nvGraphicFramePr>
        <xdr:cNvPr id="8" name="Chart 7">
          <a:extLst>
            <a:ext uri="{FF2B5EF4-FFF2-40B4-BE49-F238E27FC236}">
              <a16:creationId xmlns:a16="http://schemas.microsoft.com/office/drawing/2014/main" id="{81B4C993-9F1C-466D-9F95-FCFC84EA0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342348</xdr:colOff>
      <xdr:row>5</xdr:row>
      <xdr:rowOff>90950</xdr:rowOff>
    </xdr:from>
    <xdr:to>
      <xdr:col>30</xdr:col>
      <xdr:colOff>503903</xdr:colOff>
      <xdr:row>22</xdr:row>
      <xdr:rowOff>135194</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9C3B6832-1DD4-40B5-9D0A-D7BFFF69B5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275391" y="1029646"/>
              <a:ext cx="7450251" cy="32358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383319</xdr:colOff>
      <xdr:row>28</xdr:row>
      <xdr:rowOff>39646</xdr:rowOff>
    </xdr:from>
    <xdr:to>
      <xdr:col>11</xdr:col>
      <xdr:colOff>298174</xdr:colOff>
      <xdr:row>44</xdr:row>
      <xdr:rowOff>9166</xdr:rowOff>
    </xdr:to>
    <xdr:graphicFrame macro="">
      <xdr:nvGraphicFramePr>
        <xdr:cNvPr id="14" name="Chart 13">
          <a:extLst>
            <a:ext uri="{FF2B5EF4-FFF2-40B4-BE49-F238E27FC236}">
              <a16:creationId xmlns:a16="http://schemas.microsoft.com/office/drawing/2014/main" id="{B38C1CD4-F81C-4B7C-BB2A-2B530D394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155104</xdr:colOff>
      <xdr:row>24</xdr:row>
      <xdr:rowOff>108403</xdr:rowOff>
    </xdr:from>
    <xdr:to>
      <xdr:col>8</xdr:col>
      <xdr:colOff>270388</xdr:colOff>
      <xdr:row>27</xdr:row>
      <xdr:rowOff>98324</xdr:rowOff>
    </xdr:to>
    <mc:AlternateContent xmlns:mc="http://schemas.openxmlformats.org/markup-compatibility/2006" xmlns:a14="http://schemas.microsoft.com/office/drawing/2010/main">
      <mc:Choice Requires="a14">
        <xdr:graphicFrame macro="">
          <xdr:nvGraphicFramePr>
            <xdr:cNvPr id="17" name="training_on_sericulture 1">
              <a:extLst>
                <a:ext uri="{FF2B5EF4-FFF2-40B4-BE49-F238E27FC236}">
                  <a16:creationId xmlns:a16="http://schemas.microsoft.com/office/drawing/2014/main" id="{8D7480B4-2B8A-43F5-80AF-BDA14DCDADD0}"/>
                </a:ext>
              </a:extLst>
            </xdr:cNvPr>
            <xdr:cNvGraphicFramePr/>
          </xdr:nvGraphicFramePr>
          <xdr:xfrm>
            <a:off x="0" y="0"/>
            <a:ext cx="0" cy="0"/>
          </xdr:xfrm>
          <a:graphic>
            <a:graphicData uri="http://schemas.microsoft.com/office/drawing/2010/slicer">
              <sle:slicer xmlns:sle="http://schemas.microsoft.com/office/drawing/2010/slicer" name="training_on_sericulture 1"/>
            </a:graphicData>
          </a:graphic>
        </xdr:graphicFrame>
      </mc:Choice>
      <mc:Fallback xmlns="">
        <xdr:sp macro="" textlink="">
          <xdr:nvSpPr>
            <xdr:cNvPr id="0" name=""/>
            <xdr:cNvSpPr>
              <a:spLocks noTextEdit="1"/>
            </xdr:cNvSpPr>
          </xdr:nvSpPr>
          <xdr:spPr>
            <a:xfrm>
              <a:off x="2584669" y="4614142"/>
              <a:ext cx="2544849" cy="553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110434</xdr:colOff>
      <xdr:row>28</xdr:row>
      <xdr:rowOff>122904</xdr:rowOff>
    </xdr:from>
    <xdr:to>
      <xdr:col>21</xdr:col>
      <xdr:colOff>294967</xdr:colOff>
      <xdr:row>44</xdr:row>
      <xdr:rowOff>41296</xdr:rowOff>
    </xdr:to>
    <xdr:graphicFrame macro="">
      <xdr:nvGraphicFramePr>
        <xdr:cNvPr id="19" name="Chart 18">
          <a:extLst>
            <a:ext uri="{FF2B5EF4-FFF2-40B4-BE49-F238E27FC236}">
              <a16:creationId xmlns:a16="http://schemas.microsoft.com/office/drawing/2014/main" id="{938491BA-9440-40A2-A2A3-5A7B86704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231913</xdr:colOff>
      <xdr:row>27</xdr:row>
      <xdr:rowOff>98322</xdr:rowOff>
    </xdr:from>
    <xdr:to>
      <xdr:col>30</xdr:col>
      <xdr:colOff>565354</xdr:colOff>
      <xdr:row>44</xdr:row>
      <xdr:rowOff>61452</xdr:rowOff>
    </xdr:to>
    <xdr:graphicFrame macro="">
      <xdr:nvGraphicFramePr>
        <xdr:cNvPr id="22" name="Chart 21">
          <a:extLst>
            <a:ext uri="{FF2B5EF4-FFF2-40B4-BE49-F238E27FC236}">
              <a16:creationId xmlns:a16="http://schemas.microsoft.com/office/drawing/2014/main" id="{0D858A3B-D972-48F1-A32A-F3D068D20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155348</xdr:colOff>
      <xdr:row>24</xdr:row>
      <xdr:rowOff>38839</xdr:rowOff>
    </xdr:from>
    <xdr:to>
      <xdr:col>21</xdr:col>
      <xdr:colOff>98322</xdr:colOff>
      <xdr:row>27</xdr:row>
      <xdr:rowOff>110614</xdr:rowOff>
    </xdr:to>
    <mc:AlternateContent xmlns:mc="http://schemas.openxmlformats.org/markup-compatibility/2006" xmlns:a14="http://schemas.microsoft.com/office/drawing/2010/main">
      <mc:Choice Requires="a14">
        <xdr:graphicFrame macro="">
          <xdr:nvGraphicFramePr>
            <xdr:cNvPr id="25" name="District 2">
              <a:extLst>
                <a:ext uri="{FF2B5EF4-FFF2-40B4-BE49-F238E27FC236}">
                  <a16:creationId xmlns:a16="http://schemas.microsoft.com/office/drawing/2014/main" id="{2E0A0AD1-B5D9-438A-B98A-A5EAF4C37B6D}"/>
                </a:ext>
              </a:extLst>
            </xdr:cNvPr>
            <xdr:cNvGraphicFramePr/>
          </xdr:nvGraphicFramePr>
          <xdr:xfrm>
            <a:off x="0" y="0"/>
            <a:ext cx="0" cy="0"/>
          </xdr:xfrm>
          <a:graphic>
            <a:graphicData uri="http://schemas.microsoft.com/office/drawing/2010/slicer">
              <sle:slicer xmlns:sle="http://schemas.microsoft.com/office/drawing/2010/slicer" name="District 2"/>
            </a:graphicData>
          </a:graphic>
        </xdr:graphicFrame>
      </mc:Choice>
      <mc:Fallback xmlns="">
        <xdr:sp macro="" textlink="">
          <xdr:nvSpPr>
            <xdr:cNvPr id="0" name=""/>
            <xdr:cNvSpPr>
              <a:spLocks noTextEdit="1"/>
            </xdr:cNvSpPr>
          </xdr:nvSpPr>
          <xdr:spPr>
            <a:xfrm>
              <a:off x="8051435" y="4544578"/>
              <a:ext cx="4802104" cy="634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130767</xdr:colOff>
      <xdr:row>23</xdr:row>
      <xdr:rowOff>124872</xdr:rowOff>
    </xdr:from>
    <xdr:to>
      <xdr:col>30</xdr:col>
      <xdr:colOff>516193</xdr:colOff>
      <xdr:row>27</xdr:row>
      <xdr:rowOff>12292</xdr:rowOff>
    </xdr:to>
    <mc:AlternateContent xmlns:mc="http://schemas.openxmlformats.org/markup-compatibility/2006" xmlns:a14="http://schemas.microsoft.com/office/drawing/2010/main">
      <mc:Choice Requires="a14">
        <xdr:graphicFrame macro="">
          <xdr:nvGraphicFramePr>
            <xdr:cNvPr id="27" name="District 3">
              <a:extLst>
                <a:ext uri="{FF2B5EF4-FFF2-40B4-BE49-F238E27FC236}">
                  <a16:creationId xmlns:a16="http://schemas.microsoft.com/office/drawing/2014/main" id="{262D6D85-0937-48C3-86A1-A550540BC982}"/>
                </a:ext>
              </a:extLst>
            </xdr:cNvPr>
            <xdr:cNvGraphicFramePr/>
          </xdr:nvGraphicFramePr>
          <xdr:xfrm>
            <a:off x="0" y="0"/>
            <a:ext cx="0" cy="0"/>
          </xdr:xfrm>
          <a:graphic>
            <a:graphicData uri="http://schemas.microsoft.com/office/drawing/2010/slicer">
              <sle:slicer xmlns:sle="http://schemas.microsoft.com/office/drawing/2010/slicer" name="District 3"/>
            </a:graphicData>
          </a:graphic>
        </xdr:graphicFrame>
      </mc:Choice>
      <mc:Fallback xmlns="">
        <xdr:sp macro="" textlink="">
          <xdr:nvSpPr>
            <xdr:cNvPr id="0" name=""/>
            <xdr:cNvSpPr>
              <a:spLocks noTextEdit="1"/>
            </xdr:cNvSpPr>
          </xdr:nvSpPr>
          <xdr:spPr>
            <a:xfrm>
              <a:off x="14100767" y="4442872"/>
              <a:ext cx="4637165" cy="638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IB/stats/5%20Harvard-Case-Spreadsheet-Data_Enabled-Sanal.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IB/stats/5%20Harvard-Case-Spreadsheet-Data_Enabled-Sanal.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refreshedDate="45911.049687268518" createdVersion="8" refreshedVersion="8" minRefreshableVersion="3" recordCount="1218" xr:uid="{0BD9F1F9-5788-4D96-9D4D-FE8C0C5B98DC}">
  <cacheSource type="worksheet">
    <worksheetSource ref="A1:K1219" sheet="Hypotheis Test Data"/>
  </cacheSource>
  <cacheFields count="11">
    <cacheField name="person_id" numFmtId="0">
      <sharedItems containsSemiMixedTypes="0" containsString="0" containsNumber="1" containsInteger="1" minValue="5" maxValue="4197"/>
    </cacheField>
    <cacheField name="income_per_acre" numFmtId="1">
      <sharedItems containsSemiMixedTypes="0" containsString="0" containsNumber="1" minValue="-79646.017699999997" maxValue="155172.41380000001"/>
    </cacheField>
    <cacheField name="gender" numFmtId="0">
      <sharedItems count="2">
        <s v="Female"/>
        <s v="Male"/>
      </sharedItems>
    </cacheField>
    <cacheField name="female" numFmtId="0">
      <sharedItems containsSemiMixedTypes="0" containsString="0" containsNumber="1" containsInteger="1" minValue="0" maxValue="1" count="2">
        <n v="1"/>
        <n v="0"/>
      </sharedItems>
    </cacheField>
    <cacheField name="training_on_sericulture" numFmtId="0">
      <sharedItems containsSemiMixedTypes="0" containsString="0" containsNumber="1" containsInteger="1" minValue="0" maxValue="1" count="2">
        <n v="0"/>
        <n v="1"/>
      </sharedItems>
    </cacheField>
    <cacheField name="crop_insured" numFmtId="0">
      <sharedItems containsSemiMixedTypes="0" containsString="0" containsNumber="1" containsInteger="1" minValue="0" maxValue="1" count="2">
        <n v="0"/>
        <n v="1"/>
      </sharedItems>
    </cacheField>
    <cacheField name="chawki_bivol" numFmtId="0">
      <sharedItems containsSemiMixedTypes="0" containsString="0" containsNumber="1" containsInteger="1" minValue="0" maxValue="1"/>
    </cacheField>
    <cacheField name="chawki_combo_other" numFmtId="0">
      <sharedItems containsSemiMixedTypes="0" containsString="0" containsNumber="1" containsInteger="1" minValue="0" maxValue="1"/>
    </cacheField>
    <cacheField name="district" numFmtId="0">
      <sharedItems count="5">
        <s v="Bellary"/>
        <s v="Chikballapur"/>
        <s v="Tumakuru"/>
        <s v="Belagavi"/>
        <s v="Mandya"/>
      </sharedItems>
    </cacheField>
    <cacheField name="loan_repaid" numFmtId="0">
      <sharedItems containsSemiMixedTypes="0" containsString="0" containsNumber="1" containsInteger="1" minValue="0" maxValue="1" count="2">
        <n v="1"/>
        <n v="0"/>
      </sharedItems>
    </cacheField>
    <cacheField name="affected_by_pest"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3184896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refreshedDate="45911.953352314813" createdVersion="8" refreshedVersion="8" minRefreshableVersion="3" recordCount="5" xr:uid="{F933B7E5-FD21-4335-9185-C3484A3AC3E6}">
  <cacheSource type="worksheet">
    <worksheetSource ref="A2:C7" sheet="Sheet24" r:id="rId2"/>
  </cacheSource>
  <cacheFields count="3">
    <cacheField name="District" numFmtId="0">
      <sharedItems count="5">
        <s v="Belagavi"/>
        <s v="Bellary"/>
        <s v="Chikballapur"/>
        <s v="Mandya"/>
        <s v="Tumakuru"/>
      </sharedItems>
    </cacheField>
    <cacheField name="Not_using_chawki_bivol" numFmtId="0">
      <sharedItems containsSemiMixedTypes="0" containsString="0" containsNumber="1" containsInteger="1" minValue="2" maxValue="204"/>
    </cacheField>
    <cacheField name="Using_chawki_bivol" numFmtId="0">
      <sharedItems containsSemiMixedTypes="0" containsString="0" containsNumber="1" containsInteger="1" minValue="1" maxValue="397"/>
    </cacheField>
  </cacheFields>
  <extLst>
    <ext xmlns:x14="http://schemas.microsoft.com/office/spreadsheetml/2009/9/main" uri="{725AE2AE-9491-48be-B2B4-4EB974FC3084}">
      <x14:pivotCacheDefinition pivotCacheId="18582154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refreshedDate="45911.954095601854" createdVersion="8" refreshedVersion="8" minRefreshableVersion="3" recordCount="5" xr:uid="{255558AD-BB15-4689-A1B0-4550E63327F0}">
  <cacheSource type="worksheet">
    <worksheetSource ref="E2:G7" sheet="Sheet24" r:id="rId2"/>
  </cacheSource>
  <cacheFields count="3">
    <cacheField name="District" numFmtId="0">
      <sharedItems count="5">
        <s v="Belagavi"/>
        <s v="Bellary"/>
        <s v="Chikballapur"/>
        <s v="Mandya"/>
        <s v="Tumakuru"/>
      </sharedItems>
    </cacheField>
    <cacheField name="Trained" numFmtId="0">
      <sharedItems containsSemiMixedTypes="0" containsString="0" containsNumber="1" containsInteger="1" minValue="9" maxValue="382"/>
    </cacheField>
    <cacheField name="Untrained" numFmtId="0">
      <sharedItems containsSemiMixedTypes="0" containsString="0" containsNumber="1" containsInteger="1" minValue="26" maxValue="342"/>
    </cacheField>
  </cacheFields>
  <extLst>
    <ext xmlns:x14="http://schemas.microsoft.com/office/spreadsheetml/2009/9/main" uri="{725AE2AE-9491-48be-B2B4-4EB974FC3084}">
      <x14:pivotCacheDefinition pivotCacheId="1338100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8">
  <r>
    <n v="5"/>
    <n v="35937.5"/>
    <x v="0"/>
    <x v="0"/>
    <x v="0"/>
    <x v="0"/>
    <n v="1"/>
    <n v="0"/>
    <x v="0"/>
    <x v="0"/>
    <x v="0"/>
  </r>
  <r>
    <n v="8"/>
    <n v="61264.82213"/>
    <x v="1"/>
    <x v="1"/>
    <x v="1"/>
    <x v="1"/>
    <n v="1"/>
    <n v="0"/>
    <x v="0"/>
    <x v="0"/>
    <x v="1"/>
  </r>
  <r>
    <n v="10"/>
    <n v="25000"/>
    <x v="0"/>
    <x v="0"/>
    <x v="1"/>
    <x v="0"/>
    <n v="1"/>
    <n v="0"/>
    <x v="0"/>
    <x v="0"/>
    <x v="1"/>
  </r>
  <r>
    <n v="18"/>
    <n v="31111.111110000002"/>
    <x v="1"/>
    <x v="1"/>
    <x v="1"/>
    <x v="0"/>
    <n v="0"/>
    <n v="1"/>
    <x v="0"/>
    <x v="0"/>
    <x v="0"/>
  </r>
  <r>
    <n v="19"/>
    <n v="20161.29032"/>
    <x v="1"/>
    <x v="1"/>
    <x v="1"/>
    <x v="0"/>
    <n v="1"/>
    <n v="0"/>
    <x v="0"/>
    <x v="0"/>
    <x v="1"/>
  </r>
  <r>
    <n v="21"/>
    <n v="24000"/>
    <x v="0"/>
    <x v="0"/>
    <x v="1"/>
    <x v="0"/>
    <n v="1"/>
    <n v="0"/>
    <x v="0"/>
    <x v="0"/>
    <x v="0"/>
  </r>
  <r>
    <n v="24"/>
    <n v="32500"/>
    <x v="1"/>
    <x v="1"/>
    <x v="1"/>
    <x v="1"/>
    <n v="1"/>
    <n v="0"/>
    <x v="0"/>
    <x v="0"/>
    <x v="0"/>
  </r>
  <r>
    <n v="25"/>
    <n v="24444.444439999999"/>
    <x v="0"/>
    <x v="0"/>
    <x v="1"/>
    <x v="1"/>
    <n v="1"/>
    <n v="0"/>
    <x v="0"/>
    <x v="0"/>
    <x v="0"/>
  </r>
  <r>
    <n v="26"/>
    <n v="21739.130430000001"/>
    <x v="1"/>
    <x v="1"/>
    <x v="1"/>
    <x v="0"/>
    <n v="1"/>
    <n v="0"/>
    <x v="0"/>
    <x v="1"/>
    <x v="0"/>
  </r>
  <r>
    <n v="27"/>
    <n v="15000"/>
    <x v="1"/>
    <x v="1"/>
    <x v="1"/>
    <x v="0"/>
    <n v="1"/>
    <n v="0"/>
    <x v="0"/>
    <x v="0"/>
    <x v="0"/>
  </r>
  <r>
    <n v="29"/>
    <n v="33333.333330000001"/>
    <x v="1"/>
    <x v="1"/>
    <x v="1"/>
    <x v="1"/>
    <n v="1"/>
    <n v="0"/>
    <x v="0"/>
    <x v="1"/>
    <x v="0"/>
  </r>
  <r>
    <n v="31"/>
    <n v="23255.81395"/>
    <x v="1"/>
    <x v="1"/>
    <x v="1"/>
    <x v="1"/>
    <n v="1"/>
    <n v="0"/>
    <x v="0"/>
    <x v="0"/>
    <x v="1"/>
  </r>
  <r>
    <n v="32"/>
    <n v="67500"/>
    <x v="1"/>
    <x v="1"/>
    <x v="1"/>
    <x v="1"/>
    <n v="1"/>
    <n v="0"/>
    <x v="0"/>
    <x v="0"/>
    <x v="0"/>
  </r>
  <r>
    <n v="33"/>
    <n v="28888.888889999998"/>
    <x v="1"/>
    <x v="1"/>
    <x v="1"/>
    <x v="1"/>
    <n v="1"/>
    <n v="0"/>
    <x v="0"/>
    <x v="1"/>
    <x v="0"/>
  </r>
  <r>
    <n v="35"/>
    <n v="-12500"/>
    <x v="1"/>
    <x v="1"/>
    <x v="1"/>
    <x v="0"/>
    <n v="1"/>
    <n v="0"/>
    <x v="0"/>
    <x v="1"/>
    <x v="0"/>
  </r>
  <r>
    <n v="38"/>
    <n v="-833.33333330000005"/>
    <x v="1"/>
    <x v="1"/>
    <x v="1"/>
    <x v="0"/>
    <n v="0"/>
    <n v="1"/>
    <x v="0"/>
    <x v="0"/>
    <x v="0"/>
  </r>
  <r>
    <n v="58"/>
    <n v="0"/>
    <x v="1"/>
    <x v="1"/>
    <x v="1"/>
    <x v="0"/>
    <n v="0"/>
    <n v="1"/>
    <x v="0"/>
    <x v="0"/>
    <x v="0"/>
  </r>
  <r>
    <n v="59"/>
    <n v="-2500"/>
    <x v="1"/>
    <x v="1"/>
    <x v="1"/>
    <x v="0"/>
    <n v="0"/>
    <n v="1"/>
    <x v="0"/>
    <x v="0"/>
    <x v="0"/>
  </r>
  <r>
    <n v="60"/>
    <n v="0"/>
    <x v="1"/>
    <x v="1"/>
    <x v="0"/>
    <x v="0"/>
    <n v="1"/>
    <n v="0"/>
    <x v="0"/>
    <x v="0"/>
    <x v="1"/>
  </r>
  <r>
    <n v="63"/>
    <n v="0"/>
    <x v="1"/>
    <x v="1"/>
    <x v="1"/>
    <x v="0"/>
    <n v="1"/>
    <n v="0"/>
    <x v="0"/>
    <x v="1"/>
    <x v="0"/>
  </r>
  <r>
    <n v="64"/>
    <n v="-5376.3440860000001"/>
    <x v="1"/>
    <x v="1"/>
    <x v="0"/>
    <x v="0"/>
    <n v="0"/>
    <n v="1"/>
    <x v="0"/>
    <x v="0"/>
    <x v="1"/>
  </r>
  <r>
    <n v="65"/>
    <n v="50000"/>
    <x v="1"/>
    <x v="1"/>
    <x v="0"/>
    <x v="0"/>
    <n v="1"/>
    <n v="0"/>
    <x v="0"/>
    <x v="0"/>
    <x v="1"/>
  </r>
  <r>
    <n v="66"/>
    <n v="50000"/>
    <x v="1"/>
    <x v="1"/>
    <x v="0"/>
    <x v="0"/>
    <n v="0"/>
    <n v="1"/>
    <x v="0"/>
    <x v="0"/>
    <x v="1"/>
  </r>
  <r>
    <n v="67"/>
    <n v="60000"/>
    <x v="1"/>
    <x v="1"/>
    <x v="0"/>
    <x v="0"/>
    <n v="1"/>
    <n v="0"/>
    <x v="0"/>
    <x v="0"/>
    <x v="1"/>
  </r>
  <r>
    <n v="68"/>
    <n v="25000"/>
    <x v="1"/>
    <x v="1"/>
    <x v="0"/>
    <x v="0"/>
    <n v="0"/>
    <n v="1"/>
    <x v="0"/>
    <x v="0"/>
    <x v="1"/>
  </r>
  <r>
    <n v="69"/>
    <n v="26666.666669999999"/>
    <x v="1"/>
    <x v="1"/>
    <x v="1"/>
    <x v="0"/>
    <n v="1"/>
    <n v="0"/>
    <x v="0"/>
    <x v="0"/>
    <x v="0"/>
  </r>
  <r>
    <n v="72"/>
    <n v="13333.333329999999"/>
    <x v="0"/>
    <x v="0"/>
    <x v="0"/>
    <x v="0"/>
    <n v="1"/>
    <n v="0"/>
    <x v="0"/>
    <x v="0"/>
    <x v="1"/>
  </r>
  <r>
    <n v="75"/>
    <n v="50000"/>
    <x v="1"/>
    <x v="1"/>
    <x v="1"/>
    <x v="0"/>
    <n v="0"/>
    <n v="1"/>
    <x v="0"/>
    <x v="0"/>
    <x v="0"/>
  </r>
  <r>
    <n v="76"/>
    <n v="50000"/>
    <x v="1"/>
    <x v="1"/>
    <x v="1"/>
    <x v="0"/>
    <n v="0"/>
    <n v="1"/>
    <x v="0"/>
    <x v="0"/>
    <x v="0"/>
  </r>
  <r>
    <n v="77"/>
    <n v="40000"/>
    <x v="1"/>
    <x v="1"/>
    <x v="1"/>
    <x v="0"/>
    <n v="0"/>
    <n v="1"/>
    <x v="0"/>
    <x v="0"/>
    <x v="1"/>
  </r>
  <r>
    <n v="79"/>
    <n v="40000"/>
    <x v="1"/>
    <x v="1"/>
    <x v="1"/>
    <x v="0"/>
    <n v="0"/>
    <n v="1"/>
    <x v="0"/>
    <x v="0"/>
    <x v="1"/>
  </r>
  <r>
    <n v="80"/>
    <n v="60000"/>
    <x v="1"/>
    <x v="1"/>
    <x v="1"/>
    <x v="0"/>
    <n v="0"/>
    <n v="1"/>
    <x v="0"/>
    <x v="0"/>
    <x v="0"/>
  </r>
  <r>
    <n v="81"/>
    <n v="10000"/>
    <x v="1"/>
    <x v="1"/>
    <x v="0"/>
    <x v="0"/>
    <n v="0"/>
    <n v="1"/>
    <x v="0"/>
    <x v="0"/>
    <x v="1"/>
  </r>
  <r>
    <n v="82"/>
    <n v="50000"/>
    <x v="1"/>
    <x v="1"/>
    <x v="1"/>
    <x v="0"/>
    <n v="0"/>
    <n v="1"/>
    <x v="0"/>
    <x v="0"/>
    <x v="0"/>
  </r>
  <r>
    <n v="84"/>
    <n v="120000"/>
    <x v="1"/>
    <x v="1"/>
    <x v="0"/>
    <x v="0"/>
    <n v="1"/>
    <n v="0"/>
    <x v="0"/>
    <x v="0"/>
    <x v="0"/>
  </r>
  <r>
    <n v="86"/>
    <n v="-20000"/>
    <x v="1"/>
    <x v="1"/>
    <x v="1"/>
    <x v="0"/>
    <n v="0"/>
    <n v="1"/>
    <x v="0"/>
    <x v="0"/>
    <x v="1"/>
  </r>
  <r>
    <n v="88"/>
    <n v="50000"/>
    <x v="1"/>
    <x v="1"/>
    <x v="1"/>
    <x v="1"/>
    <n v="0"/>
    <n v="1"/>
    <x v="0"/>
    <x v="0"/>
    <x v="0"/>
  </r>
  <r>
    <n v="89"/>
    <n v="60000"/>
    <x v="1"/>
    <x v="1"/>
    <x v="1"/>
    <x v="0"/>
    <n v="0"/>
    <n v="1"/>
    <x v="0"/>
    <x v="0"/>
    <x v="1"/>
  </r>
  <r>
    <n v="92"/>
    <n v="20000"/>
    <x v="1"/>
    <x v="1"/>
    <x v="0"/>
    <x v="0"/>
    <n v="1"/>
    <n v="0"/>
    <x v="0"/>
    <x v="0"/>
    <x v="0"/>
  </r>
  <r>
    <n v="95"/>
    <n v="70000"/>
    <x v="1"/>
    <x v="1"/>
    <x v="1"/>
    <x v="0"/>
    <n v="0"/>
    <n v="1"/>
    <x v="0"/>
    <x v="0"/>
    <x v="0"/>
  </r>
  <r>
    <n v="96"/>
    <n v="40000"/>
    <x v="1"/>
    <x v="1"/>
    <x v="0"/>
    <x v="0"/>
    <n v="1"/>
    <n v="0"/>
    <x v="0"/>
    <x v="0"/>
    <x v="1"/>
  </r>
  <r>
    <n v="97"/>
    <n v="50000"/>
    <x v="1"/>
    <x v="1"/>
    <x v="1"/>
    <x v="0"/>
    <n v="0"/>
    <n v="1"/>
    <x v="0"/>
    <x v="0"/>
    <x v="1"/>
  </r>
  <r>
    <n v="98"/>
    <n v="60000"/>
    <x v="0"/>
    <x v="0"/>
    <x v="0"/>
    <x v="0"/>
    <n v="0"/>
    <n v="1"/>
    <x v="0"/>
    <x v="0"/>
    <x v="1"/>
  </r>
  <r>
    <n v="103"/>
    <n v="33333.333330000001"/>
    <x v="0"/>
    <x v="0"/>
    <x v="0"/>
    <x v="0"/>
    <n v="1"/>
    <n v="0"/>
    <x v="0"/>
    <x v="0"/>
    <x v="1"/>
  </r>
  <r>
    <n v="104"/>
    <n v="40000"/>
    <x v="1"/>
    <x v="1"/>
    <x v="0"/>
    <x v="0"/>
    <n v="1"/>
    <n v="0"/>
    <x v="0"/>
    <x v="0"/>
    <x v="1"/>
  </r>
  <r>
    <n v="106"/>
    <n v="36666.666669999999"/>
    <x v="1"/>
    <x v="1"/>
    <x v="1"/>
    <x v="0"/>
    <n v="0"/>
    <n v="1"/>
    <x v="0"/>
    <x v="0"/>
    <x v="0"/>
  </r>
  <r>
    <n v="107"/>
    <n v="30000"/>
    <x v="1"/>
    <x v="1"/>
    <x v="1"/>
    <x v="0"/>
    <n v="0"/>
    <n v="1"/>
    <x v="0"/>
    <x v="0"/>
    <x v="0"/>
  </r>
  <r>
    <n v="111"/>
    <n v="33333.333330000001"/>
    <x v="1"/>
    <x v="1"/>
    <x v="0"/>
    <x v="0"/>
    <n v="1"/>
    <n v="0"/>
    <x v="0"/>
    <x v="0"/>
    <x v="1"/>
  </r>
  <r>
    <n v="115"/>
    <n v="-40000"/>
    <x v="1"/>
    <x v="1"/>
    <x v="1"/>
    <x v="0"/>
    <n v="0"/>
    <n v="1"/>
    <x v="0"/>
    <x v="0"/>
    <x v="0"/>
  </r>
  <r>
    <n v="116"/>
    <n v="30000"/>
    <x v="1"/>
    <x v="1"/>
    <x v="1"/>
    <x v="0"/>
    <n v="0"/>
    <n v="1"/>
    <x v="0"/>
    <x v="0"/>
    <x v="0"/>
  </r>
  <r>
    <n v="120"/>
    <n v="45000"/>
    <x v="1"/>
    <x v="1"/>
    <x v="1"/>
    <x v="0"/>
    <n v="1"/>
    <n v="0"/>
    <x v="0"/>
    <x v="0"/>
    <x v="0"/>
  </r>
  <r>
    <n v="124"/>
    <n v="-20771.513350000001"/>
    <x v="1"/>
    <x v="1"/>
    <x v="1"/>
    <x v="0"/>
    <n v="0"/>
    <n v="1"/>
    <x v="0"/>
    <x v="1"/>
    <x v="0"/>
  </r>
  <r>
    <n v="126"/>
    <n v="21739.130430000001"/>
    <x v="0"/>
    <x v="0"/>
    <x v="1"/>
    <x v="1"/>
    <n v="1"/>
    <n v="0"/>
    <x v="0"/>
    <x v="0"/>
    <x v="0"/>
  </r>
  <r>
    <n v="128"/>
    <n v="-10000"/>
    <x v="0"/>
    <x v="0"/>
    <x v="0"/>
    <x v="0"/>
    <n v="0"/>
    <n v="1"/>
    <x v="0"/>
    <x v="0"/>
    <x v="0"/>
  </r>
  <r>
    <n v="132"/>
    <n v="27500"/>
    <x v="1"/>
    <x v="1"/>
    <x v="1"/>
    <x v="0"/>
    <n v="1"/>
    <n v="0"/>
    <x v="0"/>
    <x v="0"/>
    <x v="0"/>
  </r>
  <r>
    <n v="133"/>
    <n v="-7692.3076920000003"/>
    <x v="0"/>
    <x v="0"/>
    <x v="1"/>
    <x v="0"/>
    <n v="1"/>
    <n v="0"/>
    <x v="0"/>
    <x v="0"/>
    <x v="1"/>
  </r>
  <r>
    <n v="135"/>
    <n v="13432.83582"/>
    <x v="1"/>
    <x v="1"/>
    <x v="1"/>
    <x v="1"/>
    <n v="1"/>
    <n v="0"/>
    <x v="0"/>
    <x v="0"/>
    <x v="0"/>
  </r>
  <r>
    <n v="136"/>
    <n v="72000"/>
    <x v="1"/>
    <x v="1"/>
    <x v="1"/>
    <x v="0"/>
    <n v="1"/>
    <n v="0"/>
    <x v="0"/>
    <x v="1"/>
    <x v="1"/>
  </r>
  <r>
    <n v="140"/>
    <n v="73333.333329999994"/>
    <x v="1"/>
    <x v="1"/>
    <x v="1"/>
    <x v="0"/>
    <n v="0"/>
    <n v="1"/>
    <x v="0"/>
    <x v="0"/>
    <x v="1"/>
  </r>
  <r>
    <n v="143"/>
    <n v="58823.529410000003"/>
    <x v="1"/>
    <x v="1"/>
    <x v="0"/>
    <x v="0"/>
    <n v="0"/>
    <n v="1"/>
    <x v="0"/>
    <x v="0"/>
    <x v="1"/>
  </r>
  <r>
    <n v="145"/>
    <n v="25000"/>
    <x v="0"/>
    <x v="0"/>
    <x v="1"/>
    <x v="0"/>
    <n v="0"/>
    <n v="1"/>
    <x v="0"/>
    <x v="0"/>
    <x v="1"/>
  </r>
  <r>
    <n v="149"/>
    <n v="50000"/>
    <x v="1"/>
    <x v="1"/>
    <x v="0"/>
    <x v="0"/>
    <n v="0"/>
    <n v="1"/>
    <x v="0"/>
    <x v="1"/>
    <x v="0"/>
  </r>
  <r>
    <n v="150"/>
    <n v="40000"/>
    <x v="1"/>
    <x v="1"/>
    <x v="1"/>
    <x v="0"/>
    <n v="0"/>
    <n v="1"/>
    <x v="0"/>
    <x v="1"/>
    <x v="0"/>
  </r>
  <r>
    <n v="153"/>
    <n v="80000"/>
    <x v="1"/>
    <x v="1"/>
    <x v="0"/>
    <x v="0"/>
    <n v="0"/>
    <n v="1"/>
    <x v="0"/>
    <x v="1"/>
    <x v="0"/>
  </r>
  <r>
    <n v="154"/>
    <n v="9090.9090909999995"/>
    <x v="1"/>
    <x v="1"/>
    <x v="0"/>
    <x v="0"/>
    <n v="0"/>
    <n v="1"/>
    <x v="0"/>
    <x v="1"/>
    <x v="0"/>
  </r>
  <r>
    <n v="161"/>
    <n v="35000"/>
    <x v="1"/>
    <x v="1"/>
    <x v="1"/>
    <x v="0"/>
    <n v="0"/>
    <n v="1"/>
    <x v="0"/>
    <x v="0"/>
    <x v="1"/>
  </r>
  <r>
    <n v="165"/>
    <n v="-12000"/>
    <x v="1"/>
    <x v="1"/>
    <x v="0"/>
    <x v="0"/>
    <n v="1"/>
    <n v="0"/>
    <x v="0"/>
    <x v="0"/>
    <x v="1"/>
  </r>
  <r>
    <n v="169"/>
    <n v="-12500"/>
    <x v="1"/>
    <x v="1"/>
    <x v="1"/>
    <x v="1"/>
    <n v="1"/>
    <n v="0"/>
    <x v="0"/>
    <x v="0"/>
    <x v="0"/>
  </r>
  <r>
    <n v="174"/>
    <n v="40000"/>
    <x v="0"/>
    <x v="0"/>
    <x v="0"/>
    <x v="0"/>
    <n v="0"/>
    <n v="1"/>
    <x v="0"/>
    <x v="0"/>
    <x v="0"/>
  </r>
  <r>
    <n v="175"/>
    <n v="50000"/>
    <x v="1"/>
    <x v="1"/>
    <x v="0"/>
    <x v="0"/>
    <n v="0"/>
    <n v="1"/>
    <x v="0"/>
    <x v="1"/>
    <x v="1"/>
  </r>
  <r>
    <n v="181"/>
    <n v="66666.666670000006"/>
    <x v="1"/>
    <x v="1"/>
    <x v="1"/>
    <x v="0"/>
    <n v="0"/>
    <n v="1"/>
    <x v="0"/>
    <x v="0"/>
    <x v="1"/>
  </r>
  <r>
    <n v="183"/>
    <n v="7777.7777779999997"/>
    <x v="1"/>
    <x v="1"/>
    <x v="0"/>
    <x v="0"/>
    <n v="1"/>
    <n v="0"/>
    <x v="0"/>
    <x v="1"/>
    <x v="0"/>
  </r>
  <r>
    <n v="184"/>
    <n v="10000"/>
    <x v="1"/>
    <x v="1"/>
    <x v="1"/>
    <x v="0"/>
    <n v="0"/>
    <n v="1"/>
    <x v="0"/>
    <x v="1"/>
    <x v="0"/>
  </r>
  <r>
    <n v="185"/>
    <n v="33333.333330000001"/>
    <x v="1"/>
    <x v="1"/>
    <x v="0"/>
    <x v="0"/>
    <n v="0"/>
    <n v="1"/>
    <x v="0"/>
    <x v="0"/>
    <x v="1"/>
  </r>
  <r>
    <n v="186"/>
    <n v="26666.666669999999"/>
    <x v="1"/>
    <x v="1"/>
    <x v="0"/>
    <x v="0"/>
    <n v="1"/>
    <n v="0"/>
    <x v="0"/>
    <x v="0"/>
    <x v="1"/>
  </r>
  <r>
    <n v="187"/>
    <n v="14285.71429"/>
    <x v="1"/>
    <x v="1"/>
    <x v="0"/>
    <x v="0"/>
    <n v="0"/>
    <n v="1"/>
    <x v="0"/>
    <x v="1"/>
    <x v="1"/>
  </r>
  <r>
    <n v="190"/>
    <n v="40000"/>
    <x v="1"/>
    <x v="1"/>
    <x v="0"/>
    <x v="0"/>
    <n v="1"/>
    <n v="0"/>
    <x v="0"/>
    <x v="0"/>
    <x v="0"/>
  </r>
  <r>
    <n v="192"/>
    <n v="-20000"/>
    <x v="1"/>
    <x v="1"/>
    <x v="0"/>
    <x v="0"/>
    <n v="1"/>
    <n v="0"/>
    <x v="0"/>
    <x v="0"/>
    <x v="0"/>
  </r>
  <r>
    <n v="193"/>
    <n v="25000"/>
    <x v="1"/>
    <x v="1"/>
    <x v="0"/>
    <x v="0"/>
    <n v="1"/>
    <n v="0"/>
    <x v="0"/>
    <x v="0"/>
    <x v="1"/>
  </r>
  <r>
    <n v="194"/>
    <n v="100000"/>
    <x v="0"/>
    <x v="0"/>
    <x v="0"/>
    <x v="0"/>
    <n v="0"/>
    <n v="1"/>
    <x v="0"/>
    <x v="0"/>
    <x v="1"/>
  </r>
  <r>
    <n v="199"/>
    <n v="10000"/>
    <x v="0"/>
    <x v="0"/>
    <x v="0"/>
    <x v="0"/>
    <n v="0"/>
    <n v="1"/>
    <x v="0"/>
    <x v="0"/>
    <x v="0"/>
  </r>
  <r>
    <n v="200"/>
    <n v="28000"/>
    <x v="1"/>
    <x v="1"/>
    <x v="0"/>
    <x v="0"/>
    <n v="0"/>
    <n v="1"/>
    <x v="0"/>
    <x v="0"/>
    <x v="0"/>
  </r>
  <r>
    <n v="201"/>
    <n v="60000"/>
    <x v="1"/>
    <x v="1"/>
    <x v="0"/>
    <x v="0"/>
    <n v="0"/>
    <n v="1"/>
    <x v="0"/>
    <x v="0"/>
    <x v="0"/>
  </r>
  <r>
    <n v="202"/>
    <n v="28000"/>
    <x v="1"/>
    <x v="1"/>
    <x v="0"/>
    <x v="0"/>
    <n v="0"/>
    <n v="1"/>
    <x v="0"/>
    <x v="0"/>
    <x v="1"/>
  </r>
  <r>
    <n v="205"/>
    <n v="50000"/>
    <x v="1"/>
    <x v="1"/>
    <x v="0"/>
    <x v="0"/>
    <n v="0"/>
    <n v="1"/>
    <x v="0"/>
    <x v="0"/>
    <x v="0"/>
  </r>
  <r>
    <n v="208"/>
    <n v="40000"/>
    <x v="1"/>
    <x v="1"/>
    <x v="1"/>
    <x v="0"/>
    <n v="0"/>
    <n v="1"/>
    <x v="0"/>
    <x v="0"/>
    <x v="1"/>
  </r>
  <r>
    <n v="209"/>
    <n v="50000"/>
    <x v="1"/>
    <x v="1"/>
    <x v="0"/>
    <x v="0"/>
    <n v="1"/>
    <n v="0"/>
    <x v="0"/>
    <x v="0"/>
    <x v="1"/>
  </r>
  <r>
    <n v="210"/>
    <n v="8571.4285710000004"/>
    <x v="1"/>
    <x v="1"/>
    <x v="0"/>
    <x v="0"/>
    <n v="0"/>
    <n v="1"/>
    <x v="0"/>
    <x v="1"/>
    <x v="0"/>
  </r>
  <r>
    <n v="212"/>
    <n v="33333.333330000001"/>
    <x v="1"/>
    <x v="1"/>
    <x v="1"/>
    <x v="0"/>
    <n v="0"/>
    <n v="1"/>
    <x v="0"/>
    <x v="0"/>
    <x v="1"/>
  </r>
  <r>
    <n v="213"/>
    <n v="33333.333330000001"/>
    <x v="1"/>
    <x v="1"/>
    <x v="1"/>
    <x v="0"/>
    <n v="1"/>
    <n v="0"/>
    <x v="0"/>
    <x v="1"/>
    <x v="1"/>
  </r>
  <r>
    <n v="214"/>
    <n v="40000"/>
    <x v="1"/>
    <x v="1"/>
    <x v="0"/>
    <x v="0"/>
    <n v="0"/>
    <n v="1"/>
    <x v="0"/>
    <x v="0"/>
    <x v="1"/>
  </r>
  <r>
    <n v="215"/>
    <n v="25000"/>
    <x v="1"/>
    <x v="1"/>
    <x v="0"/>
    <x v="0"/>
    <n v="1"/>
    <n v="0"/>
    <x v="0"/>
    <x v="0"/>
    <x v="1"/>
  </r>
  <r>
    <n v="216"/>
    <n v="26666.666669999999"/>
    <x v="1"/>
    <x v="1"/>
    <x v="0"/>
    <x v="0"/>
    <n v="1"/>
    <n v="0"/>
    <x v="0"/>
    <x v="0"/>
    <x v="1"/>
  </r>
  <r>
    <n v="217"/>
    <n v="5000"/>
    <x v="1"/>
    <x v="1"/>
    <x v="1"/>
    <x v="0"/>
    <n v="0"/>
    <n v="1"/>
    <x v="0"/>
    <x v="0"/>
    <x v="0"/>
  </r>
  <r>
    <n v="218"/>
    <n v="100000"/>
    <x v="1"/>
    <x v="1"/>
    <x v="0"/>
    <x v="0"/>
    <n v="1"/>
    <n v="0"/>
    <x v="0"/>
    <x v="0"/>
    <x v="1"/>
  </r>
  <r>
    <n v="219"/>
    <n v="50000"/>
    <x v="0"/>
    <x v="0"/>
    <x v="0"/>
    <x v="0"/>
    <n v="0"/>
    <n v="1"/>
    <x v="0"/>
    <x v="0"/>
    <x v="1"/>
  </r>
  <r>
    <n v="220"/>
    <n v="25000"/>
    <x v="1"/>
    <x v="1"/>
    <x v="0"/>
    <x v="0"/>
    <n v="1"/>
    <n v="0"/>
    <x v="0"/>
    <x v="0"/>
    <x v="1"/>
  </r>
  <r>
    <n v="221"/>
    <n v="10000"/>
    <x v="1"/>
    <x v="1"/>
    <x v="1"/>
    <x v="0"/>
    <n v="1"/>
    <n v="0"/>
    <x v="0"/>
    <x v="0"/>
    <x v="1"/>
  </r>
  <r>
    <n v="223"/>
    <n v="40000"/>
    <x v="1"/>
    <x v="1"/>
    <x v="0"/>
    <x v="0"/>
    <n v="1"/>
    <n v="0"/>
    <x v="0"/>
    <x v="0"/>
    <x v="1"/>
  </r>
  <r>
    <n v="224"/>
    <n v="50000"/>
    <x v="1"/>
    <x v="1"/>
    <x v="0"/>
    <x v="0"/>
    <n v="1"/>
    <n v="0"/>
    <x v="0"/>
    <x v="0"/>
    <x v="1"/>
  </r>
  <r>
    <n v="226"/>
    <n v="70000"/>
    <x v="1"/>
    <x v="1"/>
    <x v="0"/>
    <x v="0"/>
    <n v="0"/>
    <n v="1"/>
    <x v="0"/>
    <x v="0"/>
    <x v="1"/>
  </r>
  <r>
    <n v="227"/>
    <n v="33333.333330000001"/>
    <x v="0"/>
    <x v="0"/>
    <x v="1"/>
    <x v="0"/>
    <n v="0"/>
    <n v="1"/>
    <x v="0"/>
    <x v="0"/>
    <x v="0"/>
  </r>
  <r>
    <n v="229"/>
    <n v="60000"/>
    <x v="1"/>
    <x v="1"/>
    <x v="1"/>
    <x v="0"/>
    <n v="0"/>
    <n v="1"/>
    <x v="0"/>
    <x v="0"/>
    <x v="1"/>
  </r>
  <r>
    <n v="233"/>
    <n v="50000"/>
    <x v="0"/>
    <x v="0"/>
    <x v="1"/>
    <x v="0"/>
    <n v="1"/>
    <n v="0"/>
    <x v="0"/>
    <x v="0"/>
    <x v="1"/>
  </r>
  <r>
    <n v="234"/>
    <n v="32500"/>
    <x v="0"/>
    <x v="0"/>
    <x v="0"/>
    <x v="0"/>
    <n v="0"/>
    <n v="1"/>
    <x v="0"/>
    <x v="0"/>
    <x v="1"/>
  </r>
  <r>
    <n v="235"/>
    <n v="25000"/>
    <x v="1"/>
    <x v="1"/>
    <x v="1"/>
    <x v="0"/>
    <n v="1"/>
    <n v="0"/>
    <x v="0"/>
    <x v="1"/>
    <x v="1"/>
  </r>
  <r>
    <n v="236"/>
    <n v="25000"/>
    <x v="1"/>
    <x v="1"/>
    <x v="1"/>
    <x v="0"/>
    <n v="0"/>
    <n v="1"/>
    <x v="0"/>
    <x v="0"/>
    <x v="1"/>
  </r>
  <r>
    <n v="238"/>
    <n v="33333.333330000001"/>
    <x v="0"/>
    <x v="0"/>
    <x v="0"/>
    <x v="0"/>
    <n v="0"/>
    <n v="1"/>
    <x v="0"/>
    <x v="0"/>
    <x v="1"/>
  </r>
  <r>
    <n v="239"/>
    <n v="150000"/>
    <x v="0"/>
    <x v="0"/>
    <x v="0"/>
    <x v="0"/>
    <n v="0"/>
    <n v="1"/>
    <x v="0"/>
    <x v="0"/>
    <x v="1"/>
  </r>
  <r>
    <n v="240"/>
    <n v="30000"/>
    <x v="1"/>
    <x v="1"/>
    <x v="0"/>
    <x v="0"/>
    <n v="0"/>
    <n v="1"/>
    <x v="0"/>
    <x v="0"/>
    <x v="1"/>
  </r>
  <r>
    <n v="241"/>
    <n v="50000"/>
    <x v="1"/>
    <x v="1"/>
    <x v="0"/>
    <x v="0"/>
    <n v="1"/>
    <n v="0"/>
    <x v="0"/>
    <x v="0"/>
    <x v="0"/>
  </r>
  <r>
    <n v="242"/>
    <n v="50000"/>
    <x v="0"/>
    <x v="0"/>
    <x v="1"/>
    <x v="0"/>
    <n v="0"/>
    <n v="1"/>
    <x v="0"/>
    <x v="1"/>
    <x v="0"/>
  </r>
  <r>
    <n v="243"/>
    <n v="16000"/>
    <x v="1"/>
    <x v="1"/>
    <x v="1"/>
    <x v="0"/>
    <n v="1"/>
    <n v="0"/>
    <x v="0"/>
    <x v="0"/>
    <x v="1"/>
  </r>
  <r>
    <n v="244"/>
    <n v="20000"/>
    <x v="1"/>
    <x v="1"/>
    <x v="0"/>
    <x v="0"/>
    <n v="1"/>
    <n v="0"/>
    <x v="0"/>
    <x v="0"/>
    <x v="1"/>
  </r>
  <r>
    <n v="245"/>
    <n v="60000"/>
    <x v="1"/>
    <x v="1"/>
    <x v="0"/>
    <x v="0"/>
    <n v="0"/>
    <n v="1"/>
    <x v="0"/>
    <x v="0"/>
    <x v="0"/>
  </r>
  <r>
    <n v="248"/>
    <n v="25000"/>
    <x v="1"/>
    <x v="1"/>
    <x v="0"/>
    <x v="0"/>
    <n v="0"/>
    <n v="1"/>
    <x v="0"/>
    <x v="0"/>
    <x v="0"/>
  </r>
  <r>
    <n v="252"/>
    <n v="4000"/>
    <x v="0"/>
    <x v="0"/>
    <x v="1"/>
    <x v="0"/>
    <n v="0"/>
    <n v="1"/>
    <x v="0"/>
    <x v="1"/>
    <x v="0"/>
  </r>
  <r>
    <n v="259"/>
    <n v="100000"/>
    <x v="0"/>
    <x v="0"/>
    <x v="0"/>
    <x v="0"/>
    <n v="0"/>
    <n v="1"/>
    <x v="0"/>
    <x v="0"/>
    <x v="1"/>
  </r>
  <r>
    <n v="261"/>
    <n v="17500"/>
    <x v="1"/>
    <x v="1"/>
    <x v="0"/>
    <x v="0"/>
    <n v="0"/>
    <n v="1"/>
    <x v="0"/>
    <x v="0"/>
    <x v="0"/>
  </r>
  <r>
    <n v="262"/>
    <n v="11818.18182"/>
    <x v="1"/>
    <x v="1"/>
    <x v="0"/>
    <x v="0"/>
    <n v="0"/>
    <n v="1"/>
    <x v="0"/>
    <x v="1"/>
    <x v="0"/>
  </r>
  <r>
    <n v="263"/>
    <n v="5000"/>
    <x v="1"/>
    <x v="1"/>
    <x v="0"/>
    <x v="0"/>
    <n v="0"/>
    <n v="1"/>
    <x v="0"/>
    <x v="0"/>
    <x v="0"/>
  </r>
  <r>
    <n v="264"/>
    <n v="15000"/>
    <x v="1"/>
    <x v="1"/>
    <x v="0"/>
    <x v="0"/>
    <n v="0"/>
    <n v="1"/>
    <x v="0"/>
    <x v="0"/>
    <x v="0"/>
  </r>
  <r>
    <n v="266"/>
    <n v="10769.23077"/>
    <x v="1"/>
    <x v="1"/>
    <x v="0"/>
    <x v="0"/>
    <n v="0"/>
    <n v="1"/>
    <x v="0"/>
    <x v="1"/>
    <x v="0"/>
  </r>
  <r>
    <n v="270"/>
    <n v="16000"/>
    <x v="1"/>
    <x v="1"/>
    <x v="0"/>
    <x v="0"/>
    <n v="0"/>
    <n v="1"/>
    <x v="0"/>
    <x v="1"/>
    <x v="0"/>
  </r>
  <r>
    <n v="278"/>
    <n v="24444.444439999999"/>
    <x v="1"/>
    <x v="1"/>
    <x v="0"/>
    <x v="0"/>
    <n v="0"/>
    <n v="1"/>
    <x v="0"/>
    <x v="1"/>
    <x v="1"/>
  </r>
  <r>
    <n v="283"/>
    <n v="30000"/>
    <x v="1"/>
    <x v="1"/>
    <x v="0"/>
    <x v="0"/>
    <n v="0"/>
    <n v="1"/>
    <x v="0"/>
    <x v="0"/>
    <x v="1"/>
  </r>
  <r>
    <n v="291"/>
    <n v="-16666.666669999999"/>
    <x v="1"/>
    <x v="1"/>
    <x v="1"/>
    <x v="0"/>
    <n v="0"/>
    <n v="1"/>
    <x v="0"/>
    <x v="0"/>
    <x v="0"/>
  </r>
  <r>
    <n v="292"/>
    <n v="14285.71429"/>
    <x v="1"/>
    <x v="1"/>
    <x v="1"/>
    <x v="0"/>
    <n v="0"/>
    <n v="1"/>
    <x v="0"/>
    <x v="0"/>
    <x v="0"/>
  </r>
  <r>
    <n v="293"/>
    <n v="-6172.8395060000003"/>
    <x v="1"/>
    <x v="1"/>
    <x v="1"/>
    <x v="0"/>
    <n v="0"/>
    <n v="1"/>
    <x v="0"/>
    <x v="0"/>
    <x v="0"/>
  </r>
  <r>
    <n v="294"/>
    <n v="-50000"/>
    <x v="1"/>
    <x v="1"/>
    <x v="1"/>
    <x v="0"/>
    <n v="0"/>
    <n v="1"/>
    <x v="0"/>
    <x v="0"/>
    <x v="0"/>
  </r>
  <r>
    <n v="298"/>
    <n v="-15625"/>
    <x v="1"/>
    <x v="1"/>
    <x v="1"/>
    <x v="0"/>
    <n v="0"/>
    <n v="1"/>
    <x v="0"/>
    <x v="0"/>
    <x v="1"/>
  </r>
  <r>
    <n v="301"/>
    <n v="33591.731269999997"/>
    <x v="1"/>
    <x v="1"/>
    <x v="1"/>
    <x v="0"/>
    <n v="0"/>
    <n v="1"/>
    <x v="0"/>
    <x v="0"/>
    <x v="0"/>
  </r>
  <r>
    <n v="302"/>
    <n v="48000"/>
    <x v="1"/>
    <x v="1"/>
    <x v="1"/>
    <x v="0"/>
    <n v="0"/>
    <n v="1"/>
    <x v="0"/>
    <x v="0"/>
    <x v="1"/>
  </r>
  <r>
    <n v="307"/>
    <n v="25000"/>
    <x v="0"/>
    <x v="0"/>
    <x v="0"/>
    <x v="0"/>
    <n v="0"/>
    <n v="1"/>
    <x v="0"/>
    <x v="1"/>
    <x v="0"/>
  </r>
  <r>
    <n v="308"/>
    <n v="15000"/>
    <x v="1"/>
    <x v="1"/>
    <x v="0"/>
    <x v="0"/>
    <n v="0"/>
    <n v="1"/>
    <x v="0"/>
    <x v="1"/>
    <x v="0"/>
  </r>
  <r>
    <n v="309"/>
    <n v="20000"/>
    <x v="1"/>
    <x v="1"/>
    <x v="1"/>
    <x v="0"/>
    <n v="0"/>
    <n v="1"/>
    <x v="0"/>
    <x v="1"/>
    <x v="0"/>
  </r>
  <r>
    <n v="310"/>
    <n v="41428.571430000004"/>
    <x v="1"/>
    <x v="1"/>
    <x v="1"/>
    <x v="0"/>
    <n v="0"/>
    <n v="1"/>
    <x v="0"/>
    <x v="1"/>
    <x v="1"/>
  </r>
  <r>
    <n v="311"/>
    <n v="10000"/>
    <x v="1"/>
    <x v="1"/>
    <x v="1"/>
    <x v="0"/>
    <n v="0"/>
    <n v="1"/>
    <x v="0"/>
    <x v="1"/>
    <x v="0"/>
  </r>
  <r>
    <n v="313"/>
    <n v="3717.472119"/>
    <x v="1"/>
    <x v="1"/>
    <x v="1"/>
    <x v="0"/>
    <n v="0"/>
    <n v="1"/>
    <x v="0"/>
    <x v="1"/>
    <x v="0"/>
  </r>
  <r>
    <n v="314"/>
    <n v="27014.28571"/>
    <x v="1"/>
    <x v="1"/>
    <x v="0"/>
    <x v="0"/>
    <n v="0"/>
    <n v="1"/>
    <x v="0"/>
    <x v="0"/>
    <x v="0"/>
  </r>
  <r>
    <n v="316"/>
    <n v="10000"/>
    <x v="1"/>
    <x v="1"/>
    <x v="1"/>
    <x v="0"/>
    <n v="0"/>
    <n v="1"/>
    <x v="0"/>
    <x v="1"/>
    <x v="0"/>
  </r>
  <r>
    <n v="319"/>
    <n v="15000"/>
    <x v="1"/>
    <x v="1"/>
    <x v="0"/>
    <x v="0"/>
    <n v="0"/>
    <n v="1"/>
    <x v="0"/>
    <x v="1"/>
    <x v="0"/>
  </r>
  <r>
    <n v="322"/>
    <n v="8510.6382979999998"/>
    <x v="1"/>
    <x v="1"/>
    <x v="1"/>
    <x v="0"/>
    <n v="0"/>
    <n v="1"/>
    <x v="0"/>
    <x v="1"/>
    <x v="0"/>
  </r>
  <r>
    <n v="323"/>
    <n v="6250"/>
    <x v="1"/>
    <x v="1"/>
    <x v="0"/>
    <x v="0"/>
    <n v="0"/>
    <n v="1"/>
    <x v="0"/>
    <x v="0"/>
    <x v="0"/>
  </r>
  <r>
    <n v="324"/>
    <n v="14516.12903"/>
    <x v="1"/>
    <x v="1"/>
    <x v="0"/>
    <x v="0"/>
    <n v="0"/>
    <n v="1"/>
    <x v="0"/>
    <x v="0"/>
    <x v="0"/>
  </r>
  <r>
    <n v="325"/>
    <n v="17500"/>
    <x v="1"/>
    <x v="1"/>
    <x v="0"/>
    <x v="0"/>
    <n v="0"/>
    <n v="1"/>
    <x v="0"/>
    <x v="0"/>
    <x v="1"/>
  </r>
  <r>
    <n v="326"/>
    <n v="4615.3846149999999"/>
    <x v="0"/>
    <x v="0"/>
    <x v="1"/>
    <x v="0"/>
    <n v="0"/>
    <n v="1"/>
    <x v="0"/>
    <x v="1"/>
    <x v="0"/>
  </r>
  <r>
    <n v="327"/>
    <n v="18437.5"/>
    <x v="1"/>
    <x v="1"/>
    <x v="1"/>
    <x v="0"/>
    <n v="0"/>
    <n v="1"/>
    <x v="0"/>
    <x v="1"/>
    <x v="0"/>
  </r>
  <r>
    <n v="328"/>
    <n v="80000"/>
    <x v="1"/>
    <x v="1"/>
    <x v="0"/>
    <x v="0"/>
    <n v="0"/>
    <n v="1"/>
    <x v="0"/>
    <x v="1"/>
    <x v="0"/>
  </r>
  <r>
    <n v="331"/>
    <n v="7272.7272730000004"/>
    <x v="1"/>
    <x v="1"/>
    <x v="1"/>
    <x v="0"/>
    <n v="0"/>
    <n v="1"/>
    <x v="0"/>
    <x v="1"/>
    <x v="0"/>
  </r>
  <r>
    <n v="332"/>
    <n v="66666.666670000006"/>
    <x v="1"/>
    <x v="1"/>
    <x v="0"/>
    <x v="0"/>
    <n v="0"/>
    <n v="1"/>
    <x v="0"/>
    <x v="1"/>
    <x v="0"/>
  </r>
  <r>
    <n v="333"/>
    <n v="23076.92308"/>
    <x v="1"/>
    <x v="1"/>
    <x v="0"/>
    <x v="0"/>
    <n v="0"/>
    <n v="1"/>
    <x v="0"/>
    <x v="1"/>
    <x v="0"/>
  </r>
  <r>
    <n v="334"/>
    <n v="23750"/>
    <x v="1"/>
    <x v="1"/>
    <x v="0"/>
    <x v="0"/>
    <n v="0"/>
    <n v="1"/>
    <x v="0"/>
    <x v="0"/>
    <x v="0"/>
  </r>
  <r>
    <n v="336"/>
    <n v="42500"/>
    <x v="1"/>
    <x v="1"/>
    <x v="1"/>
    <x v="0"/>
    <n v="0"/>
    <n v="1"/>
    <x v="0"/>
    <x v="0"/>
    <x v="0"/>
  </r>
  <r>
    <n v="337"/>
    <n v="16666.666669999999"/>
    <x v="0"/>
    <x v="0"/>
    <x v="0"/>
    <x v="0"/>
    <n v="0"/>
    <n v="1"/>
    <x v="0"/>
    <x v="1"/>
    <x v="0"/>
  </r>
  <r>
    <n v="340"/>
    <n v="-12500"/>
    <x v="1"/>
    <x v="1"/>
    <x v="1"/>
    <x v="0"/>
    <n v="0"/>
    <n v="1"/>
    <x v="0"/>
    <x v="0"/>
    <x v="0"/>
  </r>
  <r>
    <n v="344"/>
    <n v="43478.260869999998"/>
    <x v="1"/>
    <x v="1"/>
    <x v="1"/>
    <x v="0"/>
    <n v="0"/>
    <n v="1"/>
    <x v="0"/>
    <x v="0"/>
    <x v="1"/>
  </r>
  <r>
    <n v="345"/>
    <n v="8695.6521740000007"/>
    <x v="1"/>
    <x v="1"/>
    <x v="1"/>
    <x v="0"/>
    <n v="0"/>
    <n v="1"/>
    <x v="0"/>
    <x v="0"/>
    <x v="1"/>
  </r>
  <r>
    <n v="346"/>
    <n v="103174.6032"/>
    <x v="1"/>
    <x v="1"/>
    <x v="1"/>
    <x v="0"/>
    <n v="0"/>
    <n v="1"/>
    <x v="0"/>
    <x v="0"/>
    <x v="1"/>
  </r>
  <r>
    <n v="351"/>
    <n v="18333.333330000001"/>
    <x v="1"/>
    <x v="1"/>
    <x v="1"/>
    <x v="0"/>
    <n v="0"/>
    <n v="1"/>
    <x v="0"/>
    <x v="0"/>
    <x v="0"/>
  </r>
  <r>
    <n v="352"/>
    <n v="28000"/>
    <x v="1"/>
    <x v="1"/>
    <x v="0"/>
    <x v="0"/>
    <n v="0"/>
    <n v="1"/>
    <x v="0"/>
    <x v="0"/>
    <x v="0"/>
  </r>
  <r>
    <n v="353"/>
    <n v="30000"/>
    <x v="1"/>
    <x v="1"/>
    <x v="1"/>
    <x v="0"/>
    <n v="0"/>
    <n v="1"/>
    <x v="0"/>
    <x v="1"/>
    <x v="0"/>
  </r>
  <r>
    <n v="354"/>
    <n v="21666.666669999999"/>
    <x v="1"/>
    <x v="1"/>
    <x v="0"/>
    <x v="0"/>
    <n v="0"/>
    <n v="1"/>
    <x v="0"/>
    <x v="1"/>
    <x v="0"/>
  </r>
  <r>
    <n v="356"/>
    <n v="66666.666670000006"/>
    <x v="1"/>
    <x v="1"/>
    <x v="0"/>
    <x v="0"/>
    <n v="0"/>
    <n v="1"/>
    <x v="0"/>
    <x v="0"/>
    <x v="0"/>
  </r>
  <r>
    <n v="357"/>
    <n v="5000"/>
    <x v="1"/>
    <x v="1"/>
    <x v="0"/>
    <x v="0"/>
    <n v="0"/>
    <n v="1"/>
    <x v="0"/>
    <x v="1"/>
    <x v="0"/>
  </r>
  <r>
    <n v="359"/>
    <n v="12727.272730000001"/>
    <x v="1"/>
    <x v="1"/>
    <x v="0"/>
    <x v="0"/>
    <n v="0"/>
    <n v="1"/>
    <x v="0"/>
    <x v="1"/>
    <x v="0"/>
  </r>
  <r>
    <n v="361"/>
    <n v="22000"/>
    <x v="1"/>
    <x v="1"/>
    <x v="1"/>
    <x v="0"/>
    <n v="0"/>
    <n v="1"/>
    <x v="0"/>
    <x v="0"/>
    <x v="0"/>
  </r>
  <r>
    <n v="363"/>
    <n v="30000"/>
    <x v="0"/>
    <x v="0"/>
    <x v="0"/>
    <x v="0"/>
    <n v="0"/>
    <n v="1"/>
    <x v="0"/>
    <x v="1"/>
    <x v="0"/>
  </r>
  <r>
    <n v="364"/>
    <n v="8571.4285710000004"/>
    <x v="1"/>
    <x v="1"/>
    <x v="0"/>
    <x v="0"/>
    <n v="0"/>
    <n v="1"/>
    <x v="0"/>
    <x v="0"/>
    <x v="0"/>
  </r>
  <r>
    <n v="365"/>
    <n v="25000"/>
    <x v="1"/>
    <x v="1"/>
    <x v="0"/>
    <x v="0"/>
    <n v="0"/>
    <n v="1"/>
    <x v="0"/>
    <x v="0"/>
    <x v="0"/>
  </r>
  <r>
    <n v="371"/>
    <n v="12500"/>
    <x v="1"/>
    <x v="1"/>
    <x v="1"/>
    <x v="0"/>
    <n v="1"/>
    <n v="0"/>
    <x v="0"/>
    <x v="0"/>
    <x v="1"/>
  </r>
  <r>
    <n v="373"/>
    <n v="-8333.3333330000005"/>
    <x v="1"/>
    <x v="1"/>
    <x v="1"/>
    <x v="0"/>
    <n v="1"/>
    <n v="0"/>
    <x v="0"/>
    <x v="0"/>
    <x v="0"/>
  </r>
  <r>
    <n v="378"/>
    <n v="47500"/>
    <x v="1"/>
    <x v="1"/>
    <x v="1"/>
    <x v="0"/>
    <n v="1"/>
    <n v="0"/>
    <x v="0"/>
    <x v="0"/>
    <x v="1"/>
  </r>
  <r>
    <n v="379"/>
    <n v="11666.666670000001"/>
    <x v="0"/>
    <x v="0"/>
    <x v="0"/>
    <x v="0"/>
    <n v="0"/>
    <n v="1"/>
    <x v="0"/>
    <x v="0"/>
    <x v="1"/>
  </r>
  <r>
    <n v="384"/>
    <n v="-13709.67742"/>
    <x v="1"/>
    <x v="1"/>
    <x v="1"/>
    <x v="1"/>
    <n v="1"/>
    <n v="0"/>
    <x v="0"/>
    <x v="1"/>
    <x v="1"/>
  </r>
  <r>
    <n v="390"/>
    <n v="8333.3333330000005"/>
    <x v="1"/>
    <x v="1"/>
    <x v="1"/>
    <x v="0"/>
    <n v="0"/>
    <n v="1"/>
    <x v="0"/>
    <x v="0"/>
    <x v="0"/>
  </r>
  <r>
    <n v="391"/>
    <n v="18181.818179999998"/>
    <x v="1"/>
    <x v="1"/>
    <x v="0"/>
    <x v="0"/>
    <n v="0"/>
    <n v="1"/>
    <x v="0"/>
    <x v="1"/>
    <x v="1"/>
  </r>
  <r>
    <n v="393"/>
    <n v="-12195.121950000001"/>
    <x v="1"/>
    <x v="1"/>
    <x v="0"/>
    <x v="0"/>
    <n v="0"/>
    <n v="1"/>
    <x v="0"/>
    <x v="0"/>
    <x v="0"/>
  </r>
  <r>
    <n v="396"/>
    <n v="-11111.11111"/>
    <x v="1"/>
    <x v="1"/>
    <x v="1"/>
    <x v="0"/>
    <n v="0"/>
    <n v="1"/>
    <x v="0"/>
    <x v="0"/>
    <x v="0"/>
  </r>
  <r>
    <n v="397"/>
    <n v="8333.3333330000005"/>
    <x v="1"/>
    <x v="1"/>
    <x v="0"/>
    <x v="0"/>
    <n v="0"/>
    <n v="1"/>
    <x v="0"/>
    <x v="0"/>
    <x v="0"/>
  </r>
  <r>
    <n v="399"/>
    <n v="0"/>
    <x v="1"/>
    <x v="1"/>
    <x v="1"/>
    <x v="0"/>
    <n v="0"/>
    <n v="1"/>
    <x v="0"/>
    <x v="0"/>
    <x v="0"/>
  </r>
  <r>
    <n v="400"/>
    <n v="25000"/>
    <x v="1"/>
    <x v="1"/>
    <x v="1"/>
    <x v="0"/>
    <n v="0"/>
    <n v="1"/>
    <x v="0"/>
    <x v="0"/>
    <x v="0"/>
  </r>
  <r>
    <n v="401"/>
    <n v="0"/>
    <x v="1"/>
    <x v="1"/>
    <x v="1"/>
    <x v="0"/>
    <n v="0"/>
    <n v="1"/>
    <x v="0"/>
    <x v="0"/>
    <x v="0"/>
  </r>
  <r>
    <n v="405"/>
    <n v="-6250"/>
    <x v="1"/>
    <x v="1"/>
    <x v="1"/>
    <x v="0"/>
    <n v="0"/>
    <n v="1"/>
    <x v="0"/>
    <x v="0"/>
    <x v="0"/>
  </r>
  <r>
    <n v="406"/>
    <n v="14285.71429"/>
    <x v="1"/>
    <x v="1"/>
    <x v="0"/>
    <x v="0"/>
    <n v="1"/>
    <n v="0"/>
    <x v="0"/>
    <x v="0"/>
    <x v="0"/>
  </r>
  <r>
    <n v="407"/>
    <n v="-10000"/>
    <x v="1"/>
    <x v="1"/>
    <x v="0"/>
    <x v="0"/>
    <n v="1"/>
    <n v="0"/>
    <x v="0"/>
    <x v="0"/>
    <x v="1"/>
  </r>
  <r>
    <n v="410"/>
    <n v="21774.19355"/>
    <x v="1"/>
    <x v="1"/>
    <x v="1"/>
    <x v="1"/>
    <n v="1"/>
    <n v="0"/>
    <x v="0"/>
    <x v="0"/>
    <x v="0"/>
  </r>
  <r>
    <n v="411"/>
    <n v="30000"/>
    <x v="1"/>
    <x v="1"/>
    <x v="1"/>
    <x v="1"/>
    <n v="1"/>
    <n v="0"/>
    <x v="0"/>
    <x v="0"/>
    <x v="0"/>
  </r>
  <r>
    <n v="415"/>
    <n v="15000"/>
    <x v="0"/>
    <x v="0"/>
    <x v="1"/>
    <x v="1"/>
    <n v="1"/>
    <n v="0"/>
    <x v="0"/>
    <x v="0"/>
    <x v="0"/>
  </r>
  <r>
    <n v="417"/>
    <n v="22448.979589999999"/>
    <x v="0"/>
    <x v="0"/>
    <x v="1"/>
    <x v="1"/>
    <n v="1"/>
    <n v="0"/>
    <x v="0"/>
    <x v="0"/>
    <x v="0"/>
  </r>
  <r>
    <n v="422"/>
    <n v="25000"/>
    <x v="1"/>
    <x v="1"/>
    <x v="1"/>
    <x v="0"/>
    <n v="0"/>
    <n v="1"/>
    <x v="0"/>
    <x v="0"/>
    <x v="1"/>
  </r>
  <r>
    <n v="424"/>
    <n v="0"/>
    <x v="1"/>
    <x v="1"/>
    <x v="1"/>
    <x v="0"/>
    <n v="0"/>
    <n v="1"/>
    <x v="0"/>
    <x v="0"/>
    <x v="0"/>
  </r>
  <r>
    <n v="426"/>
    <n v="-8333.3333330000005"/>
    <x v="1"/>
    <x v="1"/>
    <x v="1"/>
    <x v="0"/>
    <n v="0"/>
    <n v="1"/>
    <x v="0"/>
    <x v="0"/>
    <x v="0"/>
  </r>
  <r>
    <n v="427"/>
    <n v="50000"/>
    <x v="1"/>
    <x v="1"/>
    <x v="1"/>
    <x v="0"/>
    <n v="0"/>
    <n v="1"/>
    <x v="0"/>
    <x v="0"/>
    <x v="0"/>
  </r>
  <r>
    <n v="437"/>
    <n v="0"/>
    <x v="1"/>
    <x v="1"/>
    <x v="1"/>
    <x v="0"/>
    <n v="0"/>
    <n v="1"/>
    <x v="0"/>
    <x v="0"/>
    <x v="0"/>
  </r>
  <r>
    <n v="438"/>
    <n v="0"/>
    <x v="1"/>
    <x v="1"/>
    <x v="1"/>
    <x v="0"/>
    <n v="0"/>
    <n v="1"/>
    <x v="0"/>
    <x v="0"/>
    <x v="0"/>
  </r>
  <r>
    <n v="439"/>
    <n v="25000"/>
    <x v="1"/>
    <x v="1"/>
    <x v="1"/>
    <x v="0"/>
    <n v="0"/>
    <n v="1"/>
    <x v="0"/>
    <x v="0"/>
    <x v="0"/>
  </r>
  <r>
    <n v="440"/>
    <n v="2500"/>
    <x v="1"/>
    <x v="1"/>
    <x v="1"/>
    <x v="0"/>
    <n v="0"/>
    <n v="1"/>
    <x v="0"/>
    <x v="0"/>
    <x v="0"/>
  </r>
  <r>
    <n v="441"/>
    <n v="25000"/>
    <x v="1"/>
    <x v="1"/>
    <x v="1"/>
    <x v="0"/>
    <n v="0"/>
    <n v="1"/>
    <x v="0"/>
    <x v="0"/>
    <x v="0"/>
  </r>
  <r>
    <n v="442"/>
    <n v="50000"/>
    <x v="1"/>
    <x v="1"/>
    <x v="0"/>
    <x v="0"/>
    <n v="0"/>
    <n v="1"/>
    <x v="0"/>
    <x v="0"/>
    <x v="1"/>
  </r>
  <r>
    <n v="445"/>
    <n v="13986.013989999999"/>
    <x v="1"/>
    <x v="1"/>
    <x v="1"/>
    <x v="0"/>
    <n v="0"/>
    <n v="1"/>
    <x v="0"/>
    <x v="0"/>
    <x v="0"/>
  </r>
  <r>
    <n v="447"/>
    <n v="-12500"/>
    <x v="1"/>
    <x v="1"/>
    <x v="1"/>
    <x v="0"/>
    <n v="0"/>
    <n v="1"/>
    <x v="0"/>
    <x v="0"/>
    <x v="0"/>
  </r>
  <r>
    <n v="450"/>
    <n v="-12500"/>
    <x v="1"/>
    <x v="1"/>
    <x v="1"/>
    <x v="0"/>
    <n v="0"/>
    <n v="1"/>
    <x v="0"/>
    <x v="0"/>
    <x v="0"/>
  </r>
  <r>
    <n v="451"/>
    <n v="12500"/>
    <x v="1"/>
    <x v="1"/>
    <x v="1"/>
    <x v="0"/>
    <n v="0"/>
    <n v="1"/>
    <x v="0"/>
    <x v="0"/>
    <x v="0"/>
  </r>
  <r>
    <n v="455"/>
    <n v="10000"/>
    <x v="1"/>
    <x v="1"/>
    <x v="1"/>
    <x v="0"/>
    <n v="0"/>
    <n v="1"/>
    <x v="0"/>
    <x v="0"/>
    <x v="0"/>
  </r>
  <r>
    <n v="456"/>
    <n v="50000"/>
    <x v="1"/>
    <x v="1"/>
    <x v="1"/>
    <x v="0"/>
    <n v="1"/>
    <n v="0"/>
    <x v="0"/>
    <x v="0"/>
    <x v="1"/>
  </r>
  <r>
    <n v="457"/>
    <n v="14285.71429"/>
    <x v="1"/>
    <x v="1"/>
    <x v="1"/>
    <x v="0"/>
    <n v="1"/>
    <n v="0"/>
    <x v="0"/>
    <x v="0"/>
    <x v="1"/>
  </r>
  <r>
    <n v="458"/>
    <n v="20000"/>
    <x v="1"/>
    <x v="1"/>
    <x v="0"/>
    <x v="0"/>
    <n v="1"/>
    <n v="0"/>
    <x v="0"/>
    <x v="0"/>
    <x v="1"/>
  </r>
  <r>
    <n v="459"/>
    <n v="36250"/>
    <x v="1"/>
    <x v="1"/>
    <x v="0"/>
    <x v="0"/>
    <n v="1"/>
    <n v="0"/>
    <x v="0"/>
    <x v="0"/>
    <x v="1"/>
  </r>
  <r>
    <n v="460"/>
    <n v="6000"/>
    <x v="1"/>
    <x v="1"/>
    <x v="1"/>
    <x v="0"/>
    <n v="1"/>
    <n v="0"/>
    <x v="0"/>
    <x v="0"/>
    <x v="0"/>
  </r>
  <r>
    <n v="461"/>
    <n v="2777.7777780000001"/>
    <x v="1"/>
    <x v="1"/>
    <x v="0"/>
    <x v="0"/>
    <n v="1"/>
    <n v="0"/>
    <x v="0"/>
    <x v="0"/>
    <x v="1"/>
  </r>
  <r>
    <n v="464"/>
    <n v="100000"/>
    <x v="1"/>
    <x v="1"/>
    <x v="1"/>
    <x v="0"/>
    <n v="1"/>
    <n v="0"/>
    <x v="0"/>
    <x v="0"/>
    <x v="1"/>
  </r>
  <r>
    <n v="469"/>
    <n v="8333.3333330000005"/>
    <x v="1"/>
    <x v="1"/>
    <x v="1"/>
    <x v="0"/>
    <n v="1"/>
    <n v="0"/>
    <x v="0"/>
    <x v="0"/>
    <x v="0"/>
  </r>
  <r>
    <n v="472"/>
    <n v="-10365.853660000001"/>
    <x v="1"/>
    <x v="1"/>
    <x v="1"/>
    <x v="0"/>
    <n v="0"/>
    <n v="1"/>
    <x v="0"/>
    <x v="0"/>
    <x v="0"/>
  </r>
  <r>
    <n v="473"/>
    <n v="-6172.8395060000003"/>
    <x v="1"/>
    <x v="1"/>
    <x v="1"/>
    <x v="0"/>
    <n v="0"/>
    <n v="1"/>
    <x v="0"/>
    <x v="0"/>
    <x v="0"/>
  </r>
  <r>
    <n v="474"/>
    <n v="4166.6666670000004"/>
    <x v="1"/>
    <x v="1"/>
    <x v="1"/>
    <x v="0"/>
    <n v="0"/>
    <n v="1"/>
    <x v="0"/>
    <x v="1"/>
    <x v="0"/>
  </r>
  <r>
    <n v="477"/>
    <n v="-15625"/>
    <x v="1"/>
    <x v="1"/>
    <x v="1"/>
    <x v="0"/>
    <n v="1"/>
    <n v="0"/>
    <x v="0"/>
    <x v="1"/>
    <x v="1"/>
  </r>
  <r>
    <n v="478"/>
    <n v="-19450.800920000001"/>
    <x v="1"/>
    <x v="1"/>
    <x v="1"/>
    <x v="0"/>
    <n v="1"/>
    <n v="0"/>
    <x v="0"/>
    <x v="1"/>
    <x v="1"/>
  </r>
  <r>
    <n v="479"/>
    <n v="-17000"/>
    <x v="1"/>
    <x v="1"/>
    <x v="1"/>
    <x v="0"/>
    <n v="1"/>
    <n v="0"/>
    <x v="0"/>
    <x v="0"/>
    <x v="1"/>
  </r>
  <r>
    <n v="481"/>
    <n v="16666.666669999999"/>
    <x v="1"/>
    <x v="1"/>
    <x v="0"/>
    <x v="0"/>
    <n v="0"/>
    <n v="1"/>
    <x v="0"/>
    <x v="0"/>
    <x v="0"/>
  </r>
  <r>
    <n v="482"/>
    <n v="22500"/>
    <x v="0"/>
    <x v="0"/>
    <x v="0"/>
    <x v="0"/>
    <n v="0"/>
    <n v="1"/>
    <x v="0"/>
    <x v="1"/>
    <x v="0"/>
  </r>
  <r>
    <n v="484"/>
    <n v="31428.57143"/>
    <x v="0"/>
    <x v="0"/>
    <x v="0"/>
    <x v="0"/>
    <n v="0"/>
    <n v="1"/>
    <x v="0"/>
    <x v="1"/>
    <x v="0"/>
  </r>
  <r>
    <n v="486"/>
    <n v="20000"/>
    <x v="1"/>
    <x v="1"/>
    <x v="0"/>
    <x v="0"/>
    <n v="0"/>
    <n v="1"/>
    <x v="0"/>
    <x v="0"/>
    <x v="0"/>
  </r>
  <r>
    <n v="488"/>
    <n v="100000"/>
    <x v="0"/>
    <x v="0"/>
    <x v="0"/>
    <x v="0"/>
    <n v="0"/>
    <n v="1"/>
    <x v="0"/>
    <x v="1"/>
    <x v="0"/>
  </r>
  <r>
    <n v="492"/>
    <n v="64516.129029999996"/>
    <x v="1"/>
    <x v="1"/>
    <x v="1"/>
    <x v="0"/>
    <n v="1"/>
    <n v="0"/>
    <x v="0"/>
    <x v="0"/>
    <x v="1"/>
  </r>
  <r>
    <n v="494"/>
    <n v="51666.666669999999"/>
    <x v="1"/>
    <x v="1"/>
    <x v="1"/>
    <x v="0"/>
    <n v="1"/>
    <n v="0"/>
    <x v="0"/>
    <x v="1"/>
    <x v="1"/>
  </r>
  <r>
    <n v="498"/>
    <n v="14000"/>
    <x v="1"/>
    <x v="1"/>
    <x v="0"/>
    <x v="0"/>
    <n v="0"/>
    <n v="1"/>
    <x v="0"/>
    <x v="1"/>
    <x v="0"/>
  </r>
  <r>
    <n v="499"/>
    <n v="10000"/>
    <x v="1"/>
    <x v="1"/>
    <x v="0"/>
    <x v="0"/>
    <n v="0"/>
    <n v="1"/>
    <x v="0"/>
    <x v="1"/>
    <x v="0"/>
  </r>
  <r>
    <n v="500"/>
    <n v="10000"/>
    <x v="1"/>
    <x v="1"/>
    <x v="0"/>
    <x v="0"/>
    <n v="0"/>
    <n v="1"/>
    <x v="0"/>
    <x v="1"/>
    <x v="0"/>
  </r>
  <r>
    <n v="501"/>
    <n v="16666.666669999999"/>
    <x v="1"/>
    <x v="1"/>
    <x v="0"/>
    <x v="0"/>
    <n v="0"/>
    <n v="1"/>
    <x v="0"/>
    <x v="0"/>
    <x v="0"/>
  </r>
  <r>
    <n v="502"/>
    <n v="73333.333329999994"/>
    <x v="0"/>
    <x v="0"/>
    <x v="0"/>
    <x v="0"/>
    <n v="0"/>
    <n v="1"/>
    <x v="0"/>
    <x v="0"/>
    <x v="0"/>
  </r>
  <r>
    <n v="503"/>
    <n v="107500"/>
    <x v="1"/>
    <x v="1"/>
    <x v="0"/>
    <x v="0"/>
    <n v="0"/>
    <n v="1"/>
    <x v="0"/>
    <x v="1"/>
    <x v="0"/>
  </r>
  <r>
    <n v="504"/>
    <n v="20000"/>
    <x v="0"/>
    <x v="0"/>
    <x v="0"/>
    <x v="0"/>
    <n v="0"/>
    <n v="1"/>
    <x v="0"/>
    <x v="0"/>
    <x v="1"/>
  </r>
  <r>
    <n v="507"/>
    <n v="60000"/>
    <x v="1"/>
    <x v="1"/>
    <x v="0"/>
    <x v="0"/>
    <n v="1"/>
    <n v="0"/>
    <x v="0"/>
    <x v="0"/>
    <x v="0"/>
  </r>
  <r>
    <n v="508"/>
    <n v="80000"/>
    <x v="1"/>
    <x v="1"/>
    <x v="0"/>
    <x v="0"/>
    <n v="0"/>
    <n v="1"/>
    <x v="0"/>
    <x v="0"/>
    <x v="0"/>
  </r>
  <r>
    <n v="510"/>
    <n v="60000"/>
    <x v="1"/>
    <x v="1"/>
    <x v="0"/>
    <x v="0"/>
    <n v="0"/>
    <n v="1"/>
    <x v="0"/>
    <x v="1"/>
    <x v="0"/>
  </r>
  <r>
    <n v="511"/>
    <n v="120000"/>
    <x v="1"/>
    <x v="1"/>
    <x v="0"/>
    <x v="0"/>
    <n v="0"/>
    <n v="1"/>
    <x v="0"/>
    <x v="1"/>
    <x v="0"/>
  </r>
  <r>
    <n v="512"/>
    <n v="73333.333329999994"/>
    <x v="0"/>
    <x v="0"/>
    <x v="0"/>
    <x v="0"/>
    <n v="0"/>
    <n v="1"/>
    <x v="0"/>
    <x v="1"/>
    <x v="0"/>
  </r>
  <r>
    <n v="513"/>
    <n v="48500"/>
    <x v="1"/>
    <x v="1"/>
    <x v="0"/>
    <x v="0"/>
    <n v="0"/>
    <n v="1"/>
    <x v="0"/>
    <x v="1"/>
    <x v="0"/>
  </r>
  <r>
    <n v="515"/>
    <n v="17500"/>
    <x v="1"/>
    <x v="1"/>
    <x v="0"/>
    <x v="0"/>
    <n v="1"/>
    <n v="0"/>
    <x v="0"/>
    <x v="1"/>
    <x v="0"/>
  </r>
  <r>
    <n v="517"/>
    <n v="83333.333329999994"/>
    <x v="0"/>
    <x v="0"/>
    <x v="0"/>
    <x v="0"/>
    <n v="0"/>
    <n v="1"/>
    <x v="0"/>
    <x v="1"/>
    <x v="0"/>
  </r>
  <r>
    <n v="518"/>
    <n v="31666.666669999999"/>
    <x v="0"/>
    <x v="0"/>
    <x v="0"/>
    <x v="0"/>
    <n v="0"/>
    <n v="1"/>
    <x v="0"/>
    <x v="1"/>
    <x v="0"/>
  </r>
  <r>
    <n v="523"/>
    <n v="41666.666669999999"/>
    <x v="1"/>
    <x v="1"/>
    <x v="0"/>
    <x v="0"/>
    <n v="0"/>
    <n v="1"/>
    <x v="0"/>
    <x v="1"/>
    <x v="0"/>
  </r>
  <r>
    <n v="525"/>
    <n v="75000"/>
    <x v="1"/>
    <x v="1"/>
    <x v="0"/>
    <x v="0"/>
    <n v="0"/>
    <n v="1"/>
    <x v="0"/>
    <x v="0"/>
    <x v="0"/>
  </r>
  <r>
    <n v="526"/>
    <n v="14000"/>
    <x v="1"/>
    <x v="1"/>
    <x v="0"/>
    <x v="0"/>
    <n v="1"/>
    <n v="0"/>
    <x v="0"/>
    <x v="1"/>
    <x v="0"/>
  </r>
  <r>
    <n v="527"/>
    <n v="10000"/>
    <x v="1"/>
    <x v="1"/>
    <x v="0"/>
    <x v="0"/>
    <n v="1"/>
    <n v="0"/>
    <x v="0"/>
    <x v="1"/>
    <x v="0"/>
  </r>
  <r>
    <n v="529"/>
    <n v="18750"/>
    <x v="1"/>
    <x v="1"/>
    <x v="1"/>
    <x v="0"/>
    <n v="1"/>
    <n v="0"/>
    <x v="0"/>
    <x v="0"/>
    <x v="1"/>
  </r>
  <r>
    <n v="533"/>
    <n v="5000"/>
    <x v="1"/>
    <x v="1"/>
    <x v="0"/>
    <x v="0"/>
    <n v="1"/>
    <n v="0"/>
    <x v="0"/>
    <x v="1"/>
    <x v="0"/>
  </r>
  <r>
    <n v="534"/>
    <n v="25000"/>
    <x v="1"/>
    <x v="1"/>
    <x v="1"/>
    <x v="0"/>
    <n v="1"/>
    <n v="0"/>
    <x v="0"/>
    <x v="0"/>
    <x v="0"/>
  </r>
  <r>
    <n v="535"/>
    <n v="-5833.3333329999996"/>
    <x v="1"/>
    <x v="1"/>
    <x v="1"/>
    <x v="0"/>
    <n v="0"/>
    <n v="1"/>
    <x v="0"/>
    <x v="0"/>
    <x v="0"/>
  </r>
  <r>
    <n v="537"/>
    <n v="133333.3333"/>
    <x v="1"/>
    <x v="1"/>
    <x v="0"/>
    <x v="0"/>
    <n v="1"/>
    <n v="0"/>
    <x v="0"/>
    <x v="0"/>
    <x v="1"/>
  </r>
  <r>
    <n v="538"/>
    <n v="-25000"/>
    <x v="1"/>
    <x v="1"/>
    <x v="1"/>
    <x v="0"/>
    <n v="1"/>
    <n v="0"/>
    <x v="0"/>
    <x v="0"/>
    <x v="0"/>
  </r>
  <r>
    <n v="539"/>
    <n v="25000"/>
    <x v="1"/>
    <x v="1"/>
    <x v="0"/>
    <x v="0"/>
    <n v="0"/>
    <n v="1"/>
    <x v="0"/>
    <x v="0"/>
    <x v="0"/>
  </r>
  <r>
    <n v="540"/>
    <n v="26666.666669999999"/>
    <x v="0"/>
    <x v="0"/>
    <x v="1"/>
    <x v="0"/>
    <n v="1"/>
    <n v="0"/>
    <x v="0"/>
    <x v="0"/>
    <x v="1"/>
  </r>
  <r>
    <n v="542"/>
    <n v="33333.333330000001"/>
    <x v="1"/>
    <x v="1"/>
    <x v="1"/>
    <x v="0"/>
    <n v="1"/>
    <n v="0"/>
    <x v="0"/>
    <x v="0"/>
    <x v="1"/>
  </r>
  <r>
    <n v="543"/>
    <n v="15066.666670000001"/>
    <x v="1"/>
    <x v="1"/>
    <x v="1"/>
    <x v="0"/>
    <n v="1"/>
    <n v="0"/>
    <x v="0"/>
    <x v="0"/>
    <x v="0"/>
  </r>
  <r>
    <n v="544"/>
    <n v="18181.818179999998"/>
    <x v="1"/>
    <x v="1"/>
    <x v="0"/>
    <x v="1"/>
    <n v="1"/>
    <n v="0"/>
    <x v="0"/>
    <x v="0"/>
    <x v="1"/>
  </r>
  <r>
    <n v="547"/>
    <n v="50000"/>
    <x v="1"/>
    <x v="1"/>
    <x v="0"/>
    <x v="0"/>
    <n v="1"/>
    <n v="0"/>
    <x v="0"/>
    <x v="0"/>
    <x v="0"/>
  </r>
  <r>
    <n v="556"/>
    <n v="20000"/>
    <x v="1"/>
    <x v="1"/>
    <x v="1"/>
    <x v="0"/>
    <n v="1"/>
    <n v="0"/>
    <x v="0"/>
    <x v="0"/>
    <x v="1"/>
  </r>
  <r>
    <n v="558"/>
    <n v="25000"/>
    <x v="0"/>
    <x v="0"/>
    <x v="1"/>
    <x v="1"/>
    <n v="1"/>
    <n v="0"/>
    <x v="0"/>
    <x v="0"/>
    <x v="0"/>
  </r>
  <r>
    <n v="559"/>
    <n v="31428.57143"/>
    <x v="1"/>
    <x v="1"/>
    <x v="1"/>
    <x v="1"/>
    <n v="1"/>
    <n v="0"/>
    <x v="0"/>
    <x v="0"/>
    <x v="0"/>
  </r>
  <r>
    <n v="560"/>
    <n v="21538.46154"/>
    <x v="1"/>
    <x v="1"/>
    <x v="1"/>
    <x v="0"/>
    <n v="1"/>
    <n v="0"/>
    <x v="0"/>
    <x v="0"/>
    <x v="0"/>
  </r>
  <r>
    <n v="561"/>
    <n v="31250"/>
    <x v="1"/>
    <x v="1"/>
    <x v="1"/>
    <x v="0"/>
    <n v="1"/>
    <n v="0"/>
    <x v="0"/>
    <x v="0"/>
    <x v="1"/>
  </r>
  <r>
    <n v="562"/>
    <n v="30000"/>
    <x v="1"/>
    <x v="1"/>
    <x v="1"/>
    <x v="0"/>
    <n v="1"/>
    <n v="0"/>
    <x v="0"/>
    <x v="0"/>
    <x v="1"/>
  </r>
  <r>
    <n v="563"/>
    <n v="33333.333330000001"/>
    <x v="0"/>
    <x v="0"/>
    <x v="1"/>
    <x v="1"/>
    <n v="1"/>
    <n v="0"/>
    <x v="0"/>
    <x v="0"/>
    <x v="1"/>
  </r>
  <r>
    <n v="564"/>
    <n v="52222.222220000003"/>
    <x v="1"/>
    <x v="1"/>
    <x v="1"/>
    <x v="1"/>
    <n v="1"/>
    <n v="0"/>
    <x v="0"/>
    <x v="0"/>
    <x v="0"/>
  </r>
  <r>
    <n v="565"/>
    <n v="28571.42857"/>
    <x v="1"/>
    <x v="1"/>
    <x v="1"/>
    <x v="1"/>
    <n v="1"/>
    <n v="0"/>
    <x v="0"/>
    <x v="0"/>
    <x v="0"/>
  </r>
  <r>
    <n v="567"/>
    <n v="31250"/>
    <x v="1"/>
    <x v="1"/>
    <x v="1"/>
    <x v="1"/>
    <n v="1"/>
    <n v="0"/>
    <x v="0"/>
    <x v="0"/>
    <x v="0"/>
  </r>
  <r>
    <n v="572"/>
    <n v="22500"/>
    <x v="0"/>
    <x v="0"/>
    <x v="1"/>
    <x v="1"/>
    <n v="1"/>
    <n v="0"/>
    <x v="0"/>
    <x v="0"/>
    <x v="1"/>
  </r>
  <r>
    <n v="573"/>
    <n v="21818.181820000002"/>
    <x v="1"/>
    <x v="1"/>
    <x v="1"/>
    <x v="1"/>
    <n v="1"/>
    <n v="0"/>
    <x v="0"/>
    <x v="1"/>
    <x v="0"/>
  </r>
  <r>
    <n v="574"/>
    <n v="21818.181820000002"/>
    <x v="1"/>
    <x v="1"/>
    <x v="1"/>
    <x v="0"/>
    <n v="1"/>
    <n v="0"/>
    <x v="0"/>
    <x v="1"/>
    <x v="0"/>
  </r>
  <r>
    <n v="575"/>
    <n v="27272.727269999999"/>
    <x v="1"/>
    <x v="1"/>
    <x v="1"/>
    <x v="1"/>
    <n v="1"/>
    <n v="0"/>
    <x v="0"/>
    <x v="0"/>
    <x v="0"/>
  </r>
  <r>
    <n v="576"/>
    <n v="28750"/>
    <x v="1"/>
    <x v="1"/>
    <x v="1"/>
    <x v="0"/>
    <n v="1"/>
    <n v="0"/>
    <x v="0"/>
    <x v="0"/>
    <x v="0"/>
  </r>
  <r>
    <n v="577"/>
    <n v="37142.85714"/>
    <x v="1"/>
    <x v="1"/>
    <x v="1"/>
    <x v="1"/>
    <n v="1"/>
    <n v="0"/>
    <x v="0"/>
    <x v="0"/>
    <x v="0"/>
  </r>
  <r>
    <n v="581"/>
    <n v="19565.217390000002"/>
    <x v="1"/>
    <x v="1"/>
    <x v="1"/>
    <x v="0"/>
    <n v="1"/>
    <n v="0"/>
    <x v="0"/>
    <x v="0"/>
    <x v="0"/>
  </r>
  <r>
    <n v="582"/>
    <n v="47500"/>
    <x v="1"/>
    <x v="1"/>
    <x v="1"/>
    <x v="1"/>
    <n v="0"/>
    <n v="1"/>
    <x v="0"/>
    <x v="0"/>
    <x v="1"/>
  </r>
  <r>
    <n v="587"/>
    <n v="27380.952379999999"/>
    <x v="1"/>
    <x v="1"/>
    <x v="1"/>
    <x v="0"/>
    <n v="1"/>
    <n v="0"/>
    <x v="0"/>
    <x v="1"/>
    <x v="0"/>
  </r>
  <r>
    <n v="593"/>
    <n v="37777.777779999997"/>
    <x v="1"/>
    <x v="1"/>
    <x v="1"/>
    <x v="0"/>
    <n v="1"/>
    <n v="0"/>
    <x v="0"/>
    <x v="0"/>
    <x v="0"/>
  </r>
  <r>
    <n v="594"/>
    <n v="17000"/>
    <x v="1"/>
    <x v="1"/>
    <x v="0"/>
    <x v="0"/>
    <n v="1"/>
    <n v="0"/>
    <x v="0"/>
    <x v="0"/>
    <x v="1"/>
  </r>
  <r>
    <n v="598"/>
    <n v="40909.090909999999"/>
    <x v="1"/>
    <x v="1"/>
    <x v="1"/>
    <x v="0"/>
    <n v="1"/>
    <n v="0"/>
    <x v="0"/>
    <x v="0"/>
    <x v="0"/>
  </r>
  <r>
    <n v="600"/>
    <n v="21818.181820000002"/>
    <x v="1"/>
    <x v="1"/>
    <x v="1"/>
    <x v="1"/>
    <n v="1"/>
    <n v="0"/>
    <x v="0"/>
    <x v="0"/>
    <x v="0"/>
  </r>
  <r>
    <n v="603"/>
    <n v="27906.976739999998"/>
    <x v="1"/>
    <x v="1"/>
    <x v="1"/>
    <x v="1"/>
    <n v="1"/>
    <n v="0"/>
    <x v="0"/>
    <x v="0"/>
    <x v="0"/>
  </r>
  <r>
    <n v="607"/>
    <n v="31818.181820000002"/>
    <x v="1"/>
    <x v="1"/>
    <x v="1"/>
    <x v="1"/>
    <n v="1"/>
    <n v="0"/>
    <x v="0"/>
    <x v="0"/>
    <x v="0"/>
  </r>
  <r>
    <n v="608"/>
    <n v="-34722.222220000003"/>
    <x v="1"/>
    <x v="1"/>
    <x v="1"/>
    <x v="1"/>
    <n v="1"/>
    <n v="0"/>
    <x v="0"/>
    <x v="0"/>
    <x v="0"/>
  </r>
  <r>
    <n v="613"/>
    <n v="24867.724869999998"/>
    <x v="1"/>
    <x v="1"/>
    <x v="1"/>
    <x v="0"/>
    <n v="1"/>
    <n v="0"/>
    <x v="0"/>
    <x v="0"/>
    <x v="0"/>
  </r>
  <r>
    <n v="614"/>
    <n v="20000"/>
    <x v="1"/>
    <x v="1"/>
    <x v="0"/>
    <x v="0"/>
    <n v="1"/>
    <n v="0"/>
    <x v="0"/>
    <x v="1"/>
    <x v="0"/>
  </r>
  <r>
    <n v="615"/>
    <n v="20338.983049999999"/>
    <x v="1"/>
    <x v="1"/>
    <x v="1"/>
    <x v="0"/>
    <n v="1"/>
    <n v="0"/>
    <x v="0"/>
    <x v="0"/>
    <x v="0"/>
  </r>
  <r>
    <n v="616"/>
    <n v="133333.3333"/>
    <x v="1"/>
    <x v="1"/>
    <x v="0"/>
    <x v="0"/>
    <n v="0"/>
    <n v="1"/>
    <x v="1"/>
    <x v="0"/>
    <x v="0"/>
  </r>
  <r>
    <n v="617"/>
    <n v="34000"/>
    <x v="1"/>
    <x v="1"/>
    <x v="0"/>
    <x v="0"/>
    <n v="0"/>
    <n v="1"/>
    <x v="1"/>
    <x v="0"/>
    <x v="0"/>
  </r>
  <r>
    <n v="620"/>
    <n v="43478.260869999998"/>
    <x v="1"/>
    <x v="1"/>
    <x v="0"/>
    <x v="0"/>
    <n v="0"/>
    <n v="1"/>
    <x v="1"/>
    <x v="1"/>
    <x v="0"/>
  </r>
  <r>
    <n v="623"/>
    <n v="8333.3333330000005"/>
    <x v="1"/>
    <x v="1"/>
    <x v="0"/>
    <x v="0"/>
    <n v="0"/>
    <n v="1"/>
    <x v="1"/>
    <x v="0"/>
    <x v="0"/>
  </r>
  <r>
    <n v="627"/>
    <n v="78695.652170000001"/>
    <x v="1"/>
    <x v="1"/>
    <x v="0"/>
    <x v="0"/>
    <n v="0"/>
    <n v="1"/>
    <x v="1"/>
    <x v="0"/>
    <x v="0"/>
  </r>
  <r>
    <n v="628"/>
    <n v="139705.8824"/>
    <x v="1"/>
    <x v="1"/>
    <x v="0"/>
    <x v="0"/>
    <n v="0"/>
    <n v="1"/>
    <x v="1"/>
    <x v="0"/>
    <x v="0"/>
  </r>
  <r>
    <n v="629"/>
    <n v="41666.666669999999"/>
    <x v="1"/>
    <x v="1"/>
    <x v="0"/>
    <x v="0"/>
    <n v="1"/>
    <n v="0"/>
    <x v="1"/>
    <x v="0"/>
    <x v="0"/>
  </r>
  <r>
    <n v="634"/>
    <n v="24545.454549999999"/>
    <x v="1"/>
    <x v="1"/>
    <x v="0"/>
    <x v="0"/>
    <n v="0"/>
    <n v="1"/>
    <x v="1"/>
    <x v="0"/>
    <x v="0"/>
  </r>
  <r>
    <n v="635"/>
    <n v="33854.166669999999"/>
    <x v="1"/>
    <x v="1"/>
    <x v="0"/>
    <x v="0"/>
    <n v="0"/>
    <n v="1"/>
    <x v="1"/>
    <x v="0"/>
    <x v="0"/>
  </r>
  <r>
    <n v="639"/>
    <n v="44166.666669999999"/>
    <x v="1"/>
    <x v="1"/>
    <x v="0"/>
    <x v="0"/>
    <n v="0"/>
    <n v="1"/>
    <x v="1"/>
    <x v="0"/>
    <x v="0"/>
  </r>
  <r>
    <n v="640"/>
    <n v="50000"/>
    <x v="1"/>
    <x v="1"/>
    <x v="0"/>
    <x v="0"/>
    <n v="0"/>
    <n v="1"/>
    <x v="1"/>
    <x v="1"/>
    <x v="0"/>
  </r>
  <r>
    <n v="642"/>
    <n v="16540.75547"/>
    <x v="1"/>
    <x v="1"/>
    <x v="0"/>
    <x v="0"/>
    <n v="0"/>
    <n v="1"/>
    <x v="1"/>
    <x v="0"/>
    <x v="1"/>
  </r>
  <r>
    <n v="645"/>
    <n v="67500"/>
    <x v="1"/>
    <x v="1"/>
    <x v="0"/>
    <x v="0"/>
    <n v="0"/>
    <n v="1"/>
    <x v="1"/>
    <x v="0"/>
    <x v="0"/>
  </r>
  <r>
    <n v="646"/>
    <n v="12000"/>
    <x v="1"/>
    <x v="1"/>
    <x v="0"/>
    <x v="0"/>
    <n v="0"/>
    <n v="1"/>
    <x v="1"/>
    <x v="0"/>
    <x v="0"/>
  </r>
  <r>
    <n v="660"/>
    <n v="117000"/>
    <x v="1"/>
    <x v="1"/>
    <x v="0"/>
    <x v="0"/>
    <n v="0"/>
    <n v="1"/>
    <x v="1"/>
    <x v="0"/>
    <x v="0"/>
  </r>
  <r>
    <n v="661"/>
    <n v="14705.88235"/>
    <x v="1"/>
    <x v="1"/>
    <x v="0"/>
    <x v="1"/>
    <n v="0"/>
    <n v="1"/>
    <x v="1"/>
    <x v="0"/>
    <x v="0"/>
  </r>
  <r>
    <n v="662"/>
    <n v="73130.841119999997"/>
    <x v="1"/>
    <x v="1"/>
    <x v="0"/>
    <x v="0"/>
    <n v="0"/>
    <n v="1"/>
    <x v="1"/>
    <x v="0"/>
    <x v="0"/>
  </r>
  <r>
    <n v="663"/>
    <n v="95000"/>
    <x v="1"/>
    <x v="1"/>
    <x v="0"/>
    <x v="0"/>
    <n v="0"/>
    <n v="1"/>
    <x v="1"/>
    <x v="0"/>
    <x v="0"/>
  </r>
  <r>
    <n v="664"/>
    <n v="20000"/>
    <x v="1"/>
    <x v="1"/>
    <x v="0"/>
    <x v="0"/>
    <n v="0"/>
    <n v="1"/>
    <x v="1"/>
    <x v="0"/>
    <x v="0"/>
  </r>
  <r>
    <n v="665"/>
    <n v="11090.909089999999"/>
    <x v="1"/>
    <x v="1"/>
    <x v="0"/>
    <x v="0"/>
    <n v="0"/>
    <n v="1"/>
    <x v="1"/>
    <x v="1"/>
    <x v="0"/>
  </r>
  <r>
    <n v="667"/>
    <n v="63833.333330000001"/>
    <x v="1"/>
    <x v="1"/>
    <x v="0"/>
    <x v="0"/>
    <n v="0"/>
    <n v="1"/>
    <x v="1"/>
    <x v="0"/>
    <x v="0"/>
  </r>
  <r>
    <n v="668"/>
    <n v="63058.823530000001"/>
    <x v="1"/>
    <x v="1"/>
    <x v="0"/>
    <x v="0"/>
    <n v="0"/>
    <n v="1"/>
    <x v="1"/>
    <x v="0"/>
    <x v="0"/>
  </r>
  <r>
    <n v="669"/>
    <n v="16400"/>
    <x v="1"/>
    <x v="1"/>
    <x v="0"/>
    <x v="0"/>
    <n v="0"/>
    <n v="1"/>
    <x v="1"/>
    <x v="0"/>
    <x v="0"/>
  </r>
  <r>
    <n v="671"/>
    <n v="-49666.666669999999"/>
    <x v="1"/>
    <x v="1"/>
    <x v="0"/>
    <x v="0"/>
    <n v="0"/>
    <n v="1"/>
    <x v="1"/>
    <x v="0"/>
    <x v="0"/>
  </r>
  <r>
    <n v="672"/>
    <n v="50909.090909999999"/>
    <x v="1"/>
    <x v="1"/>
    <x v="1"/>
    <x v="0"/>
    <n v="0"/>
    <n v="1"/>
    <x v="1"/>
    <x v="0"/>
    <x v="0"/>
  </r>
  <r>
    <n v="673"/>
    <n v="69230.769230000005"/>
    <x v="1"/>
    <x v="1"/>
    <x v="1"/>
    <x v="0"/>
    <n v="0"/>
    <n v="1"/>
    <x v="1"/>
    <x v="0"/>
    <x v="0"/>
  </r>
  <r>
    <n v="674"/>
    <n v="85600"/>
    <x v="1"/>
    <x v="1"/>
    <x v="0"/>
    <x v="0"/>
    <n v="0"/>
    <n v="1"/>
    <x v="1"/>
    <x v="1"/>
    <x v="0"/>
  </r>
  <r>
    <n v="675"/>
    <n v="100000"/>
    <x v="1"/>
    <x v="1"/>
    <x v="0"/>
    <x v="0"/>
    <n v="0"/>
    <n v="1"/>
    <x v="1"/>
    <x v="1"/>
    <x v="0"/>
  </r>
  <r>
    <n v="676"/>
    <n v="20000"/>
    <x v="1"/>
    <x v="1"/>
    <x v="0"/>
    <x v="0"/>
    <n v="0"/>
    <n v="1"/>
    <x v="1"/>
    <x v="0"/>
    <x v="0"/>
  </r>
  <r>
    <n v="678"/>
    <n v="40000"/>
    <x v="1"/>
    <x v="1"/>
    <x v="0"/>
    <x v="1"/>
    <n v="1"/>
    <n v="0"/>
    <x v="1"/>
    <x v="0"/>
    <x v="0"/>
  </r>
  <r>
    <n v="684"/>
    <n v="84158.415840000001"/>
    <x v="1"/>
    <x v="1"/>
    <x v="0"/>
    <x v="0"/>
    <n v="0"/>
    <n v="1"/>
    <x v="1"/>
    <x v="0"/>
    <x v="0"/>
  </r>
  <r>
    <n v="688"/>
    <n v="81102.362200000003"/>
    <x v="1"/>
    <x v="1"/>
    <x v="0"/>
    <x v="0"/>
    <n v="0"/>
    <n v="1"/>
    <x v="1"/>
    <x v="1"/>
    <x v="0"/>
  </r>
  <r>
    <n v="691"/>
    <n v="115384.6154"/>
    <x v="1"/>
    <x v="1"/>
    <x v="0"/>
    <x v="0"/>
    <n v="0"/>
    <n v="1"/>
    <x v="1"/>
    <x v="0"/>
    <x v="0"/>
  </r>
  <r>
    <n v="696"/>
    <n v="55000"/>
    <x v="1"/>
    <x v="1"/>
    <x v="0"/>
    <x v="0"/>
    <n v="0"/>
    <n v="1"/>
    <x v="1"/>
    <x v="1"/>
    <x v="0"/>
  </r>
  <r>
    <n v="699"/>
    <n v="41500"/>
    <x v="1"/>
    <x v="1"/>
    <x v="0"/>
    <x v="0"/>
    <n v="0"/>
    <n v="1"/>
    <x v="1"/>
    <x v="1"/>
    <x v="0"/>
  </r>
  <r>
    <n v="700"/>
    <n v="40000"/>
    <x v="1"/>
    <x v="1"/>
    <x v="0"/>
    <x v="0"/>
    <n v="0"/>
    <n v="1"/>
    <x v="1"/>
    <x v="0"/>
    <x v="0"/>
  </r>
  <r>
    <n v="703"/>
    <n v="150000"/>
    <x v="1"/>
    <x v="1"/>
    <x v="0"/>
    <x v="0"/>
    <n v="0"/>
    <n v="1"/>
    <x v="1"/>
    <x v="1"/>
    <x v="0"/>
  </r>
  <r>
    <n v="707"/>
    <n v="145000"/>
    <x v="1"/>
    <x v="1"/>
    <x v="0"/>
    <x v="0"/>
    <n v="0"/>
    <n v="1"/>
    <x v="1"/>
    <x v="1"/>
    <x v="0"/>
  </r>
  <r>
    <n v="709"/>
    <n v="75000"/>
    <x v="1"/>
    <x v="1"/>
    <x v="1"/>
    <x v="0"/>
    <n v="0"/>
    <n v="1"/>
    <x v="1"/>
    <x v="1"/>
    <x v="0"/>
  </r>
  <r>
    <n v="715"/>
    <n v="90909.090909999999"/>
    <x v="1"/>
    <x v="1"/>
    <x v="0"/>
    <x v="0"/>
    <n v="0"/>
    <n v="1"/>
    <x v="1"/>
    <x v="0"/>
    <x v="1"/>
  </r>
  <r>
    <n v="719"/>
    <n v="13043.47826"/>
    <x v="1"/>
    <x v="1"/>
    <x v="1"/>
    <x v="0"/>
    <n v="0"/>
    <n v="1"/>
    <x v="1"/>
    <x v="0"/>
    <x v="1"/>
  </r>
  <r>
    <n v="731"/>
    <n v="75000"/>
    <x v="1"/>
    <x v="1"/>
    <x v="0"/>
    <x v="0"/>
    <n v="0"/>
    <n v="1"/>
    <x v="1"/>
    <x v="0"/>
    <x v="0"/>
  </r>
  <r>
    <n v="733"/>
    <n v="119047.61900000001"/>
    <x v="1"/>
    <x v="1"/>
    <x v="0"/>
    <x v="0"/>
    <n v="0"/>
    <n v="1"/>
    <x v="1"/>
    <x v="1"/>
    <x v="0"/>
  </r>
  <r>
    <n v="744"/>
    <n v="59090.909090000001"/>
    <x v="1"/>
    <x v="1"/>
    <x v="0"/>
    <x v="0"/>
    <n v="0"/>
    <n v="1"/>
    <x v="1"/>
    <x v="1"/>
    <x v="0"/>
  </r>
  <r>
    <n v="747"/>
    <n v="86666.666670000006"/>
    <x v="1"/>
    <x v="1"/>
    <x v="0"/>
    <x v="0"/>
    <n v="0"/>
    <n v="1"/>
    <x v="1"/>
    <x v="1"/>
    <x v="0"/>
  </r>
  <r>
    <n v="753"/>
    <n v="100000"/>
    <x v="1"/>
    <x v="1"/>
    <x v="0"/>
    <x v="0"/>
    <n v="0"/>
    <n v="1"/>
    <x v="1"/>
    <x v="0"/>
    <x v="0"/>
  </r>
  <r>
    <n v="754"/>
    <n v="31250"/>
    <x v="1"/>
    <x v="1"/>
    <x v="0"/>
    <x v="0"/>
    <n v="0"/>
    <n v="1"/>
    <x v="1"/>
    <x v="0"/>
    <x v="1"/>
  </r>
  <r>
    <n v="756"/>
    <n v="98800"/>
    <x v="0"/>
    <x v="0"/>
    <x v="0"/>
    <x v="0"/>
    <n v="0"/>
    <n v="1"/>
    <x v="1"/>
    <x v="0"/>
    <x v="0"/>
  </r>
  <r>
    <n v="757"/>
    <n v="79454.545450000005"/>
    <x v="1"/>
    <x v="1"/>
    <x v="0"/>
    <x v="0"/>
    <n v="0"/>
    <n v="1"/>
    <x v="1"/>
    <x v="0"/>
    <x v="0"/>
  </r>
  <r>
    <n v="759"/>
    <n v="50000"/>
    <x v="1"/>
    <x v="1"/>
    <x v="0"/>
    <x v="0"/>
    <n v="0"/>
    <n v="1"/>
    <x v="1"/>
    <x v="0"/>
    <x v="1"/>
  </r>
  <r>
    <n v="761"/>
    <n v="16279.06977"/>
    <x v="1"/>
    <x v="1"/>
    <x v="0"/>
    <x v="0"/>
    <n v="0"/>
    <n v="1"/>
    <x v="1"/>
    <x v="0"/>
    <x v="1"/>
  </r>
  <r>
    <n v="762"/>
    <n v="83333.333329999994"/>
    <x v="1"/>
    <x v="1"/>
    <x v="0"/>
    <x v="0"/>
    <n v="0"/>
    <n v="1"/>
    <x v="1"/>
    <x v="0"/>
    <x v="1"/>
  </r>
  <r>
    <n v="764"/>
    <n v="99200"/>
    <x v="1"/>
    <x v="1"/>
    <x v="0"/>
    <x v="0"/>
    <n v="0"/>
    <n v="1"/>
    <x v="1"/>
    <x v="1"/>
    <x v="0"/>
  </r>
  <r>
    <n v="766"/>
    <n v="23529.411759999999"/>
    <x v="0"/>
    <x v="0"/>
    <x v="0"/>
    <x v="0"/>
    <n v="0"/>
    <n v="1"/>
    <x v="1"/>
    <x v="1"/>
    <x v="0"/>
  </r>
  <r>
    <n v="768"/>
    <n v="50000"/>
    <x v="1"/>
    <x v="1"/>
    <x v="0"/>
    <x v="0"/>
    <n v="0"/>
    <n v="1"/>
    <x v="1"/>
    <x v="0"/>
    <x v="1"/>
  </r>
  <r>
    <n v="771"/>
    <n v="10000"/>
    <x v="1"/>
    <x v="1"/>
    <x v="0"/>
    <x v="0"/>
    <n v="0"/>
    <n v="1"/>
    <x v="1"/>
    <x v="0"/>
    <x v="0"/>
  </r>
  <r>
    <n v="772"/>
    <n v="4347.8260870000004"/>
    <x v="1"/>
    <x v="1"/>
    <x v="0"/>
    <x v="0"/>
    <n v="0"/>
    <n v="1"/>
    <x v="1"/>
    <x v="0"/>
    <x v="0"/>
  </r>
  <r>
    <n v="773"/>
    <n v="50000"/>
    <x v="1"/>
    <x v="1"/>
    <x v="0"/>
    <x v="0"/>
    <n v="0"/>
    <n v="1"/>
    <x v="1"/>
    <x v="0"/>
    <x v="1"/>
  </r>
  <r>
    <n v="774"/>
    <n v="87500"/>
    <x v="1"/>
    <x v="1"/>
    <x v="0"/>
    <x v="0"/>
    <n v="0"/>
    <n v="1"/>
    <x v="1"/>
    <x v="0"/>
    <x v="1"/>
  </r>
  <r>
    <n v="775"/>
    <n v="68181.818180000002"/>
    <x v="1"/>
    <x v="1"/>
    <x v="0"/>
    <x v="0"/>
    <n v="0"/>
    <n v="1"/>
    <x v="1"/>
    <x v="0"/>
    <x v="0"/>
  </r>
  <r>
    <n v="776"/>
    <n v="19047.619050000001"/>
    <x v="1"/>
    <x v="1"/>
    <x v="0"/>
    <x v="0"/>
    <n v="0"/>
    <n v="1"/>
    <x v="1"/>
    <x v="0"/>
    <x v="0"/>
  </r>
  <r>
    <n v="779"/>
    <n v="104545.45450000001"/>
    <x v="1"/>
    <x v="1"/>
    <x v="0"/>
    <x v="0"/>
    <n v="0"/>
    <n v="1"/>
    <x v="1"/>
    <x v="1"/>
    <x v="1"/>
  </r>
  <r>
    <n v="782"/>
    <n v="50000"/>
    <x v="1"/>
    <x v="1"/>
    <x v="0"/>
    <x v="0"/>
    <n v="0"/>
    <n v="1"/>
    <x v="1"/>
    <x v="0"/>
    <x v="1"/>
  </r>
  <r>
    <n v="792"/>
    <n v="23255.81395"/>
    <x v="1"/>
    <x v="1"/>
    <x v="0"/>
    <x v="0"/>
    <n v="1"/>
    <n v="0"/>
    <x v="1"/>
    <x v="0"/>
    <x v="0"/>
  </r>
  <r>
    <n v="793"/>
    <n v="20930.23256"/>
    <x v="1"/>
    <x v="1"/>
    <x v="0"/>
    <x v="0"/>
    <n v="0"/>
    <n v="1"/>
    <x v="1"/>
    <x v="0"/>
    <x v="0"/>
  </r>
  <r>
    <n v="797"/>
    <n v="30303.030299999999"/>
    <x v="1"/>
    <x v="1"/>
    <x v="0"/>
    <x v="0"/>
    <n v="0"/>
    <n v="1"/>
    <x v="1"/>
    <x v="1"/>
    <x v="0"/>
  </r>
  <r>
    <n v="798"/>
    <n v="42173.913039999999"/>
    <x v="1"/>
    <x v="1"/>
    <x v="1"/>
    <x v="0"/>
    <n v="0"/>
    <n v="1"/>
    <x v="1"/>
    <x v="1"/>
    <x v="0"/>
  </r>
  <r>
    <n v="800"/>
    <n v="24193.54839"/>
    <x v="1"/>
    <x v="1"/>
    <x v="0"/>
    <x v="0"/>
    <n v="0"/>
    <n v="1"/>
    <x v="1"/>
    <x v="0"/>
    <x v="0"/>
  </r>
  <r>
    <n v="801"/>
    <n v="27906.976739999998"/>
    <x v="1"/>
    <x v="1"/>
    <x v="0"/>
    <x v="1"/>
    <n v="0"/>
    <n v="1"/>
    <x v="1"/>
    <x v="0"/>
    <x v="0"/>
  </r>
  <r>
    <n v="802"/>
    <n v="5714.2857139999996"/>
    <x v="1"/>
    <x v="1"/>
    <x v="0"/>
    <x v="0"/>
    <n v="0"/>
    <n v="1"/>
    <x v="1"/>
    <x v="0"/>
    <x v="0"/>
  </r>
  <r>
    <n v="805"/>
    <n v="30232.558140000001"/>
    <x v="1"/>
    <x v="1"/>
    <x v="0"/>
    <x v="0"/>
    <n v="0"/>
    <n v="1"/>
    <x v="1"/>
    <x v="0"/>
    <x v="1"/>
  </r>
  <r>
    <n v="808"/>
    <n v="61674.008809999999"/>
    <x v="1"/>
    <x v="1"/>
    <x v="0"/>
    <x v="0"/>
    <n v="0"/>
    <n v="1"/>
    <x v="1"/>
    <x v="0"/>
    <x v="0"/>
  </r>
  <r>
    <n v="812"/>
    <n v="147058.8235"/>
    <x v="1"/>
    <x v="1"/>
    <x v="0"/>
    <x v="0"/>
    <n v="0"/>
    <n v="1"/>
    <x v="1"/>
    <x v="0"/>
    <x v="0"/>
  </r>
  <r>
    <n v="814"/>
    <n v="62500"/>
    <x v="1"/>
    <x v="1"/>
    <x v="0"/>
    <x v="0"/>
    <n v="0"/>
    <n v="1"/>
    <x v="1"/>
    <x v="0"/>
    <x v="0"/>
  </r>
  <r>
    <n v="815"/>
    <n v="45454.545449999998"/>
    <x v="1"/>
    <x v="1"/>
    <x v="0"/>
    <x v="0"/>
    <n v="0"/>
    <n v="1"/>
    <x v="1"/>
    <x v="1"/>
    <x v="0"/>
  </r>
  <r>
    <n v="816"/>
    <n v="45454.545449999998"/>
    <x v="1"/>
    <x v="1"/>
    <x v="0"/>
    <x v="0"/>
    <n v="0"/>
    <n v="1"/>
    <x v="1"/>
    <x v="0"/>
    <x v="0"/>
  </r>
  <r>
    <n v="817"/>
    <n v="38461.538460000003"/>
    <x v="1"/>
    <x v="1"/>
    <x v="0"/>
    <x v="0"/>
    <n v="0"/>
    <n v="1"/>
    <x v="1"/>
    <x v="0"/>
    <x v="1"/>
  </r>
  <r>
    <n v="820"/>
    <n v="35652.173909999998"/>
    <x v="1"/>
    <x v="1"/>
    <x v="0"/>
    <x v="0"/>
    <n v="0"/>
    <n v="1"/>
    <x v="1"/>
    <x v="0"/>
    <x v="0"/>
  </r>
  <r>
    <n v="823"/>
    <n v="75000"/>
    <x v="1"/>
    <x v="1"/>
    <x v="0"/>
    <x v="0"/>
    <n v="0"/>
    <n v="1"/>
    <x v="1"/>
    <x v="0"/>
    <x v="1"/>
  </r>
  <r>
    <n v="824"/>
    <n v="-15000"/>
    <x v="1"/>
    <x v="1"/>
    <x v="0"/>
    <x v="0"/>
    <n v="0"/>
    <n v="1"/>
    <x v="1"/>
    <x v="0"/>
    <x v="1"/>
  </r>
  <r>
    <n v="826"/>
    <n v="79166.666670000006"/>
    <x v="1"/>
    <x v="1"/>
    <x v="0"/>
    <x v="0"/>
    <n v="0"/>
    <n v="1"/>
    <x v="1"/>
    <x v="0"/>
    <x v="0"/>
  </r>
  <r>
    <n v="829"/>
    <n v="54266.666669999999"/>
    <x v="1"/>
    <x v="1"/>
    <x v="0"/>
    <x v="0"/>
    <n v="0"/>
    <n v="1"/>
    <x v="1"/>
    <x v="0"/>
    <x v="0"/>
  </r>
  <r>
    <n v="831"/>
    <n v="35000"/>
    <x v="1"/>
    <x v="1"/>
    <x v="0"/>
    <x v="0"/>
    <n v="0"/>
    <n v="1"/>
    <x v="1"/>
    <x v="1"/>
    <x v="1"/>
  </r>
  <r>
    <n v="832"/>
    <n v="50000"/>
    <x v="1"/>
    <x v="1"/>
    <x v="0"/>
    <x v="0"/>
    <n v="0"/>
    <n v="1"/>
    <x v="1"/>
    <x v="0"/>
    <x v="1"/>
  </r>
  <r>
    <n v="833"/>
    <n v="5000"/>
    <x v="1"/>
    <x v="1"/>
    <x v="0"/>
    <x v="0"/>
    <n v="0"/>
    <n v="1"/>
    <x v="1"/>
    <x v="0"/>
    <x v="0"/>
  </r>
  <r>
    <n v="834"/>
    <n v="38461.538460000003"/>
    <x v="1"/>
    <x v="1"/>
    <x v="0"/>
    <x v="0"/>
    <n v="0"/>
    <n v="1"/>
    <x v="1"/>
    <x v="0"/>
    <x v="0"/>
  </r>
  <r>
    <n v="836"/>
    <n v="50000"/>
    <x v="1"/>
    <x v="1"/>
    <x v="0"/>
    <x v="0"/>
    <n v="0"/>
    <n v="1"/>
    <x v="1"/>
    <x v="0"/>
    <x v="0"/>
  </r>
  <r>
    <n v="839"/>
    <n v="25000"/>
    <x v="1"/>
    <x v="1"/>
    <x v="1"/>
    <x v="0"/>
    <n v="0"/>
    <n v="1"/>
    <x v="1"/>
    <x v="0"/>
    <x v="1"/>
  </r>
  <r>
    <n v="840"/>
    <n v="45454.545449999998"/>
    <x v="1"/>
    <x v="1"/>
    <x v="1"/>
    <x v="0"/>
    <n v="0"/>
    <n v="1"/>
    <x v="1"/>
    <x v="0"/>
    <x v="1"/>
  </r>
  <r>
    <n v="843"/>
    <n v="25000"/>
    <x v="1"/>
    <x v="1"/>
    <x v="0"/>
    <x v="0"/>
    <n v="0"/>
    <n v="1"/>
    <x v="1"/>
    <x v="0"/>
    <x v="1"/>
  </r>
  <r>
    <n v="844"/>
    <n v="35000"/>
    <x v="1"/>
    <x v="1"/>
    <x v="0"/>
    <x v="0"/>
    <n v="0"/>
    <n v="1"/>
    <x v="1"/>
    <x v="1"/>
    <x v="1"/>
  </r>
  <r>
    <n v="845"/>
    <n v="10000"/>
    <x v="1"/>
    <x v="1"/>
    <x v="0"/>
    <x v="0"/>
    <n v="0"/>
    <n v="1"/>
    <x v="1"/>
    <x v="0"/>
    <x v="1"/>
  </r>
  <r>
    <n v="846"/>
    <n v="10000"/>
    <x v="1"/>
    <x v="1"/>
    <x v="0"/>
    <x v="0"/>
    <n v="0"/>
    <n v="1"/>
    <x v="1"/>
    <x v="0"/>
    <x v="1"/>
  </r>
  <r>
    <n v="848"/>
    <n v="83333.333329999994"/>
    <x v="1"/>
    <x v="1"/>
    <x v="0"/>
    <x v="0"/>
    <n v="0"/>
    <n v="1"/>
    <x v="1"/>
    <x v="0"/>
    <x v="1"/>
  </r>
  <r>
    <n v="849"/>
    <n v="1250"/>
    <x v="1"/>
    <x v="1"/>
    <x v="1"/>
    <x v="0"/>
    <n v="0"/>
    <n v="1"/>
    <x v="1"/>
    <x v="0"/>
    <x v="0"/>
  </r>
  <r>
    <n v="850"/>
    <n v="8012.8205129999997"/>
    <x v="1"/>
    <x v="1"/>
    <x v="0"/>
    <x v="1"/>
    <n v="0"/>
    <n v="1"/>
    <x v="1"/>
    <x v="0"/>
    <x v="0"/>
  </r>
  <r>
    <n v="851"/>
    <n v="14285.71429"/>
    <x v="1"/>
    <x v="1"/>
    <x v="0"/>
    <x v="0"/>
    <n v="0"/>
    <n v="1"/>
    <x v="1"/>
    <x v="0"/>
    <x v="0"/>
  </r>
  <r>
    <n v="855"/>
    <n v="3809.5238100000001"/>
    <x v="1"/>
    <x v="1"/>
    <x v="0"/>
    <x v="0"/>
    <n v="0"/>
    <n v="1"/>
    <x v="1"/>
    <x v="1"/>
    <x v="0"/>
  </r>
  <r>
    <n v="856"/>
    <n v="25000"/>
    <x v="1"/>
    <x v="1"/>
    <x v="1"/>
    <x v="0"/>
    <n v="0"/>
    <n v="1"/>
    <x v="1"/>
    <x v="0"/>
    <x v="1"/>
  </r>
  <r>
    <n v="859"/>
    <n v="40322.580650000004"/>
    <x v="1"/>
    <x v="1"/>
    <x v="0"/>
    <x v="0"/>
    <n v="0"/>
    <n v="1"/>
    <x v="1"/>
    <x v="1"/>
    <x v="0"/>
  </r>
  <r>
    <n v="861"/>
    <n v="55299.539169999996"/>
    <x v="1"/>
    <x v="1"/>
    <x v="1"/>
    <x v="0"/>
    <n v="0"/>
    <n v="1"/>
    <x v="1"/>
    <x v="0"/>
    <x v="0"/>
  </r>
  <r>
    <n v="862"/>
    <n v="37500"/>
    <x v="1"/>
    <x v="1"/>
    <x v="0"/>
    <x v="0"/>
    <n v="0"/>
    <n v="1"/>
    <x v="1"/>
    <x v="0"/>
    <x v="0"/>
  </r>
  <r>
    <n v="863"/>
    <n v="37500"/>
    <x v="1"/>
    <x v="1"/>
    <x v="1"/>
    <x v="0"/>
    <n v="0"/>
    <n v="1"/>
    <x v="1"/>
    <x v="0"/>
    <x v="1"/>
  </r>
  <r>
    <n v="865"/>
    <n v="3225.8064519999998"/>
    <x v="1"/>
    <x v="1"/>
    <x v="1"/>
    <x v="1"/>
    <n v="0"/>
    <n v="1"/>
    <x v="1"/>
    <x v="0"/>
    <x v="1"/>
  </r>
  <r>
    <n v="867"/>
    <n v="30000"/>
    <x v="1"/>
    <x v="1"/>
    <x v="0"/>
    <x v="0"/>
    <n v="0"/>
    <n v="1"/>
    <x v="1"/>
    <x v="0"/>
    <x v="0"/>
  </r>
  <r>
    <n v="872"/>
    <n v="25000"/>
    <x v="1"/>
    <x v="1"/>
    <x v="1"/>
    <x v="0"/>
    <n v="0"/>
    <n v="1"/>
    <x v="1"/>
    <x v="0"/>
    <x v="1"/>
  </r>
  <r>
    <n v="873"/>
    <n v="5263.1578950000003"/>
    <x v="1"/>
    <x v="1"/>
    <x v="0"/>
    <x v="1"/>
    <n v="0"/>
    <n v="1"/>
    <x v="1"/>
    <x v="1"/>
    <x v="1"/>
  </r>
  <r>
    <n v="874"/>
    <n v="0"/>
    <x v="1"/>
    <x v="1"/>
    <x v="0"/>
    <x v="0"/>
    <n v="0"/>
    <n v="1"/>
    <x v="1"/>
    <x v="0"/>
    <x v="1"/>
  </r>
  <r>
    <n v="876"/>
    <n v="32258.06452"/>
    <x v="1"/>
    <x v="1"/>
    <x v="0"/>
    <x v="1"/>
    <n v="0"/>
    <n v="1"/>
    <x v="1"/>
    <x v="1"/>
    <x v="0"/>
  </r>
  <r>
    <n v="877"/>
    <n v="5555.5555560000003"/>
    <x v="1"/>
    <x v="1"/>
    <x v="0"/>
    <x v="0"/>
    <n v="0"/>
    <n v="1"/>
    <x v="1"/>
    <x v="0"/>
    <x v="0"/>
  </r>
  <r>
    <n v="883"/>
    <n v="40000"/>
    <x v="1"/>
    <x v="1"/>
    <x v="0"/>
    <x v="0"/>
    <n v="0"/>
    <n v="1"/>
    <x v="1"/>
    <x v="0"/>
    <x v="1"/>
  </r>
  <r>
    <n v="885"/>
    <n v="66666.666670000006"/>
    <x v="1"/>
    <x v="1"/>
    <x v="0"/>
    <x v="0"/>
    <n v="0"/>
    <n v="1"/>
    <x v="1"/>
    <x v="0"/>
    <x v="1"/>
  </r>
  <r>
    <n v="887"/>
    <n v="10000"/>
    <x v="1"/>
    <x v="1"/>
    <x v="0"/>
    <x v="0"/>
    <n v="0"/>
    <n v="1"/>
    <x v="1"/>
    <x v="0"/>
    <x v="1"/>
  </r>
  <r>
    <n v="888"/>
    <n v="25000"/>
    <x v="1"/>
    <x v="1"/>
    <x v="1"/>
    <x v="0"/>
    <n v="0"/>
    <n v="1"/>
    <x v="1"/>
    <x v="0"/>
    <x v="1"/>
  </r>
  <r>
    <n v="889"/>
    <n v="116666.6667"/>
    <x v="1"/>
    <x v="1"/>
    <x v="1"/>
    <x v="0"/>
    <n v="0"/>
    <n v="1"/>
    <x v="1"/>
    <x v="0"/>
    <x v="1"/>
  </r>
  <r>
    <n v="907"/>
    <n v="50000"/>
    <x v="1"/>
    <x v="1"/>
    <x v="0"/>
    <x v="0"/>
    <n v="0"/>
    <n v="1"/>
    <x v="1"/>
    <x v="1"/>
    <x v="0"/>
  </r>
  <r>
    <n v="910"/>
    <n v="100000"/>
    <x v="1"/>
    <x v="1"/>
    <x v="1"/>
    <x v="0"/>
    <n v="0"/>
    <n v="1"/>
    <x v="1"/>
    <x v="0"/>
    <x v="0"/>
  </r>
  <r>
    <n v="913"/>
    <n v="136363.63639999999"/>
    <x v="1"/>
    <x v="1"/>
    <x v="0"/>
    <x v="0"/>
    <n v="0"/>
    <n v="1"/>
    <x v="1"/>
    <x v="0"/>
    <x v="0"/>
  </r>
  <r>
    <n v="914"/>
    <n v="66666.666670000006"/>
    <x v="1"/>
    <x v="1"/>
    <x v="1"/>
    <x v="0"/>
    <n v="0"/>
    <n v="1"/>
    <x v="1"/>
    <x v="0"/>
    <x v="0"/>
  </r>
  <r>
    <n v="916"/>
    <n v="90909.090909999999"/>
    <x v="1"/>
    <x v="1"/>
    <x v="0"/>
    <x v="0"/>
    <n v="0"/>
    <n v="1"/>
    <x v="1"/>
    <x v="0"/>
    <x v="0"/>
  </r>
  <r>
    <n v="917"/>
    <n v="75000"/>
    <x v="1"/>
    <x v="1"/>
    <x v="0"/>
    <x v="0"/>
    <n v="0"/>
    <n v="1"/>
    <x v="1"/>
    <x v="0"/>
    <x v="0"/>
  </r>
  <r>
    <n v="918"/>
    <n v="150000"/>
    <x v="1"/>
    <x v="1"/>
    <x v="0"/>
    <x v="0"/>
    <n v="0"/>
    <n v="1"/>
    <x v="1"/>
    <x v="0"/>
    <x v="0"/>
  </r>
  <r>
    <n v="920"/>
    <n v="45454.545449999998"/>
    <x v="0"/>
    <x v="0"/>
    <x v="0"/>
    <x v="0"/>
    <n v="0"/>
    <n v="1"/>
    <x v="1"/>
    <x v="0"/>
    <x v="0"/>
  </r>
  <r>
    <n v="924"/>
    <n v="0"/>
    <x v="1"/>
    <x v="1"/>
    <x v="1"/>
    <x v="0"/>
    <n v="0"/>
    <n v="1"/>
    <x v="1"/>
    <x v="0"/>
    <x v="0"/>
  </r>
  <r>
    <n v="925"/>
    <n v="22222.22222"/>
    <x v="1"/>
    <x v="1"/>
    <x v="0"/>
    <x v="0"/>
    <n v="0"/>
    <n v="1"/>
    <x v="1"/>
    <x v="0"/>
    <x v="0"/>
  </r>
  <r>
    <n v="927"/>
    <n v="83333.333329999994"/>
    <x v="1"/>
    <x v="1"/>
    <x v="0"/>
    <x v="0"/>
    <n v="0"/>
    <n v="1"/>
    <x v="1"/>
    <x v="0"/>
    <x v="0"/>
  </r>
  <r>
    <n v="928"/>
    <n v="86956.521739999996"/>
    <x v="1"/>
    <x v="1"/>
    <x v="0"/>
    <x v="0"/>
    <n v="0"/>
    <n v="1"/>
    <x v="1"/>
    <x v="0"/>
    <x v="0"/>
  </r>
  <r>
    <n v="929"/>
    <n v="20000"/>
    <x v="1"/>
    <x v="1"/>
    <x v="0"/>
    <x v="0"/>
    <n v="0"/>
    <n v="1"/>
    <x v="1"/>
    <x v="0"/>
    <x v="0"/>
  </r>
  <r>
    <n v="930"/>
    <n v="153846.1538"/>
    <x v="1"/>
    <x v="1"/>
    <x v="0"/>
    <x v="0"/>
    <n v="0"/>
    <n v="1"/>
    <x v="1"/>
    <x v="0"/>
    <x v="1"/>
  </r>
  <r>
    <n v="935"/>
    <n v="31250"/>
    <x v="1"/>
    <x v="1"/>
    <x v="0"/>
    <x v="0"/>
    <n v="0"/>
    <n v="1"/>
    <x v="1"/>
    <x v="1"/>
    <x v="0"/>
  </r>
  <r>
    <n v="937"/>
    <n v="66666.666670000006"/>
    <x v="1"/>
    <x v="1"/>
    <x v="0"/>
    <x v="0"/>
    <n v="0"/>
    <n v="1"/>
    <x v="1"/>
    <x v="0"/>
    <x v="0"/>
  </r>
  <r>
    <n v="942"/>
    <n v="26000"/>
    <x v="0"/>
    <x v="0"/>
    <x v="1"/>
    <x v="0"/>
    <n v="0"/>
    <n v="1"/>
    <x v="1"/>
    <x v="1"/>
    <x v="0"/>
  </r>
  <r>
    <n v="943"/>
    <n v="35000"/>
    <x v="1"/>
    <x v="1"/>
    <x v="0"/>
    <x v="0"/>
    <n v="0"/>
    <n v="1"/>
    <x v="1"/>
    <x v="0"/>
    <x v="0"/>
  </r>
  <r>
    <n v="946"/>
    <n v="83333.333329999994"/>
    <x v="1"/>
    <x v="1"/>
    <x v="0"/>
    <x v="0"/>
    <n v="0"/>
    <n v="1"/>
    <x v="1"/>
    <x v="0"/>
    <x v="0"/>
  </r>
  <r>
    <n v="952"/>
    <n v="-24600"/>
    <x v="1"/>
    <x v="1"/>
    <x v="0"/>
    <x v="0"/>
    <n v="0"/>
    <n v="1"/>
    <x v="1"/>
    <x v="0"/>
    <x v="1"/>
  </r>
  <r>
    <n v="953"/>
    <n v="40000"/>
    <x v="1"/>
    <x v="1"/>
    <x v="0"/>
    <x v="0"/>
    <n v="0"/>
    <n v="1"/>
    <x v="1"/>
    <x v="0"/>
    <x v="0"/>
  </r>
  <r>
    <n v="955"/>
    <n v="90909.090909999999"/>
    <x v="1"/>
    <x v="1"/>
    <x v="0"/>
    <x v="0"/>
    <n v="0"/>
    <n v="1"/>
    <x v="1"/>
    <x v="0"/>
    <x v="0"/>
  </r>
  <r>
    <n v="958"/>
    <n v="-79646.017699999997"/>
    <x v="1"/>
    <x v="1"/>
    <x v="0"/>
    <x v="0"/>
    <n v="0"/>
    <n v="1"/>
    <x v="1"/>
    <x v="0"/>
    <x v="0"/>
  </r>
  <r>
    <n v="959"/>
    <n v="28571.42857"/>
    <x v="1"/>
    <x v="1"/>
    <x v="0"/>
    <x v="0"/>
    <n v="0"/>
    <n v="1"/>
    <x v="1"/>
    <x v="0"/>
    <x v="0"/>
  </r>
  <r>
    <n v="963"/>
    <n v="150000"/>
    <x v="1"/>
    <x v="1"/>
    <x v="0"/>
    <x v="0"/>
    <n v="0"/>
    <n v="1"/>
    <x v="1"/>
    <x v="0"/>
    <x v="0"/>
  </r>
  <r>
    <n v="966"/>
    <n v="75000"/>
    <x v="1"/>
    <x v="1"/>
    <x v="0"/>
    <x v="0"/>
    <n v="0"/>
    <n v="1"/>
    <x v="1"/>
    <x v="0"/>
    <x v="0"/>
  </r>
  <r>
    <n v="967"/>
    <n v="25000"/>
    <x v="1"/>
    <x v="1"/>
    <x v="0"/>
    <x v="0"/>
    <n v="0"/>
    <n v="1"/>
    <x v="1"/>
    <x v="0"/>
    <x v="0"/>
  </r>
  <r>
    <n v="971"/>
    <n v="-57666.666669999999"/>
    <x v="1"/>
    <x v="1"/>
    <x v="0"/>
    <x v="0"/>
    <n v="0"/>
    <n v="1"/>
    <x v="1"/>
    <x v="0"/>
    <x v="0"/>
  </r>
  <r>
    <n v="972"/>
    <n v="-6666.6666670000004"/>
    <x v="1"/>
    <x v="1"/>
    <x v="1"/>
    <x v="0"/>
    <n v="0"/>
    <n v="1"/>
    <x v="1"/>
    <x v="0"/>
    <x v="0"/>
  </r>
  <r>
    <n v="975"/>
    <n v="133333.3333"/>
    <x v="0"/>
    <x v="0"/>
    <x v="0"/>
    <x v="0"/>
    <n v="0"/>
    <n v="1"/>
    <x v="1"/>
    <x v="0"/>
    <x v="0"/>
  </r>
  <r>
    <n v="976"/>
    <n v="90909.090909999999"/>
    <x v="1"/>
    <x v="1"/>
    <x v="0"/>
    <x v="0"/>
    <n v="0"/>
    <n v="1"/>
    <x v="1"/>
    <x v="0"/>
    <x v="0"/>
  </r>
  <r>
    <n v="977"/>
    <n v="40000"/>
    <x v="1"/>
    <x v="1"/>
    <x v="0"/>
    <x v="0"/>
    <n v="0"/>
    <n v="1"/>
    <x v="1"/>
    <x v="1"/>
    <x v="0"/>
  </r>
  <r>
    <n v="979"/>
    <n v="32051.282050000002"/>
    <x v="1"/>
    <x v="1"/>
    <x v="1"/>
    <x v="0"/>
    <n v="0"/>
    <n v="1"/>
    <x v="1"/>
    <x v="0"/>
    <x v="0"/>
  </r>
  <r>
    <n v="980"/>
    <n v="48000"/>
    <x v="1"/>
    <x v="1"/>
    <x v="1"/>
    <x v="0"/>
    <n v="0"/>
    <n v="1"/>
    <x v="1"/>
    <x v="0"/>
    <x v="0"/>
  </r>
  <r>
    <n v="991"/>
    <n v="14285.71429"/>
    <x v="1"/>
    <x v="1"/>
    <x v="1"/>
    <x v="0"/>
    <n v="0"/>
    <n v="1"/>
    <x v="1"/>
    <x v="1"/>
    <x v="0"/>
  </r>
  <r>
    <n v="993"/>
    <n v="12903.22581"/>
    <x v="1"/>
    <x v="1"/>
    <x v="0"/>
    <x v="0"/>
    <n v="0"/>
    <n v="1"/>
    <x v="1"/>
    <x v="1"/>
    <x v="0"/>
  </r>
  <r>
    <n v="995"/>
    <n v="24390.243900000001"/>
    <x v="1"/>
    <x v="1"/>
    <x v="0"/>
    <x v="0"/>
    <n v="0"/>
    <n v="1"/>
    <x v="1"/>
    <x v="1"/>
    <x v="1"/>
  </r>
  <r>
    <n v="997"/>
    <n v="25000"/>
    <x v="1"/>
    <x v="1"/>
    <x v="1"/>
    <x v="0"/>
    <n v="0"/>
    <n v="1"/>
    <x v="1"/>
    <x v="1"/>
    <x v="0"/>
  </r>
  <r>
    <n v="998"/>
    <n v="80000"/>
    <x v="1"/>
    <x v="1"/>
    <x v="0"/>
    <x v="0"/>
    <n v="0"/>
    <n v="1"/>
    <x v="1"/>
    <x v="1"/>
    <x v="0"/>
  </r>
  <r>
    <n v="999"/>
    <n v="16666.666669999999"/>
    <x v="1"/>
    <x v="1"/>
    <x v="0"/>
    <x v="0"/>
    <n v="0"/>
    <n v="1"/>
    <x v="1"/>
    <x v="0"/>
    <x v="0"/>
  </r>
  <r>
    <n v="1001"/>
    <n v="41666.666669999999"/>
    <x v="1"/>
    <x v="1"/>
    <x v="0"/>
    <x v="0"/>
    <n v="0"/>
    <n v="1"/>
    <x v="1"/>
    <x v="0"/>
    <x v="0"/>
  </r>
  <r>
    <n v="1003"/>
    <n v="11111.11111"/>
    <x v="1"/>
    <x v="1"/>
    <x v="0"/>
    <x v="0"/>
    <n v="0"/>
    <n v="1"/>
    <x v="1"/>
    <x v="0"/>
    <x v="0"/>
  </r>
  <r>
    <n v="1005"/>
    <n v="16666.666669999999"/>
    <x v="1"/>
    <x v="1"/>
    <x v="1"/>
    <x v="0"/>
    <n v="0"/>
    <n v="1"/>
    <x v="1"/>
    <x v="0"/>
    <x v="0"/>
  </r>
  <r>
    <n v="1007"/>
    <n v="50000"/>
    <x v="1"/>
    <x v="1"/>
    <x v="0"/>
    <x v="0"/>
    <n v="0"/>
    <n v="1"/>
    <x v="1"/>
    <x v="0"/>
    <x v="0"/>
  </r>
  <r>
    <n v="1012"/>
    <n v="60000"/>
    <x v="1"/>
    <x v="1"/>
    <x v="1"/>
    <x v="0"/>
    <n v="0"/>
    <n v="1"/>
    <x v="1"/>
    <x v="0"/>
    <x v="0"/>
  </r>
  <r>
    <n v="1015"/>
    <n v="16666.666669999999"/>
    <x v="1"/>
    <x v="1"/>
    <x v="1"/>
    <x v="0"/>
    <n v="0"/>
    <n v="1"/>
    <x v="1"/>
    <x v="0"/>
    <x v="0"/>
  </r>
  <r>
    <n v="1016"/>
    <n v="15384.615379999999"/>
    <x v="1"/>
    <x v="1"/>
    <x v="0"/>
    <x v="0"/>
    <n v="0"/>
    <n v="1"/>
    <x v="1"/>
    <x v="0"/>
    <x v="1"/>
  </r>
  <r>
    <n v="1017"/>
    <n v="61538.461539999997"/>
    <x v="1"/>
    <x v="1"/>
    <x v="0"/>
    <x v="0"/>
    <n v="0"/>
    <n v="1"/>
    <x v="1"/>
    <x v="0"/>
    <x v="0"/>
  </r>
  <r>
    <n v="1018"/>
    <n v="57142.85714"/>
    <x v="1"/>
    <x v="1"/>
    <x v="0"/>
    <x v="0"/>
    <n v="0"/>
    <n v="1"/>
    <x v="1"/>
    <x v="0"/>
    <x v="1"/>
  </r>
  <r>
    <n v="1019"/>
    <n v="18000"/>
    <x v="1"/>
    <x v="1"/>
    <x v="0"/>
    <x v="0"/>
    <n v="0"/>
    <n v="1"/>
    <x v="1"/>
    <x v="0"/>
    <x v="0"/>
  </r>
  <r>
    <n v="1020"/>
    <n v="16666.666669999999"/>
    <x v="1"/>
    <x v="1"/>
    <x v="0"/>
    <x v="0"/>
    <n v="0"/>
    <n v="1"/>
    <x v="1"/>
    <x v="0"/>
    <x v="0"/>
  </r>
  <r>
    <n v="1021"/>
    <n v="50000"/>
    <x v="1"/>
    <x v="1"/>
    <x v="0"/>
    <x v="0"/>
    <n v="0"/>
    <n v="1"/>
    <x v="1"/>
    <x v="0"/>
    <x v="0"/>
  </r>
  <r>
    <n v="1022"/>
    <n v="8333.3333330000005"/>
    <x v="1"/>
    <x v="1"/>
    <x v="0"/>
    <x v="0"/>
    <n v="0"/>
    <n v="1"/>
    <x v="1"/>
    <x v="0"/>
    <x v="0"/>
  </r>
  <r>
    <n v="1027"/>
    <n v="-41666.666669999999"/>
    <x v="1"/>
    <x v="1"/>
    <x v="0"/>
    <x v="0"/>
    <n v="0"/>
    <n v="1"/>
    <x v="1"/>
    <x v="0"/>
    <x v="0"/>
  </r>
  <r>
    <n v="1036"/>
    <n v="100000"/>
    <x v="1"/>
    <x v="1"/>
    <x v="0"/>
    <x v="0"/>
    <n v="0"/>
    <n v="1"/>
    <x v="1"/>
    <x v="0"/>
    <x v="0"/>
  </r>
  <r>
    <n v="1037"/>
    <n v="-45454.545449999998"/>
    <x v="1"/>
    <x v="1"/>
    <x v="0"/>
    <x v="0"/>
    <n v="0"/>
    <n v="1"/>
    <x v="1"/>
    <x v="0"/>
    <x v="0"/>
  </r>
  <r>
    <n v="1041"/>
    <n v="45454.545449999998"/>
    <x v="1"/>
    <x v="1"/>
    <x v="0"/>
    <x v="0"/>
    <n v="0"/>
    <n v="1"/>
    <x v="1"/>
    <x v="0"/>
    <x v="1"/>
  </r>
  <r>
    <n v="1042"/>
    <n v="8333.3333330000005"/>
    <x v="1"/>
    <x v="1"/>
    <x v="0"/>
    <x v="0"/>
    <n v="0"/>
    <n v="1"/>
    <x v="1"/>
    <x v="0"/>
    <x v="0"/>
  </r>
  <r>
    <n v="1043"/>
    <n v="0"/>
    <x v="1"/>
    <x v="1"/>
    <x v="1"/>
    <x v="0"/>
    <n v="0"/>
    <n v="1"/>
    <x v="1"/>
    <x v="0"/>
    <x v="0"/>
  </r>
  <r>
    <n v="1046"/>
    <n v="75000"/>
    <x v="1"/>
    <x v="1"/>
    <x v="0"/>
    <x v="0"/>
    <n v="0"/>
    <n v="1"/>
    <x v="1"/>
    <x v="0"/>
    <x v="0"/>
  </r>
  <r>
    <n v="1047"/>
    <n v="20000"/>
    <x v="1"/>
    <x v="1"/>
    <x v="1"/>
    <x v="0"/>
    <n v="0"/>
    <n v="1"/>
    <x v="1"/>
    <x v="0"/>
    <x v="0"/>
  </r>
  <r>
    <n v="1048"/>
    <n v="95238.095239999995"/>
    <x v="1"/>
    <x v="1"/>
    <x v="0"/>
    <x v="0"/>
    <n v="0"/>
    <n v="1"/>
    <x v="1"/>
    <x v="0"/>
    <x v="0"/>
  </r>
  <r>
    <n v="1049"/>
    <n v="100000"/>
    <x v="1"/>
    <x v="1"/>
    <x v="0"/>
    <x v="0"/>
    <n v="0"/>
    <n v="1"/>
    <x v="1"/>
    <x v="0"/>
    <x v="0"/>
  </r>
  <r>
    <n v="1050"/>
    <n v="-59333.333330000001"/>
    <x v="1"/>
    <x v="1"/>
    <x v="0"/>
    <x v="0"/>
    <n v="0"/>
    <n v="1"/>
    <x v="1"/>
    <x v="0"/>
    <x v="0"/>
  </r>
  <r>
    <n v="1052"/>
    <n v="8333.3333330000005"/>
    <x v="1"/>
    <x v="1"/>
    <x v="0"/>
    <x v="0"/>
    <n v="0"/>
    <n v="1"/>
    <x v="1"/>
    <x v="0"/>
    <x v="0"/>
  </r>
  <r>
    <n v="1053"/>
    <n v="-2500"/>
    <x v="1"/>
    <x v="1"/>
    <x v="0"/>
    <x v="0"/>
    <n v="0"/>
    <n v="1"/>
    <x v="1"/>
    <x v="0"/>
    <x v="0"/>
  </r>
  <r>
    <n v="1054"/>
    <n v="-33333.333330000001"/>
    <x v="1"/>
    <x v="1"/>
    <x v="1"/>
    <x v="0"/>
    <n v="0"/>
    <n v="1"/>
    <x v="1"/>
    <x v="0"/>
    <x v="0"/>
  </r>
  <r>
    <n v="1055"/>
    <n v="100000"/>
    <x v="1"/>
    <x v="1"/>
    <x v="0"/>
    <x v="0"/>
    <n v="0"/>
    <n v="1"/>
    <x v="1"/>
    <x v="0"/>
    <x v="0"/>
  </r>
  <r>
    <n v="1061"/>
    <n v="40000"/>
    <x v="1"/>
    <x v="1"/>
    <x v="0"/>
    <x v="0"/>
    <n v="0"/>
    <n v="1"/>
    <x v="1"/>
    <x v="1"/>
    <x v="0"/>
  </r>
  <r>
    <n v="1064"/>
    <n v="20000"/>
    <x v="1"/>
    <x v="1"/>
    <x v="0"/>
    <x v="0"/>
    <n v="0"/>
    <n v="1"/>
    <x v="1"/>
    <x v="1"/>
    <x v="0"/>
  </r>
  <r>
    <n v="1065"/>
    <n v="83333.333329999994"/>
    <x v="1"/>
    <x v="1"/>
    <x v="0"/>
    <x v="0"/>
    <n v="0"/>
    <n v="1"/>
    <x v="1"/>
    <x v="0"/>
    <x v="1"/>
  </r>
  <r>
    <n v="1067"/>
    <n v="75000"/>
    <x v="1"/>
    <x v="1"/>
    <x v="1"/>
    <x v="0"/>
    <n v="0"/>
    <n v="1"/>
    <x v="1"/>
    <x v="1"/>
    <x v="0"/>
  </r>
  <r>
    <n v="1069"/>
    <n v="16666.666669999999"/>
    <x v="1"/>
    <x v="1"/>
    <x v="0"/>
    <x v="0"/>
    <n v="0"/>
    <n v="1"/>
    <x v="1"/>
    <x v="0"/>
    <x v="0"/>
  </r>
  <r>
    <n v="1070"/>
    <n v="-9615.3846150000008"/>
    <x v="1"/>
    <x v="1"/>
    <x v="1"/>
    <x v="0"/>
    <n v="0"/>
    <n v="1"/>
    <x v="1"/>
    <x v="1"/>
    <x v="0"/>
  </r>
  <r>
    <n v="1071"/>
    <n v="12500"/>
    <x v="1"/>
    <x v="1"/>
    <x v="0"/>
    <x v="0"/>
    <n v="0"/>
    <n v="1"/>
    <x v="1"/>
    <x v="1"/>
    <x v="0"/>
  </r>
  <r>
    <n v="1072"/>
    <n v="15000"/>
    <x v="1"/>
    <x v="1"/>
    <x v="0"/>
    <x v="0"/>
    <n v="0"/>
    <n v="1"/>
    <x v="1"/>
    <x v="0"/>
    <x v="0"/>
  </r>
  <r>
    <n v="1073"/>
    <n v="71428.571429999996"/>
    <x v="1"/>
    <x v="1"/>
    <x v="1"/>
    <x v="0"/>
    <n v="0"/>
    <n v="1"/>
    <x v="1"/>
    <x v="0"/>
    <x v="0"/>
  </r>
  <r>
    <n v="1076"/>
    <n v="0"/>
    <x v="0"/>
    <x v="0"/>
    <x v="1"/>
    <x v="0"/>
    <n v="0"/>
    <n v="1"/>
    <x v="1"/>
    <x v="0"/>
    <x v="0"/>
  </r>
  <r>
    <n v="1077"/>
    <n v="60000"/>
    <x v="1"/>
    <x v="1"/>
    <x v="0"/>
    <x v="0"/>
    <n v="0"/>
    <n v="1"/>
    <x v="1"/>
    <x v="0"/>
    <x v="0"/>
  </r>
  <r>
    <n v="1078"/>
    <n v="108333.3333"/>
    <x v="1"/>
    <x v="1"/>
    <x v="0"/>
    <x v="0"/>
    <n v="0"/>
    <n v="1"/>
    <x v="1"/>
    <x v="0"/>
    <x v="0"/>
  </r>
  <r>
    <n v="1080"/>
    <n v="0"/>
    <x v="1"/>
    <x v="1"/>
    <x v="0"/>
    <x v="0"/>
    <n v="0"/>
    <n v="1"/>
    <x v="1"/>
    <x v="0"/>
    <x v="0"/>
  </r>
  <r>
    <n v="1082"/>
    <n v="20000"/>
    <x v="1"/>
    <x v="1"/>
    <x v="0"/>
    <x v="0"/>
    <n v="0"/>
    <n v="1"/>
    <x v="1"/>
    <x v="0"/>
    <x v="0"/>
  </r>
  <r>
    <n v="1084"/>
    <n v="50000"/>
    <x v="1"/>
    <x v="1"/>
    <x v="0"/>
    <x v="0"/>
    <n v="0"/>
    <n v="1"/>
    <x v="1"/>
    <x v="0"/>
    <x v="0"/>
  </r>
  <r>
    <n v="1087"/>
    <n v="40000"/>
    <x v="1"/>
    <x v="1"/>
    <x v="0"/>
    <x v="0"/>
    <n v="0"/>
    <n v="1"/>
    <x v="1"/>
    <x v="0"/>
    <x v="0"/>
  </r>
  <r>
    <n v="1089"/>
    <n v="83333.333329999994"/>
    <x v="1"/>
    <x v="1"/>
    <x v="0"/>
    <x v="0"/>
    <n v="0"/>
    <n v="1"/>
    <x v="1"/>
    <x v="0"/>
    <x v="0"/>
  </r>
  <r>
    <n v="1095"/>
    <n v="20000"/>
    <x v="1"/>
    <x v="1"/>
    <x v="0"/>
    <x v="0"/>
    <n v="0"/>
    <n v="1"/>
    <x v="1"/>
    <x v="1"/>
    <x v="0"/>
  </r>
  <r>
    <n v="1097"/>
    <n v="3278.688525"/>
    <x v="1"/>
    <x v="1"/>
    <x v="0"/>
    <x v="0"/>
    <n v="0"/>
    <n v="1"/>
    <x v="1"/>
    <x v="0"/>
    <x v="0"/>
  </r>
  <r>
    <n v="1098"/>
    <n v="83333.333329999994"/>
    <x v="1"/>
    <x v="1"/>
    <x v="1"/>
    <x v="0"/>
    <n v="0"/>
    <n v="1"/>
    <x v="1"/>
    <x v="0"/>
    <x v="0"/>
  </r>
  <r>
    <n v="1099"/>
    <n v="16666.666669999999"/>
    <x v="1"/>
    <x v="1"/>
    <x v="0"/>
    <x v="0"/>
    <n v="0"/>
    <n v="1"/>
    <x v="1"/>
    <x v="1"/>
    <x v="0"/>
  </r>
  <r>
    <n v="1100"/>
    <n v="66666.666670000006"/>
    <x v="1"/>
    <x v="1"/>
    <x v="0"/>
    <x v="0"/>
    <n v="0"/>
    <n v="1"/>
    <x v="1"/>
    <x v="0"/>
    <x v="0"/>
  </r>
  <r>
    <n v="1101"/>
    <n v="31250"/>
    <x v="1"/>
    <x v="1"/>
    <x v="0"/>
    <x v="0"/>
    <n v="0"/>
    <n v="1"/>
    <x v="1"/>
    <x v="0"/>
    <x v="0"/>
  </r>
  <r>
    <n v="1104"/>
    <n v="97087.378639999995"/>
    <x v="1"/>
    <x v="1"/>
    <x v="0"/>
    <x v="0"/>
    <n v="0"/>
    <n v="1"/>
    <x v="1"/>
    <x v="0"/>
    <x v="0"/>
  </r>
  <r>
    <n v="1107"/>
    <n v="30000"/>
    <x v="0"/>
    <x v="0"/>
    <x v="0"/>
    <x v="0"/>
    <n v="0"/>
    <n v="1"/>
    <x v="1"/>
    <x v="0"/>
    <x v="0"/>
  </r>
  <r>
    <n v="1108"/>
    <n v="38000"/>
    <x v="1"/>
    <x v="1"/>
    <x v="1"/>
    <x v="0"/>
    <n v="0"/>
    <n v="1"/>
    <x v="1"/>
    <x v="0"/>
    <x v="0"/>
  </r>
  <r>
    <n v="1109"/>
    <n v="150000"/>
    <x v="1"/>
    <x v="1"/>
    <x v="0"/>
    <x v="0"/>
    <n v="0"/>
    <n v="1"/>
    <x v="1"/>
    <x v="0"/>
    <x v="0"/>
  </r>
  <r>
    <n v="1110"/>
    <n v="93750"/>
    <x v="1"/>
    <x v="1"/>
    <x v="1"/>
    <x v="0"/>
    <n v="0"/>
    <n v="1"/>
    <x v="1"/>
    <x v="0"/>
    <x v="0"/>
  </r>
  <r>
    <n v="1113"/>
    <n v="150000"/>
    <x v="1"/>
    <x v="1"/>
    <x v="0"/>
    <x v="0"/>
    <n v="0"/>
    <n v="1"/>
    <x v="1"/>
    <x v="0"/>
    <x v="0"/>
  </r>
  <r>
    <n v="1114"/>
    <n v="40000"/>
    <x v="1"/>
    <x v="1"/>
    <x v="0"/>
    <x v="0"/>
    <n v="0"/>
    <n v="1"/>
    <x v="1"/>
    <x v="0"/>
    <x v="0"/>
  </r>
  <r>
    <n v="1115"/>
    <n v="0"/>
    <x v="1"/>
    <x v="1"/>
    <x v="0"/>
    <x v="0"/>
    <n v="0"/>
    <n v="1"/>
    <x v="1"/>
    <x v="0"/>
    <x v="0"/>
  </r>
  <r>
    <n v="1116"/>
    <n v="93750"/>
    <x v="1"/>
    <x v="1"/>
    <x v="0"/>
    <x v="0"/>
    <n v="0"/>
    <n v="1"/>
    <x v="1"/>
    <x v="1"/>
    <x v="0"/>
  </r>
  <r>
    <n v="1117"/>
    <n v="42857.14286"/>
    <x v="1"/>
    <x v="1"/>
    <x v="0"/>
    <x v="0"/>
    <n v="0"/>
    <n v="1"/>
    <x v="1"/>
    <x v="0"/>
    <x v="0"/>
  </r>
  <r>
    <n v="1120"/>
    <n v="5000"/>
    <x v="1"/>
    <x v="1"/>
    <x v="0"/>
    <x v="0"/>
    <n v="0"/>
    <n v="1"/>
    <x v="1"/>
    <x v="0"/>
    <x v="1"/>
  </r>
  <r>
    <n v="1121"/>
    <n v="12500"/>
    <x v="1"/>
    <x v="1"/>
    <x v="0"/>
    <x v="0"/>
    <n v="0"/>
    <n v="1"/>
    <x v="1"/>
    <x v="0"/>
    <x v="0"/>
  </r>
  <r>
    <n v="1123"/>
    <n v="40000"/>
    <x v="1"/>
    <x v="1"/>
    <x v="0"/>
    <x v="0"/>
    <n v="0"/>
    <n v="1"/>
    <x v="1"/>
    <x v="0"/>
    <x v="0"/>
  </r>
  <r>
    <n v="1129"/>
    <n v="12500"/>
    <x v="1"/>
    <x v="1"/>
    <x v="1"/>
    <x v="0"/>
    <n v="0"/>
    <n v="1"/>
    <x v="1"/>
    <x v="0"/>
    <x v="0"/>
  </r>
  <r>
    <n v="1131"/>
    <n v="10000"/>
    <x v="1"/>
    <x v="1"/>
    <x v="1"/>
    <x v="0"/>
    <n v="0"/>
    <n v="1"/>
    <x v="1"/>
    <x v="1"/>
    <x v="0"/>
  </r>
  <r>
    <n v="1132"/>
    <n v="40909.090909999999"/>
    <x v="1"/>
    <x v="1"/>
    <x v="0"/>
    <x v="0"/>
    <n v="0"/>
    <n v="1"/>
    <x v="1"/>
    <x v="0"/>
    <x v="0"/>
  </r>
  <r>
    <n v="1133"/>
    <n v="2500"/>
    <x v="1"/>
    <x v="1"/>
    <x v="0"/>
    <x v="0"/>
    <n v="0"/>
    <n v="1"/>
    <x v="1"/>
    <x v="0"/>
    <x v="0"/>
  </r>
  <r>
    <n v="1134"/>
    <n v="-16666.666669999999"/>
    <x v="1"/>
    <x v="1"/>
    <x v="0"/>
    <x v="0"/>
    <n v="0"/>
    <n v="1"/>
    <x v="1"/>
    <x v="0"/>
    <x v="0"/>
  </r>
  <r>
    <n v="1136"/>
    <n v="70000"/>
    <x v="1"/>
    <x v="1"/>
    <x v="0"/>
    <x v="0"/>
    <n v="0"/>
    <n v="1"/>
    <x v="1"/>
    <x v="0"/>
    <x v="0"/>
  </r>
  <r>
    <n v="1137"/>
    <n v="60096.153850000002"/>
    <x v="1"/>
    <x v="1"/>
    <x v="0"/>
    <x v="0"/>
    <n v="0"/>
    <n v="1"/>
    <x v="1"/>
    <x v="0"/>
    <x v="0"/>
  </r>
  <r>
    <n v="1138"/>
    <n v="-4166.6666670000004"/>
    <x v="1"/>
    <x v="1"/>
    <x v="0"/>
    <x v="0"/>
    <n v="0"/>
    <n v="1"/>
    <x v="1"/>
    <x v="0"/>
    <x v="0"/>
  </r>
  <r>
    <n v="1141"/>
    <n v="75000"/>
    <x v="1"/>
    <x v="1"/>
    <x v="0"/>
    <x v="0"/>
    <n v="0"/>
    <n v="1"/>
    <x v="1"/>
    <x v="0"/>
    <x v="1"/>
  </r>
  <r>
    <n v="1143"/>
    <n v="100000"/>
    <x v="1"/>
    <x v="1"/>
    <x v="0"/>
    <x v="0"/>
    <n v="0"/>
    <n v="1"/>
    <x v="1"/>
    <x v="0"/>
    <x v="0"/>
  </r>
  <r>
    <n v="1144"/>
    <n v="31250"/>
    <x v="1"/>
    <x v="1"/>
    <x v="1"/>
    <x v="0"/>
    <n v="0"/>
    <n v="1"/>
    <x v="1"/>
    <x v="0"/>
    <x v="0"/>
  </r>
  <r>
    <n v="1145"/>
    <n v="20000"/>
    <x v="1"/>
    <x v="1"/>
    <x v="0"/>
    <x v="0"/>
    <n v="0"/>
    <n v="1"/>
    <x v="1"/>
    <x v="0"/>
    <x v="0"/>
  </r>
  <r>
    <n v="1148"/>
    <n v="90909.090909999999"/>
    <x v="1"/>
    <x v="1"/>
    <x v="1"/>
    <x v="0"/>
    <n v="0"/>
    <n v="1"/>
    <x v="1"/>
    <x v="0"/>
    <x v="0"/>
  </r>
  <r>
    <n v="1152"/>
    <n v="25000"/>
    <x v="1"/>
    <x v="1"/>
    <x v="0"/>
    <x v="0"/>
    <n v="0"/>
    <n v="1"/>
    <x v="1"/>
    <x v="1"/>
    <x v="0"/>
  </r>
  <r>
    <n v="1154"/>
    <n v="40000"/>
    <x v="1"/>
    <x v="1"/>
    <x v="1"/>
    <x v="0"/>
    <n v="0"/>
    <n v="1"/>
    <x v="1"/>
    <x v="0"/>
    <x v="0"/>
  </r>
  <r>
    <n v="1155"/>
    <n v="40000"/>
    <x v="1"/>
    <x v="1"/>
    <x v="0"/>
    <x v="0"/>
    <n v="0"/>
    <n v="1"/>
    <x v="1"/>
    <x v="0"/>
    <x v="0"/>
  </r>
  <r>
    <n v="1163"/>
    <n v="32573.2899"/>
    <x v="1"/>
    <x v="1"/>
    <x v="0"/>
    <x v="0"/>
    <n v="1"/>
    <n v="0"/>
    <x v="2"/>
    <x v="1"/>
    <x v="0"/>
  </r>
  <r>
    <n v="1165"/>
    <n v="100000"/>
    <x v="1"/>
    <x v="1"/>
    <x v="0"/>
    <x v="0"/>
    <n v="1"/>
    <n v="0"/>
    <x v="2"/>
    <x v="0"/>
    <x v="1"/>
  </r>
  <r>
    <n v="1170"/>
    <n v="45731.707320000001"/>
    <x v="1"/>
    <x v="1"/>
    <x v="1"/>
    <x v="0"/>
    <n v="1"/>
    <n v="0"/>
    <x v="2"/>
    <x v="1"/>
    <x v="0"/>
  </r>
  <r>
    <n v="1173"/>
    <n v="0"/>
    <x v="1"/>
    <x v="1"/>
    <x v="0"/>
    <x v="0"/>
    <n v="1"/>
    <n v="0"/>
    <x v="2"/>
    <x v="1"/>
    <x v="0"/>
  </r>
  <r>
    <n v="1175"/>
    <n v="5000"/>
    <x v="1"/>
    <x v="1"/>
    <x v="0"/>
    <x v="0"/>
    <n v="0"/>
    <n v="1"/>
    <x v="2"/>
    <x v="1"/>
    <x v="0"/>
  </r>
  <r>
    <n v="1177"/>
    <n v="17857.14286"/>
    <x v="1"/>
    <x v="1"/>
    <x v="1"/>
    <x v="0"/>
    <n v="1"/>
    <n v="0"/>
    <x v="2"/>
    <x v="0"/>
    <x v="0"/>
  </r>
  <r>
    <n v="1183"/>
    <n v="6250"/>
    <x v="1"/>
    <x v="1"/>
    <x v="0"/>
    <x v="0"/>
    <n v="0"/>
    <n v="1"/>
    <x v="2"/>
    <x v="0"/>
    <x v="0"/>
  </r>
  <r>
    <n v="1184"/>
    <n v="25000"/>
    <x v="1"/>
    <x v="1"/>
    <x v="0"/>
    <x v="0"/>
    <n v="1"/>
    <n v="0"/>
    <x v="2"/>
    <x v="1"/>
    <x v="1"/>
  </r>
  <r>
    <n v="1185"/>
    <n v="1000"/>
    <x v="0"/>
    <x v="0"/>
    <x v="0"/>
    <x v="0"/>
    <n v="1"/>
    <n v="0"/>
    <x v="2"/>
    <x v="0"/>
    <x v="1"/>
  </r>
  <r>
    <n v="1186"/>
    <n v="16666.666669999999"/>
    <x v="1"/>
    <x v="1"/>
    <x v="0"/>
    <x v="0"/>
    <n v="1"/>
    <n v="0"/>
    <x v="2"/>
    <x v="1"/>
    <x v="1"/>
  </r>
  <r>
    <n v="1187"/>
    <n v="2500"/>
    <x v="1"/>
    <x v="1"/>
    <x v="0"/>
    <x v="0"/>
    <n v="1"/>
    <n v="0"/>
    <x v="2"/>
    <x v="0"/>
    <x v="1"/>
  </r>
  <r>
    <n v="1188"/>
    <n v="5000"/>
    <x v="1"/>
    <x v="1"/>
    <x v="0"/>
    <x v="0"/>
    <n v="0"/>
    <n v="1"/>
    <x v="2"/>
    <x v="0"/>
    <x v="1"/>
  </r>
  <r>
    <n v="1189"/>
    <n v="6000"/>
    <x v="1"/>
    <x v="1"/>
    <x v="0"/>
    <x v="0"/>
    <n v="1"/>
    <n v="0"/>
    <x v="2"/>
    <x v="1"/>
    <x v="1"/>
  </r>
  <r>
    <n v="1190"/>
    <n v="5000"/>
    <x v="1"/>
    <x v="1"/>
    <x v="0"/>
    <x v="0"/>
    <n v="0"/>
    <n v="1"/>
    <x v="2"/>
    <x v="0"/>
    <x v="1"/>
  </r>
  <r>
    <n v="1191"/>
    <n v="10000"/>
    <x v="1"/>
    <x v="1"/>
    <x v="0"/>
    <x v="0"/>
    <n v="0"/>
    <n v="1"/>
    <x v="2"/>
    <x v="0"/>
    <x v="1"/>
  </r>
  <r>
    <n v="1192"/>
    <n v="0"/>
    <x v="0"/>
    <x v="0"/>
    <x v="0"/>
    <x v="0"/>
    <n v="1"/>
    <n v="0"/>
    <x v="2"/>
    <x v="1"/>
    <x v="0"/>
  </r>
  <r>
    <n v="1195"/>
    <n v="20000"/>
    <x v="1"/>
    <x v="1"/>
    <x v="0"/>
    <x v="0"/>
    <n v="1"/>
    <n v="0"/>
    <x v="2"/>
    <x v="0"/>
    <x v="0"/>
  </r>
  <r>
    <n v="1198"/>
    <n v="41666.666669999999"/>
    <x v="1"/>
    <x v="1"/>
    <x v="0"/>
    <x v="0"/>
    <n v="0"/>
    <n v="1"/>
    <x v="2"/>
    <x v="1"/>
    <x v="1"/>
  </r>
  <r>
    <n v="1199"/>
    <n v="41666.666669999999"/>
    <x v="0"/>
    <x v="0"/>
    <x v="0"/>
    <x v="1"/>
    <n v="0"/>
    <n v="1"/>
    <x v="2"/>
    <x v="1"/>
    <x v="0"/>
  </r>
  <r>
    <n v="1200"/>
    <n v="8426.9662919999992"/>
    <x v="1"/>
    <x v="1"/>
    <x v="1"/>
    <x v="1"/>
    <n v="0"/>
    <n v="1"/>
    <x v="2"/>
    <x v="1"/>
    <x v="0"/>
  </r>
  <r>
    <n v="1201"/>
    <n v="9090.9090909999995"/>
    <x v="1"/>
    <x v="1"/>
    <x v="1"/>
    <x v="1"/>
    <n v="0"/>
    <n v="1"/>
    <x v="2"/>
    <x v="1"/>
    <x v="0"/>
  </r>
  <r>
    <n v="1202"/>
    <n v="5000"/>
    <x v="1"/>
    <x v="1"/>
    <x v="0"/>
    <x v="0"/>
    <n v="0"/>
    <n v="1"/>
    <x v="2"/>
    <x v="0"/>
    <x v="0"/>
  </r>
  <r>
    <n v="1206"/>
    <n v="4000"/>
    <x v="1"/>
    <x v="1"/>
    <x v="0"/>
    <x v="0"/>
    <n v="1"/>
    <n v="0"/>
    <x v="2"/>
    <x v="1"/>
    <x v="1"/>
  </r>
  <r>
    <n v="1207"/>
    <n v="20000"/>
    <x v="1"/>
    <x v="1"/>
    <x v="0"/>
    <x v="0"/>
    <n v="1"/>
    <n v="0"/>
    <x v="2"/>
    <x v="1"/>
    <x v="0"/>
  </r>
  <r>
    <n v="1209"/>
    <n v="18181.818179999998"/>
    <x v="1"/>
    <x v="1"/>
    <x v="0"/>
    <x v="0"/>
    <n v="0"/>
    <n v="1"/>
    <x v="2"/>
    <x v="1"/>
    <x v="0"/>
  </r>
  <r>
    <n v="1215"/>
    <n v="3333.333333"/>
    <x v="0"/>
    <x v="0"/>
    <x v="0"/>
    <x v="1"/>
    <n v="0"/>
    <n v="1"/>
    <x v="2"/>
    <x v="1"/>
    <x v="0"/>
  </r>
  <r>
    <n v="1217"/>
    <n v="3636.363636"/>
    <x v="1"/>
    <x v="1"/>
    <x v="0"/>
    <x v="1"/>
    <n v="0"/>
    <n v="1"/>
    <x v="2"/>
    <x v="1"/>
    <x v="1"/>
  </r>
  <r>
    <n v="1219"/>
    <n v="23364.485980000001"/>
    <x v="1"/>
    <x v="1"/>
    <x v="0"/>
    <x v="0"/>
    <n v="1"/>
    <n v="0"/>
    <x v="2"/>
    <x v="0"/>
    <x v="0"/>
  </r>
  <r>
    <n v="1220"/>
    <n v="6887.052342"/>
    <x v="1"/>
    <x v="1"/>
    <x v="1"/>
    <x v="0"/>
    <n v="1"/>
    <n v="0"/>
    <x v="2"/>
    <x v="1"/>
    <x v="0"/>
  </r>
  <r>
    <n v="1222"/>
    <n v="8888.8888889999998"/>
    <x v="1"/>
    <x v="1"/>
    <x v="1"/>
    <x v="1"/>
    <n v="1"/>
    <n v="0"/>
    <x v="2"/>
    <x v="1"/>
    <x v="0"/>
  </r>
  <r>
    <n v="1223"/>
    <n v="-3571.4285709999999"/>
    <x v="1"/>
    <x v="1"/>
    <x v="0"/>
    <x v="0"/>
    <n v="0"/>
    <n v="1"/>
    <x v="2"/>
    <x v="1"/>
    <x v="1"/>
  </r>
  <r>
    <n v="1224"/>
    <n v="34825.870649999997"/>
    <x v="0"/>
    <x v="0"/>
    <x v="0"/>
    <x v="1"/>
    <n v="1"/>
    <n v="0"/>
    <x v="2"/>
    <x v="1"/>
    <x v="0"/>
  </r>
  <r>
    <n v="1226"/>
    <n v="7142.8571430000002"/>
    <x v="1"/>
    <x v="1"/>
    <x v="0"/>
    <x v="0"/>
    <n v="0"/>
    <n v="1"/>
    <x v="2"/>
    <x v="1"/>
    <x v="1"/>
  </r>
  <r>
    <n v="1227"/>
    <n v="45714.285709999996"/>
    <x v="1"/>
    <x v="1"/>
    <x v="0"/>
    <x v="1"/>
    <n v="0"/>
    <n v="1"/>
    <x v="2"/>
    <x v="1"/>
    <x v="0"/>
  </r>
  <r>
    <n v="1229"/>
    <n v="11363.63636"/>
    <x v="1"/>
    <x v="1"/>
    <x v="0"/>
    <x v="0"/>
    <n v="0"/>
    <n v="1"/>
    <x v="2"/>
    <x v="1"/>
    <x v="0"/>
  </r>
  <r>
    <n v="1231"/>
    <n v="55000"/>
    <x v="1"/>
    <x v="1"/>
    <x v="0"/>
    <x v="0"/>
    <n v="0"/>
    <n v="1"/>
    <x v="2"/>
    <x v="0"/>
    <x v="1"/>
  </r>
  <r>
    <n v="1232"/>
    <n v="4000"/>
    <x v="1"/>
    <x v="1"/>
    <x v="0"/>
    <x v="0"/>
    <n v="0"/>
    <n v="1"/>
    <x v="2"/>
    <x v="1"/>
    <x v="1"/>
  </r>
  <r>
    <n v="1234"/>
    <n v="10000"/>
    <x v="1"/>
    <x v="1"/>
    <x v="0"/>
    <x v="0"/>
    <n v="0"/>
    <n v="1"/>
    <x v="2"/>
    <x v="1"/>
    <x v="0"/>
  </r>
  <r>
    <n v="1235"/>
    <n v="11904.7619"/>
    <x v="1"/>
    <x v="1"/>
    <x v="1"/>
    <x v="0"/>
    <n v="0"/>
    <n v="1"/>
    <x v="2"/>
    <x v="1"/>
    <x v="0"/>
  </r>
  <r>
    <n v="1236"/>
    <n v="9302.3255809999991"/>
    <x v="1"/>
    <x v="1"/>
    <x v="0"/>
    <x v="1"/>
    <n v="0"/>
    <n v="1"/>
    <x v="2"/>
    <x v="1"/>
    <x v="0"/>
  </r>
  <r>
    <n v="1237"/>
    <n v="3125"/>
    <x v="1"/>
    <x v="1"/>
    <x v="0"/>
    <x v="1"/>
    <n v="0"/>
    <n v="1"/>
    <x v="2"/>
    <x v="1"/>
    <x v="0"/>
  </r>
  <r>
    <n v="1240"/>
    <n v="7662.8352489999997"/>
    <x v="1"/>
    <x v="1"/>
    <x v="0"/>
    <x v="1"/>
    <n v="0"/>
    <n v="1"/>
    <x v="2"/>
    <x v="1"/>
    <x v="0"/>
  </r>
  <r>
    <n v="1241"/>
    <n v="2500"/>
    <x v="1"/>
    <x v="1"/>
    <x v="0"/>
    <x v="1"/>
    <n v="0"/>
    <n v="1"/>
    <x v="2"/>
    <x v="1"/>
    <x v="0"/>
  </r>
  <r>
    <n v="1244"/>
    <n v="4687.5"/>
    <x v="1"/>
    <x v="1"/>
    <x v="0"/>
    <x v="1"/>
    <n v="0"/>
    <n v="1"/>
    <x v="2"/>
    <x v="1"/>
    <x v="1"/>
  </r>
  <r>
    <n v="1245"/>
    <n v="4285.7142860000004"/>
    <x v="1"/>
    <x v="1"/>
    <x v="0"/>
    <x v="0"/>
    <n v="0"/>
    <n v="1"/>
    <x v="2"/>
    <x v="0"/>
    <x v="0"/>
  </r>
  <r>
    <n v="1246"/>
    <n v="-25000"/>
    <x v="1"/>
    <x v="1"/>
    <x v="0"/>
    <x v="0"/>
    <n v="0"/>
    <n v="1"/>
    <x v="2"/>
    <x v="0"/>
    <x v="0"/>
  </r>
  <r>
    <n v="1247"/>
    <n v="6818.181818"/>
    <x v="1"/>
    <x v="1"/>
    <x v="0"/>
    <x v="0"/>
    <n v="0"/>
    <n v="1"/>
    <x v="2"/>
    <x v="0"/>
    <x v="0"/>
  </r>
  <r>
    <n v="1249"/>
    <n v="4716.9811319999999"/>
    <x v="1"/>
    <x v="1"/>
    <x v="1"/>
    <x v="0"/>
    <n v="0"/>
    <n v="1"/>
    <x v="2"/>
    <x v="0"/>
    <x v="0"/>
  </r>
  <r>
    <n v="1252"/>
    <n v="-43478.260869999998"/>
    <x v="1"/>
    <x v="1"/>
    <x v="0"/>
    <x v="0"/>
    <n v="1"/>
    <n v="0"/>
    <x v="2"/>
    <x v="0"/>
    <x v="1"/>
  </r>
  <r>
    <n v="1253"/>
    <n v="12500"/>
    <x v="1"/>
    <x v="1"/>
    <x v="0"/>
    <x v="0"/>
    <n v="1"/>
    <n v="0"/>
    <x v="2"/>
    <x v="0"/>
    <x v="1"/>
  </r>
  <r>
    <n v="1256"/>
    <n v="1886.792453"/>
    <x v="1"/>
    <x v="1"/>
    <x v="0"/>
    <x v="0"/>
    <n v="1"/>
    <n v="0"/>
    <x v="2"/>
    <x v="1"/>
    <x v="1"/>
  </r>
  <r>
    <n v="1258"/>
    <n v="-30000"/>
    <x v="1"/>
    <x v="1"/>
    <x v="0"/>
    <x v="0"/>
    <n v="1"/>
    <n v="0"/>
    <x v="2"/>
    <x v="1"/>
    <x v="1"/>
  </r>
  <r>
    <n v="1261"/>
    <n v="31818.181820000002"/>
    <x v="1"/>
    <x v="1"/>
    <x v="0"/>
    <x v="0"/>
    <n v="0"/>
    <n v="1"/>
    <x v="2"/>
    <x v="1"/>
    <x v="0"/>
  </r>
  <r>
    <n v="1262"/>
    <n v="10000"/>
    <x v="1"/>
    <x v="1"/>
    <x v="0"/>
    <x v="0"/>
    <n v="1"/>
    <n v="0"/>
    <x v="2"/>
    <x v="1"/>
    <x v="1"/>
  </r>
  <r>
    <n v="1268"/>
    <n v="45454.545449999998"/>
    <x v="1"/>
    <x v="1"/>
    <x v="0"/>
    <x v="0"/>
    <n v="0"/>
    <n v="1"/>
    <x v="2"/>
    <x v="1"/>
    <x v="0"/>
  </r>
  <r>
    <n v="1272"/>
    <n v="18181.818179999998"/>
    <x v="1"/>
    <x v="1"/>
    <x v="0"/>
    <x v="0"/>
    <n v="0"/>
    <n v="1"/>
    <x v="2"/>
    <x v="1"/>
    <x v="1"/>
  </r>
  <r>
    <n v="1273"/>
    <n v="9375"/>
    <x v="1"/>
    <x v="1"/>
    <x v="0"/>
    <x v="0"/>
    <n v="0"/>
    <n v="1"/>
    <x v="2"/>
    <x v="1"/>
    <x v="1"/>
  </r>
  <r>
    <n v="1276"/>
    <n v="5000"/>
    <x v="1"/>
    <x v="1"/>
    <x v="0"/>
    <x v="0"/>
    <n v="0"/>
    <n v="1"/>
    <x v="2"/>
    <x v="1"/>
    <x v="1"/>
  </r>
  <r>
    <n v="1277"/>
    <n v="36496.350359999997"/>
    <x v="1"/>
    <x v="1"/>
    <x v="0"/>
    <x v="0"/>
    <n v="1"/>
    <n v="0"/>
    <x v="2"/>
    <x v="1"/>
    <x v="0"/>
  </r>
  <r>
    <n v="1278"/>
    <n v="21645.021649999999"/>
    <x v="0"/>
    <x v="0"/>
    <x v="0"/>
    <x v="0"/>
    <n v="1"/>
    <n v="0"/>
    <x v="2"/>
    <x v="1"/>
    <x v="1"/>
  </r>
  <r>
    <n v="1279"/>
    <n v="10000"/>
    <x v="0"/>
    <x v="0"/>
    <x v="1"/>
    <x v="0"/>
    <n v="1"/>
    <n v="0"/>
    <x v="2"/>
    <x v="1"/>
    <x v="1"/>
  </r>
  <r>
    <n v="1280"/>
    <n v="11627.90698"/>
    <x v="0"/>
    <x v="0"/>
    <x v="0"/>
    <x v="0"/>
    <n v="1"/>
    <n v="0"/>
    <x v="2"/>
    <x v="1"/>
    <x v="1"/>
  </r>
  <r>
    <n v="1282"/>
    <n v="45454.545449999998"/>
    <x v="1"/>
    <x v="1"/>
    <x v="0"/>
    <x v="0"/>
    <n v="1"/>
    <n v="0"/>
    <x v="2"/>
    <x v="1"/>
    <x v="1"/>
  </r>
  <r>
    <n v="1283"/>
    <n v="16129.03226"/>
    <x v="1"/>
    <x v="1"/>
    <x v="0"/>
    <x v="0"/>
    <n v="1"/>
    <n v="0"/>
    <x v="2"/>
    <x v="1"/>
    <x v="1"/>
  </r>
  <r>
    <n v="1284"/>
    <n v="11904.7619"/>
    <x v="0"/>
    <x v="0"/>
    <x v="0"/>
    <x v="0"/>
    <n v="1"/>
    <n v="0"/>
    <x v="2"/>
    <x v="1"/>
    <x v="1"/>
  </r>
  <r>
    <n v="1285"/>
    <n v="16129.03226"/>
    <x v="1"/>
    <x v="1"/>
    <x v="0"/>
    <x v="0"/>
    <n v="1"/>
    <n v="0"/>
    <x v="2"/>
    <x v="1"/>
    <x v="1"/>
  </r>
  <r>
    <n v="1287"/>
    <n v="6666.6666670000004"/>
    <x v="1"/>
    <x v="1"/>
    <x v="0"/>
    <x v="0"/>
    <n v="1"/>
    <n v="0"/>
    <x v="2"/>
    <x v="1"/>
    <x v="1"/>
  </r>
  <r>
    <n v="1289"/>
    <n v="10000"/>
    <x v="1"/>
    <x v="1"/>
    <x v="0"/>
    <x v="0"/>
    <n v="1"/>
    <n v="0"/>
    <x v="2"/>
    <x v="1"/>
    <x v="1"/>
  </r>
  <r>
    <n v="1290"/>
    <n v="39682.539680000002"/>
    <x v="1"/>
    <x v="1"/>
    <x v="0"/>
    <x v="0"/>
    <n v="1"/>
    <n v="0"/>
    <x v="2"/>
    <x v="1"/>
    <x v="1"/>
  </r>
  <r>
    <n v="1293"/>
    <n v="15151.515149999999"/>
    <x v="1"/>
    <x v="1"/>
    <x v="0"/>
    <x v="0"/>
    <n v="1"/>
    <n v="0"/>
    <x v="2"/>
    <x v="1"/>
    <x v="1"/>
  </r>
  <r>
    <n v="1295"/>
    <n v="50000"/>
    <x v="1"/>
    <x v="1"/>
    <x v="0"/>
    <x v="0"/>
    <n v="1"/>
    <n v="0"/>
    <x v="2"/>
    <x v="1"/>
    <x v="1"/>
  </r>
  <r>
    <n v="1300"/>
    <n v="6250"/>
    <x v="1"/>
    <x v="1"/>
    <x v="1"/>
    <x v="0"/>
    <n v="1"/>
    <n v="0"/>
    <x v="2"/>
    <x v="0"/>
    <x v="1"/>
  </r>
  <r>
    <n v="1304"/>
    <n v="16666.666669999999"/>
    <x v="1"/>
    <x v="1"/>
    <x v="0"/>
    <x v="0"/>
    <n v="1"/>
    <n v="0"/>
    <x v="2"/>
    <x v="1"/>
    <x v="1"/>
  </r>
  <r>
    <n v="1306"/>
    <n v="22727.272730000001"/>
    <x v="1"/>
    <x v="1"/>
    <x v="0"/>
    <x v="1"/>
    <n v="1"/>
    <n v="0"/>
    <x v="2"/>
    <x v="1"/>
    <x v="0"/>
  </r>
  <r>
    <n v="1307"/>
    <n v="9416.1958570000006"/>
    <x v="1"/>
    <x v="1"/>
    <x v="0"/>
    <x v="0"/>
    <n v="1"/>
    <n v="0"/>
    <x v="2"/>
    <x v="1"/>
    <x v="1"/>
  </r>
  <r>
    <n v="1310"/>
    <n v="12500"/>
    <x v="1"/>
    <x v="1"/>
    <x v="0"/>
    <x v="0"/>
    <n v="0"/>
    <n v="1"/>
    <x v="2"/>
    <x v="1"/>
    <x v="1"/>
  </r>
  <r>
    <n v="1311"/>
    <n v="8333.3333330000005"/>
    <x v="1"/>
    <x v="1"/>
    <x v="1"/>
    <x v="0"/>
    <n v="1"/>
    <n v="0"/>
    <x v="2"/>
    <x v="1"/>
    <x v="1"/>
  </r>
  <r>
    <n v="1312"/>
    <n v="38461.538460000003"/>
    <x v="1"/>
    <x v="1"/>
    <x v="0"/>
    <x v="0"/>
    <n v="1"/>
    <n v="0"/>
    <x v="2"/>
    <x v="1"/>
    <x v="0"/>
  </r>
  <r>
    <n v="1313"/>
    <n v="15000"/>
    <x v="1"/>
    <x v="1"/>
    <x v="1"/>
    <x v="0"/>
    <n v="0"/>
    <n v="1"/>
    <x v="2"/>
    <x v="0"/>
    <x v="0"/>
  </r>
  <r>
    <n v="1314"/>
    <n v="16129.03226"/>
    <x v="1"/>
    <x v="1"/>
    <x v="1"/>
    <x v="0"/>
    <n v="0"/>
    <n v="1"/>
    <x v="2"/>
    <x v="0"/>
    <x v="0"/>
  </r>
  <r>
    <n v="1315"/>
    <n v="6000"/>
    <x v="1"/>
    <x v="1"/>
    <x v="1"/>
    <x v="0"/>
    <n v="1"/>
    <n v="0"/>
    <x v="2"/>
    <x v="0"/>
    <x v="1"/>
  </r>
  <r>
    <n v="1316"/>
    <n v="9803.9215690000001"/>
    <x v="1"/>
    <x v="1"/>
    <x v="1"/>
    <x v="0"/>
    <n v="1"/>
    <n v="0"/>
    <x v="2"/>
    <x v="1"/>
    <x v="1"/>
  </r>
  <r>
    <n v="1317"/>
    <n v="6451.6129030000002"/>
    <x v="0"/>
    <x v="0"/>
    <x v="0"/>
    <x v="0"/>
    <n v="1"/>
    <n v="0"/>
    <x v="2"/>
    <x v="1"/>
    <x v="1"/>
  </r>
  <r>
    <n v="1323"/>
    <n v="9118.5410329999995"/>
    <x v="1"/>
    <x v="1"/>
    <x v="0"/>
    <x v="0"/>
    <n v="1"/>
    <n v="0"/>
    <x v="2"/>
    <x v="1"/>
    <x v="0"/>
  </r>
  <r>
    <n v="1329"/>
    <n v="4178.2729810000001"/>
    <x v="1"/>
    <x v="1"/>
    <x v="0"/>
    <x v="0"/>
    <n v="1"/>
    <n v="0"/>
    <x v="2"/>
    <x v="1"/>
    <x v="1"/>
  </r>
  <r>
    <n v="1330"/>
    <n v="12500"/>
    <x v="1"/>
    <x v="1"/>
    <x v="0"/>
    <x v="0"/>
    <n v="1"/>
    <n v="0"/>
    <x v="2"/>
    <x v="1"/>
    <x v="0"/>
  </r>
  <r>
    <n v="1331"/>
    <n v="7849.2935639999996"/>
    <x v="1"/>
    <x v="1"/>
    <x v="0"/>
    <x v="1"/>
    <n v="1"/>
    <n v="0"/>
    <x v="2"/>
    <x v="1"/>
    <x v="0"/>
  </r>
  <r>
    <n v="1333"/>
    <n v="41666.666669999999"/>
    <x v="1"/>
    <x v="1"/>
    <x v="0"/>
    <x v="0"/>
    <n v="1"/>
    <n v="0"/>
    <x v="2"/>
    <x v="1"/>
    <x v="1"/>
  </r>
  <r>
    <n v="1337"/>
    <n v="33333.333330000001"/>
    <x v="1"/>
    <x v="1"/>
    <x v="1"/>
    <x v="0"/>
    <n v="1"/>
    <n v="0"/>
    <x v="2"/>
    <x v="1"/>
    <x v="1"/>
  </r>
  <r>
    <n v="1338"/>
    <n v="22727.272730000001"/>
    <x v="1"/>
    <x v="1"/>
    <x v="0"/>
    <x v="0"/>
    <n v="1"/>
    <n v="0"/>
    <x v="2"/>
    <x v="1"/>
    <x v="1"/>
  </r>
  <r>
    <n v="1340"/>
    <n v="-11904.7619"/>
    <x v="1"/>
    <x v="1"/>
    <x v="0"/>
    <x v="0"/>
    <n v="1"/>
    <n v="0"/>
    <x v="2"/>
    <x v="1"/>
    <x v="1"/>
  </r>
  <r>
    <n v="1344"/>
    <n v="41666.666669999999"/>
    <x v="1"/>
    <x v="1"/>
    <x v="0"/>
    <x v="0"/>
    <n v="1"/>
    <n v="0"/>
    <x v="2"/>
    <x v="1"/>
    <x v="1"/>
  </r>
  <r>
    <n v="1345"/>
    <n v="10869.56522"/>
    <x v="1"/>
    <x v="1"/>
    <x v="0"/>
    <x v="0"/>
    <n v="1"/>
    <n v="0"/>
    <x v="2"/>
    <x v="1"/>
    <x v="1"/>
  </r>
  <r>
    <n v="1347"/>
    <n v="6250"/>
    <x v="1"/>
    <x v="1"/>
    <x v="0"/>
    <x v="0"/>
    <n v="0"/>
    <n v="1"/>
    <x v="2"/>
    <x v="1"/>
    <x v="0"/>
  </r>
  <r>
    <n v="1348"/>
    <n v="22727.272730000001"/>
    <x v="1"/>
    <x v="1"/>
    <x v="1"/>
    <x v="0"/>
    <n v="1"/>
    <n v="0"/>
    <x v="2"/>
    <x v="1"/>
    <x v="1"/>
  </r>
  <r>
    <n v="1349"/>
    <n v="15625"/>
    <x v="1"/>
    <x v="1"/>
    <x v="0"/>
    <x v="0"/>
    <n v="1"/>
    <n v="0"/>
    <x v="2"/>
    <x v="1"/>
    <x v="0"/>
  </r>
  <r>
    <n v="1352"/>
    <n v="6666.6666670000004"/>
    <x v="1"/>
    <x v="1"/>
    <x v="0"/>
    <x v="0"/>
    <n v="1"/>
    <n v="0"/>
    <x v="2"/>
    <x v="0"/>
    <x v="0"/>
  </r>
  <r>
    <n v="1356"/>
    <n v="14285.71429"/>
    <x v="0"/>
    <x v="0"/>
    <x v="0"/>
    <x v="0"/>
    <n v="1"/>
    <n v="0"/>
    <x v="2"/>
    <x v="1"/>
    <x v="0"/>
  </r>
  <r>
    <n v="1357"/>
    <n v="50000"/>
    <x v="1"/>
    <x v="1"/>
    <x v="0"/>
    <x v="0"/>
    <n v="1"/>
    <n v="0"/>
    <x v="2"/>
    <x v="1"/>
    <x v="1"/>
  </r>
  <r>
    <n v="1360"/>
    <n v="18181.818179999998"/>
    <x v="1"/>
    <x v="1"/>
    <x v="0"/>
    <x v="1"/>
    <n v="1"/>
    <n v="0"/>
    <x v="2"/>
    <x v="1"/>
    <x v="0"/>
  </r>
  <r>
    <n v="1362"/>
    <n v="6993.006993"/>
    <x v="1"/>
    <x v="1"/>
    <x v="0"/>
    <x v="0"/>
    <n v="1"/>
    <n v="0"/>
    <x v="2"/>
    <x v="1"/>
    <x v="1"/>
  </r>
  <r>
    <n v="1364"/>
    <n v="4878.0487800000001"/>
    <x v="1"/>
    <x v="1"/>
    <x v="0"/>
    <x v="0"/>
    <n v="1"/>
    <n v="0"/>
    <x v="2"/>
    <x v="1"/>
    <x v="1"/>
  </r>
  <r>
    <n v="1365"/>
    <n v="16666.666669999999"/>
    <x v="1"/>
    <x v="1"/>
    <x v="0"/>
    <x v="0"/>
    <n v="1"/>
    <n v="0"/>
    <x v="2"/>
    <x v="1"/>
    <x v="1"/>
  </r>
  <r>
    <n v="1366"/>
    <n v="5952.3809520000004"/>
    <x v="1"/>
    <x v="1"/>
    <x v="1"/>
    <x v="0"/>
    <n v="1"/>
    <n v="0"/>
    <x v="2"/>
    <x v="1"/>
    <x v="1"/>
  </r>
  <r>
    <n v="1369"/>
    <n v="4166.6666670000004"/>
    <x v="1"/>
    <x v="1"/>
    <x v="0"/>
    <x v="0"/>
    <n v="1"/>
    <n v="0"/>
    <x v="2"/>
    <x v="1"/>
    <x v="1"/>
  </r>
  <r>
    <n v="1382"/>
    <n v="5970.1492539999999"/>
    <x v="0"/>
    <x v="0"/>
    <x v="1"/>
    <x v="0"/>
    <n v="0"/>
    <n v="1"/>
    <x v="2"/>
    <x v="1"/>
    <x v="1"/>
  </r>
  <r>
    <n v="1386"/>
    <n v="40000"/>
    <x v="1"/>
    <x v="1"/>
    <x v="1"/>
    <x v="0"/>
    <n v="0"/>
    <n v="1"/>
    <x v="2"/>
    <x v="1"/>
    <x v="1"/>
  </r>
  <r>
    <n v="1387"/>
    <n v="25000"/>
    <x v="1"/>
    <x v="1"/>
    <x v="0"/>
    <x v="0"/>
    <n v="0"/>
    <n v="1"/>
    <x v="2"/>
    <x v="1"/>
    <x v="1"/>
  </r>
  <r>
    <n v="1388"/>
    <n v="30000"/>
    <x v="1"/>
    <x v="1"/>
    <x v="0"/>
    <x v="0"/>
    <n v="1"/>
    <n v="0"/>
    <x v="2"/>
    <x v="0"/>
    <x v="0"/>
  </r>
  <r>
    <n v="1389"/>
    <n v="5714.2857139999996"/>
    <x v="1"/>
    <x v="1"/>
    <x v="0"/>
    <x v="0"/>
    <n v="1"/>
    <n v="0"/>
    <x v="2"/>
    <x v="1"/>
    <x v="0"/>
  </r>
  <r>
    <n v="1390"/>
    <n v="7936.5079370000003"/>
    <x v="1"/>
    <x v="1"/>
    <x v="0"/>
    <x v="1"/>
    <n v="0"/>
    <n v="1"/>
    <x v="2"/>
    <x v="1"/>
    <x v="1"/>
  </r>
  <r>
    <n v="1391"/>
    <n v="12121.21212"/>
    <x v="1"/>
    <x v="1"/>
    <x v="0"/>
    <x v="0"/>
    <n v="1"/>
    <n v="0"/>
    <x v="2"/>
    <x v="1"/>
    <x v="0"/>
  </r>
  <r>
    <n v="1392"/>
    <n v="10000"/>
    <x v="1"/>
    <x v="1"/>
    <x v="0"/>
    <x v="0"/>
    <n v="1"/>
    <n v="0"/>
    <x v="2"/>
    <x v="0"/>
    <x v="0"/>
  </r>
  <r>
    <n v="1396"/>
    <n v="4000"/>
    <x v="1"/>
    <x v="1"/>
    <x v="0"/>
    <x v="0"/>
    <n v="0"/>
    <n v="1"/>
    <x v="2"/>
    <x v="1"/>
    <x v="1"/>
  </r>
  <r>
    <n v="1399"/>
    <n v="-15000"/>
    <x v="1"/>
    <x v="1"/>
    <x v="0"/>
    <x v="0"/>
    <n v="0"/>
    <n v="1"/>
    <x v="2"/>
    <x v="1"/>
    <x v="1"/>
  </r>
  <r>
    <n v="1401"/>
    <n v="9090.9090909999995"/>
    <x v="1"/>
    <x v="1"/>
    <x v="0"/>
    <x v="0"/>
    <n v="0"/>
    <n v="1"/>
    <x v="2"/>
    <x v="1"/>
    <x v="1"/>
  </r>
  <r>
    <n v="1404"/>
    <n v="4761.9047620000001"/>
    <x v="1"/>
    <x v="1"/>
    <x v="0"/>
    <x v="0"/>
    <n v="0"/>
    <n v="1"/>
    <x v="2"/>
    <x v="1"/>
    <x v="1"/>
  </r>
  <r>
    <n v="1410"/>
    <n v="20000"/>
    <x v="1"/>
    <x v="1"/>
    <x v="0"/>
    <x v="0"/>
    <n v="0"/>
    <n v="1"/>
    <x v="2"/>
    <x v="1"/>
    <x v="1"/>
  </r>
  <r>
    <n v="1418"/>
    <n v="100000"/>
    <x v="1"/>
    <x v="1"/>
    <x v="0"/>
    <x v="1"/>
    <n v="0"/>
    <n v="1"/>
    <x v="2"/>
    <x v="1"/>
    <x v="1"/>
  </r>
  <r>
    <n v="1421"/>
    <n v="12500"/>
    <x v="1"/>
    <x v="1"/>
    <x v="0"/>
    <x v="0"/>
    <n v="1"/>
    <n v="0"/>
    <x v="2"/>
    <x v="1"/>
    <x v="1"/>
  </r>
  <r>
    <n v="1423"/>
    <n v="4375"/>
    <x v="1"/>
    <x v="1"/>
    <x v="0"/>
    <x v="0"/>
    <n v="1"/>
    <n v="0"/>
    <x v="2"/>
    <x v="1"/>
    <x v="1"/>
  </r>
  <r>
    <n v="1424"/>
    <n v="20000"/>
    <x v="0"/>
    <x v="0"/>
    <x v="0"/>
    <x v="0"/>
    <n v="0"/>
    <n v="1"/>
    <x v="2"/>
    <x v="1"/>
    <x v="1"/>
  </r>
  <r>
    <n v="1429"/>
    <n v="-13636.36364"/>
    <x v="1"/>
    <x v="1"/>
    <x v="0"/>
    <x v="0"/>
    <n v="1"/>
    <n v="0"/>
    <x v="2"/>
    <x v="1"/>
    <x v="1"/>
  </r>
  <r>
    <n v="1430"/>
    <n v="15625"/>
    <x v="1"/>
    <x v="1"/>
    <x v="0"/>
    <x v="0"/>
    <n v="1"/>
    <n v="0"/>
    <x v="2"/>
    <x v="1"/>
    <x v="1"/>
  </r>
  <r>
    <n v="1431"/>
    <n v="33333.333330000001"/>
    <x v="1"/>
    <x v="1"/>
    <x v="0"/>
    <x v="0"/>
    <n v="1"/>
    <n v="0"/>
    <x v="2"/>
    <x v="1"/>
    <x v="1"/>
  </r>
  <r>
    <n v="1436"/>
    <n v="8333.3333330000005"/>
    <x v="1"/>
    <x v="1"/>
    <x v="0"/>
    <x v="0"/>
    <n v="0"/>
    <n v="1"/>
    <x v="2"/>
    <x v="0"/>
    <x v="0"/>
  </r>
  <r>
    <n v="1437"/>
    <n v="12500"/>
    <x v="1"/>
    <x v="1"/>
    <x v="0"/>
    <x v="0"/>
    <n v="0"/>
    <n v="1"/>
    <x v="2"/>
    <x v="1"/>
    <x v="0"/>
  </r>
  <r>
    <n v="1438"/>
    <n v="33333.333330000001"/>
    <x v="1"/>
    <x v="1"/>
    <x v="0"/>
    <x v="0"/>
    <n v="0"/>
    <n v="1"/>
    <x v="2"/>
    <x v="0"/>
    <x v="1"/>
  </r>
  <r>
    <n v="1439"/>
    <n v="6666.6666670000004"/>
    <x v="1"/>
    <x v="1"/>
    <x v="0"/>
    <x v="0"/>
    <n v="0"/>
    <n v="1"/>
    <x v="2"/>
    <x v="1"/>
    <x v="1"/>
  </r>
  <r>
    <n v="1440"/>
    <n v="50000"/>
    <x v="1"/>
    <x v="1"/>
    <x v="0"/>
    <x v="0"/>
    <n v="0"/>
    <n v="1"/>
    <x v="2"/>
    <x v="0"/>
    <x v="1"/>
  </r>
  <r>
    <n v="1443"/>
    <n v="5000"/>
    <x v="1"/>
    <x v="1"/>
    <x v="0"/>
    <x v="0"/>
    <n v="0"/>
    <n v="1"/>
    <x v="2"/>
    <x v="0"/>
    <x v="0"/>
  </r>
  <r>
    <n v="1447"/>
    <n v="31250"/>
    <x v="1"/>
    <x v="1"/>
    <x v="0"/>
    <x v="0"/>
    <n v="0"/>
    <n v="1"/>
    <x v="2"/>
    <x v="0"/>
    <x v="1"/>
  </r>
  <r>
    <n v="1455"/>
    <n v="25000"/>
    <x v="1"/>
    <x v="1"/>
    <x v="1"/>
    <x v="0"/>
    <n v="1"/>
    <n v="0"/>
    <x v="2"/>
    <x v="1"/>
    <x v="1"/>
  </r>
  <r>
    <n v="1457"/>
    <n v="21551.724139999998"/>
    <x v="1"/>
    <x v="1"/>
    <x v="0"/>
    <x v="0"/>
    <n v="1"/>
    <n v="0"/>
    <x v="2"/>
    <x v="1"/>
    <x v="0"/>
  </r>
  <r>
    <n v="1463"/>
    <n v="41666.666669999999"/>
    <x v="1"/>
    <x v="1"/>
    <x v="0"/>
    <x v="0"/>
    <n v="1"/>
    <n v="0"/>
    <x v="2"/>
    <x v="1"/>
    <x v="0"/>
  </r>
  <r>
    <n v="1464"/>
    <n v="6097.5609759999998"/>
    <x v="1"/>
    <x v="1"/>
    <x v="0"/>
    <x v="0"/>
    <n v="1"/>
    <n v="0"/>
    <x v="2"/>
    <x v="0"/>
    <x v="1"/>
  </r>
  <r>
    <n v="1466"/>
    <n v="47619.047619999998"/>
    <x v="1"/>
    <x v="1"/>
    <x v="0"/>
    <x v="0"/>
    <n v="1"/>
    <n v="0"/>
    <x v="2"/>
    <x v="1"/>
    <x v="1"/>
  </r>
  <r>
    <n v="1472"/>
    <n v="2400"/>
    <x v="1"/>
    <x v="1"/>
    <x v="0"/>
    <x v="0"/>
    <n v="1"/>
    <n v="0"/>
    <x v="2"/>
    <x v="0"/>
    <x v="1"/>
  </r>
  <r>
    <n v="1473"/>
    <n v="80000"/>
    <x v="1"/>
    <x v="1"/>
    <x v="1"/>
    <x v="0"/>
    <n v="1"/>
    <n v="0"/>
    <x v="2"/>
    <x v="1"/>
    <x v="0"/>
  </r>
  <r>
    <n v="1474"/>
    <n v="10000"/>
    <x v="1"/>
    <x v="1"/>
    <x v="0"/>
    <x v="0"/>
    <n v="1"/>
    <n v="0"/>
    <x v="2"/>
    <x v="1"/>
    <x v="0"/>
  </r>
  <r>
    <n v="1475"/>
    <n v="5000"/>
    <x v="1"/>
    <x v="1"/>
    <x v="0"/>
    <x v="0"/>
    <n v="1"/>
    <n v="0"/>
    <x v="2"/>
    <x v="0"/>
    <x v="0"/>
  </r>
  <r>
    <n v="1477"/>
    <n v="3780.7183359999999"/>
    <x v="1"/>
    <x v="1"/>
    <x v="1"/>
    <x v="0"/>
    <n v="1"/>
    <n v="0"/>
    <x v="2"/>
    <x v="0"/>
    <x v="1"/>
  </r>
  <r>
    <n v="1478"/>
    <n v="6666.6666670000004"/>
    <x v="1"/>
    <x v="1"/>
    <x v="1"/>
    <x v="0"/>
    <n v="1"/>
    <n v="0"/>
    <x v="2"/>
    <x v="1"/>
    <x v="1"/>
  </r>
  <r>
    <n v="1484"/>
    <n v="90909.090909999999"/>
    <x v="1"/>
    <x v="1"/>
    <x v="1"/>
    <x v="0"/>
    <n v="1"/>
    <n v="0"/>
    <x v="2"/>
    <x v="0"/>
    <x v="1"/>
  </r>
  <r>
    <n v="1490"/>
    <n v="86956.521739999996"/>
    <x v="1"/>
    <x v="1"/>
    <x v="1"/>
    <x v="0"/>
    <n v="1"/>
    <n v="0"/>
    <x v="2"/>
    <x v="0"/>
    <x v="1"/>
  </r>
  <r>
    <n v="1492"/>
    <n v="3000"/>
    <x v="1"/>
    <x v="1"/>
    <x v="0"/>
    <x v="0"/>
    <n v="1"/>
    <n v="0"/>
    <x v="2"/>
    <x v="1"/>
    <x v="1"/>
  </r>
  <r>
    <n v="1493"/>
    <n v="5000"/>
    <x v="1"/>
    <x v="1"/>
    <x v="0"/>
    <x v="0"/>
    <n v="1"/>
    <n v="0"/>
    <x v="2"/>
    <x v="0"/>
    <x v="0"/>
  </r>
  <r>
    <n v="1499"/>
    <n v="9090.9090909999995"/>
    <x v="1"/>
    <x v="1"/>
    <x v="0"/>
    <x v="0"/>
    <n v="1"/>
    <n v="0"/>
    <x v="2"/>
    <x v="0"/>
    <x v="1"/>
  </r>
  <r>
    <n v="1502"/>
    <n v="2500"/>
    <x v="0"/>
    <x v="0"/>
    <x v="0"/>
    <x v="0"/>
    <n v="1"/>
    <n v="0"/>
    <x v="2"/>
    <x v="1"/>
    <x v="1"/>
  </r>
  <r>
    <n v="1505"/>
    <n v="25000"/>
    <x v="0"/>
    <x v="0"/>
    <x v="0"/>
    <x v="0"/>
    <n v="1"/>
    <n v="0"/>
    <x v="2"/>
    <x v="0"/>
    <x v="0"/>
  </r>
  <r>
    <n v="1506"/>
    <n v="50000"/>
    <x v="1"/>
    <x v="1"/>
    <x v="1"/>
    <x v="0"/>
    <n v="1"/>
    <n v="0"/>
    <x v="2"/>
    <x v="1"/>
    <x v="0"/>
  </r>
  <r>
    <n v="1507"/>
    <n v="83333.333329999994"/>
    <x v="1"/>
    <x v="1"/>
    <x v="0"/>
    <x v="0"/>
    <n v="1"/>
    <n v="0"/>
    <x v="2"/>
    <x v="1"/>
    <x v="1"/>
  </r>
  <r>
    <n v="1508"/>
    <n v="71428.571429999996"/>
    <x v="1"/>
    <x v="1"/>
    <x v="0"/>
    <x v="0"/>
    <n v="1"/>
    <n v="0"/>
    <x v="2"/>
    <x v="0"/>
    <x v="1"/>
  </r>
  <r>
    <n v="1509"/>
    <n v="83333.333329999994"/>
    <x v="1"/>
    <x v="1"/>
    <x v="0"/>
    <x v="0"/>
    <n v="1"/>
    <n v="0"/>
    <x v="2"/>
    <x v="1"/>
    <x v="1"/>
  </r>
  <r>
    <n v="1512"/>
    <n v="33333.333330000001"/>
    <x v="1"/>
    <x v="1"/>
    <x v="0"/>
    <x v="0"/>
    <n v="1"/>
    <n v="0"/>
    <x v="2"/>
    <x v="1"/>
    <x v="1"/>
  </r>
  <r>
    <n v="1514"/>
    <n v="30000"/>
    <x v="1"/>
    <x v="1"/>
    <x v="1"/>
    <x v="0"/>
    <n v="1"/>
    <n v="0"/>
    <x v="2"/>
    <x v="1"/>
    <x v="1"/>
  </r>
  <r>
    <n v="1524"/>
    <n v="27272.727269999999"/>
    <x v="0"/>
    <x v="0"/>
    <x v="1"/>
    <x v="0"/>
    <n v="1"/>
    <n v="0"/>
    <x v="2"/>
    <x v="0"/>
    <x v="1"/>
  </r>
  <r>
    <n v="1525"/>
    <n v="37500"/>
    <x v="1"/>
    <x v="1"/>
    <x v="0"/>
    <x v="0"/>
    <n v="1"/>
    <n v="0"/>
    <x v="2"/>
    <x v="0"/>
    <x v="1"/>
  </r>
  <r>
    <n v="1526"/>
    <n v="10000"/>
    <x v="1"/>
    <x v="1"/>
    <x v="1"/>
    <x v="0"/>
    <n v="1"/>
    <n v="0"/>
    <x v="2"/>
    <x v="1"/>
    <x v="0"/>
  </r>
  <r>
    <n v="1527"/>
    <n v="38461.538460000003"/>
    <x v="1"/>
    <x v="1"/>
    <x v="1"/>
    <x v="0"/>
    <n v="1"/>
    <n v="0"/>
    <x v="2"/>
    <x v="1"/>
    <x v="0"/>
  </r>
  <r>
    <n v="1529"/>
    <n v="33333.333330000001"/>
    <x v="0"/>
    <x v="0"/>
    <x v="0"/>
    <x v="0"/>
    <n v="1"/>
    <n v="0"/>
    <x v="2"/>
    <x v="0"/>
    <x v="0"/>
  </r>
  <r>
    <n v="1531"/>
    <n v="68181.818180000002"/>
    <x v="1"/>
    <x v="1"/>
    <x v="0"/>
    <x v="0"/>
    <n v="1"/>
    <n v="0"/>
    <x v="2"/>
    <x v="0"/>
    <x v="0"/>
  </r>
  <r>
    <n v="1532"/>
    <n v="42553.191489999997"/>
    <x v="1"/>
    <x v="1"/>
    <x v="0"/>
    <x v="0"/>
    <n v="1"/>
    <n v="0"/>
    <x v="2"/>
    <x v="0"/>
    <x v="1"/>
  </r>
  <r>
    <n v="1533"/>
    <n v="10000"/>
    <x v="1"/>
    <x v="1"/>
    <x v="0"/>
    <x v="0"/>
    <n v="1"/>
    <n v="0"/>
    <x v="2"/>
    <x v="0"/>
    <x v="0"/>
  </r>
  <r>
    <n v="1534"/>
    <n v="47505.938240000003"/>
    <x v="1"/>
    <x v="1"/>
    <x v="0"/>
    <x v="0"/>
    <n v="1"/>
    <n v="0"/>
    <x v="2"/>
    <x v="1"/>
    <x v="1"/>
  </r>
  <r>
    <n v="1535"/>
    <n v="28571.42857"/>
    <x v="0"/>
    <x v="0"/>
    <x v="0"/>
    <x v="0"/>
    <n v="1"/>
    <n v="0"/>
    <x v="2"/>
    <x v="0"/>
    <x v="1"/>
  </r>
  <r>
    <n v="1536"/>
    <n v="25000"/>
    <x v="1"/>
    <x v="1"/>
    <x v="0"/>
    <x v="0"/>
    <n v="1"/>
    <n v="0"/>
    <x v="2"/>
    <x v="1"/>
    <x v="0"/>
  </r>
  <r>
    <n v="1537"/>
    <n v="50000"/>
    <x v="1"/>
    <x v="1"/>
    <x v="0"/>
    <x v="0"/>
    <n v="1"/>
    <n v="0"/>
    <x v="2"/>
    <x v="0"/>
    <x v="1"/>
  </r>
  <r>
    <n v="1538"/>
    <n v="29411.764709999999"/>
    <x v="0"/>
    <x v="0"/>
    <x v="0"/>
    <x v="0"/>
    <n v="1"/>
    <n v="0"/>
    <x v="2"/>
    <x v="0"/>
    <x v="0"/>
  </r>
  <r>
    <n v="1539"/>
    <n v="68181.818180000002"/>
    <x v="1"/>
    <x v="1"/>
    <x v="1"/>
    <x v="0"/>
    <n v="1"/>
    <n v="0"/>
    <x v="2"/>
    <x v="0"/>
    <x v="1"/>
  </r>
  <r>
    <n v="1540"/>
    <n v="13333.333329999999"/>
    <x v="1"/>
    <x v="1"/>
    <x v="1"/>
    <x v="0"/>
    <n v="1"/>
    <n v="0"/>
    <x v="2"/>
    <x v="1"/>
    <x v="1"/>
  </r>
  <r>
    <n v="1541"/>
    <n v="8333.3333330000005"/>
    <x v="1"/>
    <x v="1"/>
    <x v="1"/>
    <x v="0"/>
    <n v="1"/>
    <n v="0"/>
    <x v="2"/>
    <x v="1"/>
    <x v="1"/>
  </r>
  <r>
    <n v="1543"/>
    <n v="18181.818179999998"/>
    <x v="1"/>
    <x v="1"/>
    <x v="0"/>
    <x v="0"/>
    <n v="1"/>
    <n v="0"/>
    <x v="2"/>
    <x v="1"/>
    <x v="0"/>
  </r>
  <r>
    <n v="1544"/>
    <n v="10000"/>
    <x v="1"/>
    <x v="1"/>
    <x v="0"/>
    <x v="0"/>
    <n v="1"/>
    <n v="0"/>
    <x v="2"/>
    <x v="1"/>
    <x v="1"/>
  </r>
  <r>
    <n v="1545"/>
    <n v="60000"/>
    <x v="1"/>
    <x v="1"/>
    <x v="0"/>
    <x v="0"/>
    <n v="1"/>
    <n v="0"/>
    <x v="2"/>
    <x v="1"/>
    <x v="1"/>
  </r>
  <r>
    <n v="1546"/>
    <n v="41666.666669999999"/>
    <x v="1"/>
    <x v="1"/>
    <x v="1"/>
    <x v="0"/>
    <n v="1"/>
    <n v="0"/>
    <x v="2"/>
    <x v="0"/>
    <x v="1"/>
  </r>
  <r>
    <n v="1547"/>
    <n v="40000"/>
    <x v="1"/>
    <x v="1"/>
    <x v="0"/>
    <x v="0"/>
    <n v="1"/>
    <n v="0"/>
    <x v="2"/>
    <x v="0"/>
    <x v="1"/>
  </r>
  <r>
    <n v="1548"/>
    <n v="9615.3846150000008"/>
    <x v="1"/>
    <x v="1"/>
    <x v="0"/>
    <x v="0"/>
    <n v="1"/>
    <n v="0"/>
    <x v="2"/>
    <x v="1"/>
    <x v="1"/>
  </r>
  <r>
    <n v="1549"/>
    <n v="13888.88889"/>
    <x v="1"/>
    <x v="1"/>
    <x v="1"/>
    <x v="0"/>
    <n v="1"/>
    <n v="0"/>
    <x v="2"/>
    <x v="1"/>
    <x v="1"/>
  </r>
  <r>
    <n v="1550"/>
    <n v="11904.7619"/>
    <x v="1"/>
    <x v="1"/>
    <x v="0"/>
    <x v="1"/>
    <n v="1"/>
    <n v="0"/>
    <x v="2"/>
    <x v="1"/>
    <x v="1"/>
  </r>
  <r>
    <n v="1552"/>
    <n v="10000"/>
    <x v="1"/>
    <x v="1"/>
    <x v="0"/>
    <x v="0"/>
    <n v="1"/>
    <n v="0"/>
    <x v="2"/>
    <x v="1"/>
    <x v="1"/>
  </r>
  <r>
    <n v="1555"/>
    <n v="15625"/>
    <x v="1"/>
    <x v="1"/>
    <x v="1"/>
    <x v="0"/>
    <n v="1"/>
    <n v="0"/>
    <x v="2"/>
    <x v="1"/>
    <x v="1"/>
  </r>
  <r>
    <n v="1556"/>
    <n v="7936.5079370000003"/>
    <x v="1"/>
    <x v="1"/>
    <x v="0"/>
    <x v="0"/>
    <n v="1"/>
    <n v="0"/>
    <x v="2"/>
    <x v="1"/>
    <x v="1"/>
  </r>
  <r>
    <n v="1557"/>
    <n v="31250"/>
    <x v="0"/>
    <x v="0"/>
    <x v="0"/>
    <x v="0"/>
    <n v="1"/>
    <n v="0"/>
    <x v="2"/>
    <x v="1"/>
    <x v="1"/>
  </r>
  <r>
    <n v="1558"/>
    <n v="27272.727269999999"/>
    <x v="1"/>
    <x v="1"/>
    <x v="0"/>
    <x v="1"/>
    <n v="1"/>
    <n v="0"/>
    <x v="2"/>
    <x v="1"/>
    <x v="1"/>
  </r>
  <r>
    <n v="1559"/>
    <n v="12500"/>
    <x v="1"/>
    <x v="1"/>
    <x v="1"/>
    <x v="1"/>
    <n v="1"/>
    <n v="0"/>
    <x v="2"/>
    <x v="1"/>
    <x v="1"/>
  </r>
  <r>
    <n v="1562"/>
    <n v="4000"/>
    <x v="1"/>
    <x v="1"/>
    <x v="0"/>
    <x v="0"/>
    <n v="1"/>
    <n v="0"/>
    <x v="2"/>
    <x v="0"/>
    <x v="1"/>
  </r>
  <r>
    <n v="1563"/>
    <n v="5555.5555560000003"/>
    <x v="1"/>
    <x v="1"/>
    <x v="0"/>
    <x v="1"/>
    <n v="1"/>
    <n v="0"/>
    <x v="2"/>
    <x v="1"/>
    <x v="1"/>
  </r>
  <r>
    <n v="1564"/>
    <n v="78125"/>
    <x v="1"/>
    <x v="1"/>
    <x v="0"/>
    <x v="0"/>
    <n v="1"/>
    <n v="0"/>
    <x v="2"/>
    <x v="1"/>
    <x v="1"/>
  </r>
  <r>
    <n v="1565"/>
    <n v="-16666.666669999999"/>
    <x v="1"/>
    <x v="1"/>
    <x v="0"/>
    <x v="0"/>
    <n v="1"/>
    <n v="0"/>
    <x v="2"/>
    <x v="1"/>
    <x v="1"/>
  </r>
  <r>
    <n v="1566"/>
    <n v="5791.5057919999999"/>
    <x v="1"/>
    <x v="1"/>
    <x v="1"/>
    <x v="0"/>
    <n v="1"/>
    <n v="0"/>
    <x v="2"/>
    <x v="1"/>
    <x v="1"/>
  </r>
  <r>
    <n v="1568"/>
    <n v="6250"/>
    <x v="1"/>
    <x v="1"/>
    <x v="0"/>
    <x v="1"/>
    <n v="1"/>
    <n v="0"/>
    <x v="2"/>
    <x v="1"/>
    <x v="1"/>
  </r>
  <r>
    <n v="1569"/>
    <n v="7923.9302690000004"/>
    <x v="0"/>
    <x v="0"/>
    <x v="0"/>
    <x v="0"/>
    <n v="1"/>
    <n v="0"/>
    <x v="2"/>
    <x v="0"/>
    <x v="1"/>
  </r>
  <r>
    <n v="1572"/>
    <n v="17241.37931"/>
    <x v="0"/>
    <x v="0"/>
    <x v="0"/>
    <x v="0"/>
    <n v="0"/>
    <n v="1"/>
    <x v="2"/>
    <x v="1"/>
    <x v="0"/>
  </r>
  <r>
    <n v="1573"/>
    <n v="13333.333329999999"/>
    <x v="1"/>
    <x v="1"/>
    <x v="0"/>
    <x v="0"/>
    <n v="0"/>
    <n v="1"/>
    <x v="2"/>
    <x v="1"/>
    <x v="1"/>
  </r>
  <r>
    <n v="1574"/>
    <n v="10000"/>
    <x v="1"/>
    <x v="1"/>
    <x v="0"/>
    <x v="0"/>
    <n v="0"/>
    <n v="1"/>
    <x v="2"/>
    <x v="0"/>
    <x v="1"/>
  </r>
  <r>
    <n v="1575"/>
    <n v="5000"/>
    <x v="0"/>
    <x v="0"/>
    <x v="0"/>
    <x v="0"/>
    <n v="0"/>
    <n v="1"/>
    <x v="2"/>
    <x v="0"/>
    <x v="0"/>
  </r>
  <r>
    <n v="1576"/>
    <n v="10000"/>
    <x v="1"/>
    <x v="1"/>
    <x v="0"/>
    <x v="0"/>
    <n v="0"/>
    <n v="1"/>
    <x v="2"/>
    <x v="0"/>
    <x v="1"/>
  </r>
  <r>
    <n v="1577"/>
    <n v="10000"/>
    <x v="1"/>
    <x v="1"/>
    <x v="0"/>
    <x v="0"/>
    <n v="0"/>
    <n v="1"/>
    <x v="2"/>
    <x v="1"/>
    <x v="1"/>
  </r>
  <r>
    <n v="1579"/>
    <n v="7500"/>
    <x v="0"/>
    <x v="0"/>
    <x v="0"/>
    <x v="0"/>
    <n v="1"/>
    <n v="0"/>
    <x v="2"/>
    <x v="0"/>
    <x v="1"/>
  </r>
  <r>
    <n v="1582"/>
    <n v="13333.333329999999"/>
    <x v="1"/>
    <x v="1"/>
    <x v="0"/>
    <x v="0"/>
    <n v="0"/>
    <n v="1"/>
    <x v="2"/>
    <x v="0"/>
    <x v="1"/>
  </r>
  <r>
    <n v="1583"/>
    <n v="23437.5"/>
    <x v="1"/>
    <x v="1"/>
    <x v="0"/>
    <x v="0"/>
    <n v="0"/>
    <n v="1"/>
    <x v="2"/>
    <x v="0"/>
    <x v="1"/>
  </r>
  <r>
    <n v="1585"/>
    <n v="13333.333329999999"/>
    <x v="1"/>
    <x v="1"/>
    <x v="0"/>
    <x v="0"/>
    <n v="1"/>
    <n v="0"/>
    <x v="2"/>
    <x v="0"/>
    <x v="0"/>
  </r>
  <r>
    <n v="1586"/>
    <n v="7142.8571430000002"/>
    <x v="1"/>
    <x v="1"/>
    <x v="0"/>
    <x v="0"/>
    <n v="0"/>
    <n v="1"/>
    <x v="2"/>
    <x v="0"/>
    <x v="1"/>
  </r>
  <r>
    <n v="1588"/>
    <n v="8333.3333330000005"/>
    <x v="1"/>
    <x v="1"/>
    <x v="0"/>
    <x v="0"/>
    <n v="0"/>
    <n v="1"/>
    <x v="2"/>
    <x v="0"/>
    <x v="1"/>
  </r>
  <r>
    <n v="1589"/>
    <n v="8000"/>
    <x v="1"/>
    <x v="1"/>
    <x v="0"/>
    <x v="0"/>
    <n v="0"/>
    <n v="1"/>
    <x v="2"/>
    <x v="0"/>
    <x v="1"/>
  </r>
  <r>
    <n v="1590"/>
    <n v="6250"/>
    <x v="1"/>
    <x v="1"/>
    <x v="0"/>
    <x v="0"/>
    <n v="0"/>
    <n v="1"/>
    <x v="2"/>
    <x v="0"/>
    <x v="1"/>
  </r>
  <r>
    <n v="1591"/>
    <n v="6666.6666670000004"/>
    <x v="1"/>
    <x v="1"/>
    <x v="0"/>
    <x v="0"/>
    <n v="0"/>
    <n v="1"/>
    <x v="2"/>
    <x v="0"/>
    <x v="1"/>
  </r>
  <r>
    <n v="1593"/>
    <n v="6153.8461539999998"/>
    <x v="0"/>
    <x v="0"/>
    <x v="0"/>
    <x v="0"/>
    <n v="0"/>
    <n v="1"/>
    <x v="2"/>
    <x v="0"/>
    <x v="1"/>
  </r>
  <r>
    <n v="1595"/>
    <n v="5000"/>
    <x v="0"/>
    <x v="0"/>
    <x v="0"/>
    <x v="0"/>
    <n v="1"/>
    <n v="0"/>
    <x v="2"/>
    <x v="1"/>
    <x v="1"/>
  </r>
  <r>
    <n v="1597"/>
    <n v="20000"/>
    <x v="1"/>
    <x v="1"/>
    <x v="0"/>
    <x v="0"/>
    <n v="0"/>
    <n v="1"/>
    <x v="2"/>
    <x v="0"/>
    <x v="0"/>
  </r>
  <r>
    <n v="1598"/>
    <n v="12500"/>
    <x v="0"/>
    <x v="0"/>
    <x v="0"/>
    <x v="0"/>
    <n v="1"/>
    <n v="0"/>
    <x v="2"/>
    <x v="0"/>
    <x v="1"/>
  </r>
  <r>
    <n v="1599"/>
    <n v="8333.3333330000005"/>
    <x v="1"/>
    <x v="1"/>
    <x v="0"/>
    <x v="0"/>
    <n v="0"/>
    <n v="1"/>
    <x v="2"/>
    <x v="0"/>
    <x v="1"/>
  </r>
  <r>
    <n v="1601"/>
    <n v="16666.666669999999"/>
    <x v="1"/>
    <x v="1"/>
    <x v="0"/>
    <x v="0"/>
    <n v="0"/>
    <n v="1"/>
    <x v="2"/>
    <x v="0"/>
    <x v="1"/>
  </r>
  <r>
    <n v="1602"/>
    <n v="12500"/>
    <x v="1"/>
    <x v="1"/>
    <x v="0"/>
    <x v="0"/>
    <n v="1"/>
    <n v="0"/>
    <x v="2"/>
    <x v="1"/>
    <x v="1"/>
  </r>
  <r>
    <n v="1603"/>
    <n v="7500"/>
    <x v="1"/>
    <x v="1"/>
    <x v="0"/>
    <x v="0"/>
    <n v="1"/>
    <n v="0"/>
    <x v="2"/>
    <x v="1"/>
    <x v="1"/>
  </r>
  <r>
    <n v="1604"/>
    <n v="12000"/>
    <x v="1"/>
    <x v="1"/>
    <x v="0"/>
    <x v="0"/>
    <n v="0"/>
    <n v="1"/>
    <x v="2"/>
    <x v="1"/>
    <x v="1"/>
  </r>
  <r>
    <n v="1605"/>
    <n v="12578.61635"/>
    <x v="1"/>
    <x v="1"/>
    <x v="0"/>
    <x v="0"/>
    <n v="1"/>
    <n v="0"/>
    <x v="2"/>
    <x v="0"/>
    <x v="1"/>
  </r>
  <r>
    <n v="1606"/>
    <n v="10000"/>
    <x v="1"/>
    <x v="1"/>
    <x v="0"/>
    <x v="0"/>
    <n v="1"/>
    <n v="0"/>
    <x v="2"/>
    <x v="1"/>
    <x v="1"/>
  </r>
  <r>
    <n v="1607"/>
    <n v="25000"/>
    <x v="1"/>
    <x v="1"/>
    <x v="0"/>
    <x v="0"/>
    <n v="1"/>
    <n v="0"/>
    <x v="2"/>
    <x v="0"/>
    <x v="1"/>
  </r>
  <r>
    <n v="1608"/>
    <n v="23809.523809999999"/>
    <x v="1"/>
    <x v="1"/>
    <x v="0"/>
    <x v="0"/>
    <n v="1"/>
    <n v="0"/>
    <x v="2"/>
    <x v="0"/>
    <x v="1"/>
  </r>
  <r>
    <n v="1609"/>
    <n v="9677.419355"/>
    <x v="1"/>
    <x v="1"/>
    <x v="0"/>
    <x v="0"/>
    <n v="1"/>
    <n v="0"/>
    <x v="2"/>
    <x v="1"/>
    <x v="1"/>
  </r>
  <r>
    <n v="1610"/>
    <n v="3750"/>
    <x v="0"/>
    <x v="0"/>
    <x v="0"/>
    <x v="0"/>
    <n v="1"/>
    <n v="0"/>
    <x v="2"/>
    <x v="0"/>
    <x v="1"/>
  </r>
  <r>
    <n v="1611"/>
    <n v="16666.666669999999"/>
    <x v="1"/>
    <x v="1"/>
    <x v="0"/>
    <x v="0"/>
    <n v="1"/>
    <n v="0"/>
    <x v="2"/>
    <x v="0"/>
    <x v="1"/>
  </r>
  <r>
    <n v="1613"/>
    <n v="16666.666669999999"/>
    <x v="0"/>
    <x v="0"/>
    <x v="0"/>
    <x v="0"/>
    <n v="0"/>
    <n v="1"/>
    <x v="2"/>
    <x v="0"/>
    <x v="1"/>
  </r>
  <r>
    <n v="1618"/>
    <n v="11666.666670000001"/>
    <x v="1"/>
    <x v="1"/>
    <x v="0"/>
    <x v="0"/>
    <n v="1"/>
    <n v="0"/>
    <x v="2"/>
    <x v="1"/>
    <x v="0"/>
  </r>
  <r>
    <n v="1622"/>
    <n v="30000"/>
    <x v="1"/>
    <x v="1"/>
    <x v="0"/>
    <x v="0"/>
    <n v="0"/>
    <n v="1"/>
    <x v="2"/>
    <x v="0"/>
    <x v="0"/>
  </r>
  <r>
    <n v="1624"/>
    <n v="10000"/>
    <x v="1"/>
    <x v="1"/>
    <x v="1"/>
    <x v="0"/>
    <n v="1"/>
    <n v="0"/>
    <x v="2"/>
    <x v="0"/>
    <x v="0"/>
  </r>
  <r>
    <n v="1626"/>
    <n v="9685.2300240000004"/>
    <x v="1"/>
    <x v="1"/>
    <x v="0"/>
    <x v="0"/>
    <n v="1"/>
    <n v="0"/>
    <x v="2"/>
    <x v="1"/>
    <x v="0"/>
  </r>
  <r>
    <n v="1629"/>
    <n v="10000"/>
    <x v="1"/>
    <x v="1"/>
    <x v="1"/>
    <x v="1"/>
    <n v="0"/>
    <n v="1"/>
    <x v="2"/>
    <x v="1"/>
    <x v="0"/>
  </r>
  <r>
    <n v="1630"/>
    <n v="45801.526720000002"/>
    <x v="1"/>
    <x v="1"/>
    <x v="0"/>
    <x v="1"/>
    <n v="0"/>
    <n v="1"/>
    <x v="2"/>
    <x v="1"/>
    <x v="0"/>
  </r>
  <r>
    <n v="1632"/>
    <n v="16666.666669999999"/>
    <x v="1"/>
    <x v="1"/>
    <x v="1"/>
    <x v="0"/>
    <n v="0"/>
    <n v="1"/>
    <x v="2"/>
    <x v="1"/>
    <x v="0"/>
  </r>
  <r>
    <n v="1633"/>
    <n v="9090.9090909999995"/>
    <x v="1"/>
    <x v="1"/>
    <x v="1"/>
    <x v="0"/>
    <n v="0"/>
    <n v="1"/>
    <x v="2"/>
    <x v="1"/>
    <x v="0"/>
  </r>
  <r>
    <n v="1636"/>
    <n v="30000"/>
    <x v="1"/>
    <x v="1"/>
    <x v="1"/>
    <x v="1"/>
    <n v="0"/>
    <n v="1"/>
    <x v="2"/>
    <x v="1"/>
    <x v="0"/>
  </r>
  <r>
    <n v="1641"/>
    <n v="16279.06977"/>
    <x v="1"/>
    <x v="1"/>
    <x v="0"/>
    <x v="0"/>
    <n v="0"/>
    <n v="1"/>
    <x v="2"/>
    <x v="0"/>
    <x v="1"/>
  </r>
  <r>
    <n v="1642"/>
    <n v="24000"/>
    <x v="1"/>
    <x v="1"/>
    <x v="1"/>
    <x v="0"/>
    <n v="0"/>
    <n v="1"/>
    <x v="2"/>
    <x v="1"/>
    <x v="1"/>
  </r>
  <r>
    <n v="1643"/>
    <n v="14285.71429"/>
    <x v="1"/>
    <x v="1"/>
    <x v="1"/>
    <x v="1"/>
    <n v="0"/>
    <n v="1"/>
    <x v="2"/>
    <x v="1"/>
    <x v="0"/>
  </r>
  <r>
    <n v="1644"/>
    <n v="10000"/>
    <x v="1"/>
    <x v="1"/>
    <x v="0"/>
    <x v="0"/>
    <n v="0"/>
    <n v="1"/>
    <x v="2"/>
    <x v="1"/>
    <x v="0"/>
  </r>
  <r>
    <n v="1645"/>
    <n v="13333.333329999999"/>
    <x v="1"/>
    <x v="1"/>
    <x v="1"/>
    <x v="0"/>
    <n v="0"/>
    <n v="1"/>
    <x v="2"/>
    <x v="0"/>
    <x v="0"/>
  </r>
  <r>
    <n v="1646"/>
    <n v="10000"/>
    <x v="1"/>
    <x v="1"/>
    <x v="1"/>
    <x v="0"/>
    <n v="0"/>
    <n v="1"/>
    <x v="2"/>
    <x v="1"/>
    <x v="0"/>
  </r>
  <r>
    <n v="1647"/>
    <n v="13333.333329999999"/>
    <x v="1"/>
    <x v="1"/>
    <x v="0"/>
    <x v="1"/>
    <n v="0"/>
    <n v="1"/>
    <x v="2"/>
    <x v="0"/>
    <x v="0"/>
  </r>
  <r>
    <n v="1649"/>
    <n v="8000"/>
    <x v="1"/>
    <x v="1"/>
    <x v="0"/>
    <x v="0"/>
    <n v="0"/>
    <n v="1"/>
    <x v="2"/>
    <x v="1"/>
    <x v="0"/>
  </r>
  <r>
    <n v="1650"/>
    <n v="3333.333333"/>
    <x v="1"/>
    <x v="1"/>
    <x v="1"/>
    <x v="0"/>
    <n v="0"/>
    <n v="1"/>
    <x v="2"/>
    <x v="1"/>
    <x v="0"/>
  </r>
  <r>
    <n v="1654"/>
    <n v="10000"/>
    <x v="1"/>
    <x v="1"/>
    <x v="0"/>
    <x v="0"/>
    <n v="0"/>
    <n v="1"/>
    <x v="2"/>
    <x v="1"/>
    <x v="0"/>
  </r>
  <r>
    <n v="1655"/>
    <n v="13043.47826"/>
    <x v="1"/>
    <x v="1"/>
    <x v="0"/>
    <x v="0"/>
    <n v="0"/>
    <n v="1"/>
    <x v="2"/>
    <x v="1"/>
    <x v="0"/>
  </r>
  <r>
    <n v="1656"/>
    <n v="6666.6666670000004"/>
    <x v="1"/>
    <x v="1"/>
    <x v="1"/>
    <x v="0"/>
    <n v="0"/>
    <n v="1"/>
    <x v="2"/>
    <x v="0"/>
    <x v="0"/>
  </r>
  <r>
    <n v="1658"/>
    <n v="10000"/>
    <x v="1"/>
    <x v="1"/>
    <x v="0"/>
    <x v="0"/>
    <n v="0"/>
    <n v="1"/>
    <x v="2"/>
    <x v="1"/>
    <x v="0"/>
  </r>
  <r>
    <n v="1659"/>
    <n v="16666.666669999999"/>
    <x v="1"/>
    <x v="1"/>
    <x v="0"/>
    <x v="0"/>
    <n v="0"/>
    <n v="1"/>
    <x v="2"/>
    <x v="1"/>
    <x v="0"/>
  </r>
  <r>
    <n v="1660"/>
    <n v="4545.4545449999996"/>
    <x v="1"/>
    <x v="1"/>
    <x v="0"/>
    <x v="0"/>
    <n v="0"/>
    <n v="1"/>
    <x v="2"/>
    <x v="1"/>
    <x v="0"/>
  </r>
  <r>
    <n v="1664"/>
    <n v="10000"/>
    <x v="1"/>
    <x v="1"/>
    <x v="1"/>
    <x v="0"/>
    <n v="0"/>
    <n v="1"/>
    <x v="2"/>
    <x v="0"/>
    <x v="0"/>
  </r>
  <r>
    <n v="1666"/>
    <n v="5000"/>
    <x v="1"/>
    <x v="1"/>
    <x v="0"/>
    <x v="0"/>
    <n v="0"/>
    <n v="1"/>
    <x v="2"/>
    <x v="1"/>
    <x v="0"/>
  </r>
  <r>
    <n v="1669"/>
    <n v="10000"/>
    <x v="1"/>
    <x v="1"/>
    <x v="1"/>
    <x v="0"/>
    <n v="0"/>
    <n v="1"/>
    <x v="2"/>
    <x v="0"/>
    <x v="0"/>
  </r>
  <r>
    <n v="1671"/>
    <n v="7547.1698109999998"/>
    <x v="1"/>
    <x v="1"/>
    <x v="1"/>
    <x v="0"/>
    <n v="0"/>
    <n v="1"/>
    <x v="2"/>
    <x v="1"/>
    <x v="0"/>
  </r>
  <r>
    <n v="1672"/>
    <n v="5000"/>
    <x v="1"/>
    <x v="1"/>
    <x v="0"/>
    <x v="0"/>
    <n v="0"/>
    <n v="1"/>
    <x v="2"/>
    <x v="0"/>
    <x v="0"/>
  </r>
  <r>
    <n v="1675"/>
    <n v="28000"/>
    <x v="1"/>
    <x v="1"/>
    <x v="1"/>
    <x v="0"/>
    <n v="0"/>
    <n v="1"/>
    <x v="2"/>
    <x v="0"/>
    <x v="0"/>
  </r>
  <r>
    <n v="1676"/>
    <n v="4000"/>
    <x v="0"/>
    <x v="0"/>
    <x v="0"/>
    <x v="0"/>
    <n v="1"/>
    <n v="0"/>
    <x v="2"/>
    <x v="1"/>
    <x v="0"/>
  </r>
  <r>
    <n v="1677"/>
    <n v="2500"/>
    <x v="1"/>
    <x v="1"/>
    <x v="0"/>
    <x v="0"/>
    <n v="0"/>
    <n v="1"/>
    <x v="2"/>
    <x v="1"/>
    <x v="1"/>
  </r>
  <r>
    <n v="1682"/>
    <n v="33333.333330000001"/>
    <x v="1"/>
    <x v="1"/>
    <x v="0"/>
    <x v="0"/>
    <n v="0"/>
    <n v="1"/>
    <x v="2"/>
    <x v="1"/>
    <x v="0"/>
  </r>
  <r>
    <n v="1683"/>
    <n v="25000"/>
    <x v="0"/>
    <x v="0"/>
    <x v="0"/>
    <x v="0"/>
    <n v="0"/>
    <n v="1"/>
    <x v="2"/>
    <x v="1"/>
    <x v="0"/>
  </r>
  <r>
    <n v="1684"/>
    <n v="5000"/>
    <x v="0"/>
    <x v="0"/>
    <x v="0"/>
    <x v="0"/>
    <n v="0"/>
    <n v="1"/>
    <x v="2"/>
    <x v="1"/>
    <x v="1"/>
  </r>
  <r>
    <n v="1687"/>
    <n v="16666.666669999999"/>
    <x v="1"/>
    <x v="1"/>
    <x v="0"/>
    <x v="0"/>
    <n v="0"/>
    <n v="1"/>
    <x v="2"/>
    <x v="1"/>
    <x v="1"/>
  </r>
  <r>
    <n v="1688"/>
    <n v="-6666.6666670000004"/>
    <x v="1"/>
    <x v="1"/>
    <x v="0"/>
    <x v="0"/>
    <n v="0"/>
    <n v="1"/>
    <x v="2"/>
    <x v="1"/>
    <x v="1"/>
  </r>
  <r>
    <n v="1689"/>
    <n v="4166.6666670000004"/>
    <x v="1"/>
    <x v="1"/>
    <x v="0"/>
    <x v="0"/>
    <n v="0"/>
    <n v="1"/>
    <x v="2"/>
    <x v="1"/>
    <x v="0"/>
  </r>
  <r>
    <n v="1693"/>
    <n v="12500"/>
    <x v="1"/>
    <x v="1"/>
    <x v="0"/>
    <x v="1"/>
    <n v="0"/>
    <n v="1"/>
    <x v="2"/>
    <x v="1"/>
    <x v="0"/>
  </r>
  <r>
    <n v="1695"/>
    <n v="36885.245900000002"/>
    <x v="1"/>
    <x v="1"/>
    <x v="0"/>
    <x v="0"/>
    <n v="0"/>
    <n v="1"/>
    <x v="2"/>
    <x v="1"/>
    <x v="0"/>
  </r>
  <r>
    <n v="1696"/>
    <n v="30000"/>
    <x v="1"/>
    <x v="1"/>
    <x v="1"/>
    <x v="0"/>
    <n v="0"/>
    <n v="1"/>
    <x v="2"/>
    <x v="1"/>
    <x v="1"/>
  </r>
  <r>
    <n v="1697"/>
    <n v="31818.181820000002"/>
    <x v="1"/>
    <x v="1"/>
    <x v="0"/>
    <x v="0"/>
    <n v="0"/>
    <n v="1"/>
    <x v="2"/>
    <x v="1"/>
    <x v="1"/>
  </r>
  <r>
    <n v="1698"/>
    <n v="5000"/>
    <x v="1"/>
    <x v="1"/>
    <x v="1"/>
    <x v="0"/>
    <n v="0"/>
    <n v="1"/>
    <x v="2"/>
    <x v="1"/>
    <x v="0"/>
  </r>
  <r>
    <n v="1699"/>
    <n v="22727.272730000001"/>
    <x v="1"/>
    <x v="1"/>
    <x v="1"/>
    <x v="1"/>
    <n v="0"/>
    <n v="1"/>
    <x v="2"/>
    <x v="1"/>
    <x v="1"/>
  </r>
  <r>
    <n v="1700"/>
    <n v="10000"/>
    <x v="1"/>
    <x v="1"/>
    <x v="1"/>
    <x v="0"/>
    <n v="0"/>
    <n v="1"/>
    <x v="2"/>
    <x v="0"/>
    <x v="1"/>
  </r>
  <r>
    <n v="1702"/>
    <n v="5000"/>
    <x v="1"/>
    <x v="1"/>
    <x v="0"/>
    <x v="0"/>
    <n v="0"/>
    <n v="1"/>
    <x v="2"/>
    <x v="1"/>
    <x v="0"/>
  </r>
  <r>
    <n v="1703"/>
    <n v="6666.6666670000004"/>
    <x v="1"/>
    <x v="1"/>
    <x v="0"/>
    <x v="0"/>
    <n v="0"/>
    <n v="1"/>
    <x v="2"/>
    <x v="1"/>
    <x v="0"/>
  </r>
  <r>
    <n v="1704"/>
    <n v="83333.333329999994"/>
    <x v="1"/>
    <x v="1"/>
    <x v="1"/>
    <x v="0"/>
    <n v="0"/>
    <n v="1"/>
    <x v="2"/>
    <x v="1"/>
    <x v="0"/>
  </r>
  <r>
    <n v="1705"/>
    <n v="113636.3636"/>
    <x v="1"/>
    <x v="1"/>
    <x v="0"/>
    <x v="0"/>
    <n v="0"/>
    <n v="1"/>
    <x v="2"/>
    <x v="1"/>
    <x v="0"/>
  </r>
  <r>
    <n v="1707"/>
    <n v="-12500"/>
    <x v="1"/>
    <x v="1"/>
    <x v="0"/>
    <x v="1"/>
    <n v="0"/>
    <n v="1"/>
    <x v="2"/>
    <x v="1"/>
    <x v="0"/>
  </r>
  <r>
    <n v="1710"/>
    <n v="125000"/>
    <x v="1"/>
    <x v="1"/>
    <x v="0"/>
    <x v="0"/>
    <n v="0"/>
    <n v="1"/>
    <x v="2"/>
    <x v="0"/>
    <x v="0"/>
  </r>
  <r>
    <n v="1711"/>
    <n v="5607.4766360000003"/>
    <x v="1"/>
    <x v="1"/>
    <x v="1"/>
    <x v="0"/>
    <n v="1"/>
    <n v="0"/>
    <x v="2"/>
    <x v="1"/>
    <x v="0"/>
  </r>
  <r>
    <n v="1712"/>
    <n v="-2000"/>
    <x v="1"/>
    <x v="1"/>
    <x v="0"/>
    <x v="0"/>
    <n v="0"/>
    <n v="1"/>
    <x v="2"/>
    <x v="1"/>
    <x v="0"/>
  </r>
  <r>
    <n v="1713"/>
    <n v="7500"/>
    <x v="1"/>
    <x v="1"/>
    <x v="1"/>
    <x v="0"/>
    <n v="0"/>
    <n v="1"/>
    <x v="2"/>
    <x v="0"/>
    <x v="1"/>
  </r>
  <r>
    <n v="1714"/>
    <n v="4761.9047620000001"/>
    <x v="1"/>
    <x v="1"/>
    <x v="0"/>
    <x v="0"/>
    <n v="0"/>
    <n v="1"/>
    <x v="2"/>
    <x v="1"/>
    <x v="0"/>
  </r>
  <r>
    <n v="1715"/>
    <n v="2500"/>
    <x v="1"/>
    <x v="1"/>
    <x v="1"/>
    <x v="1"/>
    <n v="0"/>
    <n v="1"/>
    <x v="2"/>
    <x v="1"/>
    <x v="1"/>
  </r>
  <r>
    <n v="1716"/>
    <n v="12500"/>
    <x v="1"/>
    <x v="1"/>
    <x v="0"/>
    <x v="0"/>
    <n v="0"/>
    <n v="1"/>
    <x v="2"/>
    <x v="1"/>
    <x v="0"/>
  </r>
  <r>
    <n v="1717"/>
    <n v="6000"/>
    <x v="1"/>
    <x v="1"/>
    <x v="0"/>
    <x v="0"/>
    <n v="0"/>
    <n v="1"/>
    <x v="2"/>
    <x v="0"/>
    <x v="0"/>
  </r>
  <r>
    <n v="1718"/>
    <n v="20000"/>
    <x v="1"/>
    <x v="1"/>
    <x v="1"/>
    <x v="0"/>
    <n v="0"/>
    <n v="1"/>
    <x v="2"/>
    <x v="0"/>
    <x v="0"/>
  </r>
  <r>
    <n v="1719"/>
    <n v="6000"/>
    <x v="1"/>
    <x v="1"/>
    <x v="0"/>
    <x v="0"/>
    <n v="0"/>
    <n v="1"/>
    <x v="2"/>
    <x v="1"/>
    <x v="1"/>
  </r>
  <r>
    <n v="1721"/>
    <n v="26315.78947"/>
    <x v="1"/>
    <x v="1"/>
    <x v="1"/>
    <x v="1"/>
    <n v="0"/>
    <n v="1"/>
    <x v="2"/>
    <x v="1"/>
    <x v="1"/>
  </r>
  <r>
    <n v="1724"/>
    <n v="12605.042020000001"/>
    <x v="1"/>
    <x v="1"/>
    <x v="1"/>
    <x v="0"/>
    <n v="0"/>
    <n v="1"/>
    <x v="2"/>
    <x v="1"/>
    <x v="0"/>
  </r>
  <r>
    <n v="1725"/>
    <n v="16666.666669999999"/>
    <x v="1"/>
    <x v="1"/>
    <x v="0"/>
    <x v="0"/>
    <n v="0"/>
    <n v="1"/>
    <x v="2"/>
    <x v="1"/>
    <x v="0"/>
  </r>
  <r>
    <n v="1727"/>
    <n v="8695.6521740000007"/>
    <x v="1"/>
    <x v="1"/>
    <x v="0"/>
    <x v="0"/>
    <n v="0"/>
    <n v="1"/>
    <x v="2"/>
    <x v="1"/>
    <x v="0"/>
  </r>
  <r>
    <n v="1728"/>
    <n v="28125"/>
    <x v="1"/>
    <x v="1"/>
    <x v="0"/>
    <x v="1"/>
    <n v="1"/>
    <n v="0"/>
    <x v="2"/>
    <x v="1"/>
    <x v="0"/>
  </r>
  <r>
    <n v="1731"/>
    <n v="100000"/>
    <x v="1"/>
    <x v="1"/>
    <x v="1"/>
    <x v="0"/>
    <n v="1"/>
    <n v="0"/>
    <x v="2"/>
    <x v="0"/>
    <x v="0"/>
  </r>
  <r>
    <n v="1733"/>
    <n v="10000"/>
    <x v="0"/>
    <x v="0"/>
    <x v="0"/>
    <x v="0"/>
    <n v="1"/>
    <n v="0"/>
    <x v="2"/>
    <x v="0"/>
    <x v="0"/>
  </r>
  <r>
    <n v="1734"/>
    <n v="16666.666669999999"/>
    <x v="0"/>
    <x v="0"/>
    <x v="1"/>
    <x v="1"/>
    <n v="1"/>
    <n v="0"/>
    <x v="2"/>
    <x v="1"/>
    <x v="0"/>
  </r>
  <r>
    <n v="1735"/>
    <n v="-833.33333330000005"/>
    <x v="1"/>
    <x v="1"/>
    <x v="0"/>
    <x v="1"/>
    <n v="0"/>
    <n v="1"/>
    <x v="2"/>
    <x v="1"/>
    <x v="0"/>
  </r>
  <r>
    <n v="1736"/>
    <n v="3846.1538460000002"/>
    <x v="1"/>
    <x v="1"/>
    <x v="1"/>
    <x v="1"/>
    <n v="0"/>
    <n v="1"/>
    <x v="2"/>
    <x v="1"/>
    <x v="0"/>
  </r>
  <r>
    <n v="1739"/>
    <n v="5000"/>
    <x v="1"/>
    <x v="1"/>
    <x v="0"/>
    <x v="0"/>
    <n v="0"/>
    <n v="1"/>
    <x v="2"/>
    <x v="1"/>
    <x v="0"/>
  </r>
  <r>
    <n v="1740"/>
    <n v="2247.1910109999999"/>
    <x v="1"/>
    <x v="1"/>
    <x v="1"/>
    <x v="1"/>
    <n v="0"/>
    <n v="1"/>
    <x v="2"/>
    <x v="1"/>
    <x v="0"/>
  </r>
  <r>
    <n v="1741"/>
    <n v="5000"/>
    <x v="1"/>
    <x v="1"/>
    <x v="0"/>
    <x v="0"/>
    <n v="0"/>
    <n v="1"/>
    <x v="2"/>
    <x v="1"/>
    <x v="1"/>
  </r>
  <r>
    <n v="1743"/>
    <n v="16666.666669999999"/>
    <x v="1"/>
    <x v="1"/>
    <x v="0"/>
    <x v="0"/>
    <n v="1"/>
    <n v="0"/>
    <x v="2"/>
    <x v="1"/>
    <x v="0"/>
  </r>
  <r>
    <n v="1746"/>
    <n v="9302.3255809999991"/>
    <x v="1"/>
    <x v="1"/>
    <x v="1"/>
    <x v="0"/>
    <n v="1"/>
    <n v="0"/>
    <x v="2"/>
    <x v="1"/>
    <x v="0"/>
  </r>
  <r>
    <n v="1754"/>
    <n v="20454.545450000001"/>
    <x v="0"/>
    <x v="0"/>
    <x v="0"/>
    <x v="0"/>
    <n v="0"/>
    <n v="1"/>
    <x v="2"/>
    <x v="1"/>
    <x v="0"/>
  </r>
  <r>
    <n v="1813"/>
    <n v="10000"/>
    <x v="1"/>
    <x v="1"/>
    <x v="0"/>
    <x v="0"/>
    <n v="0"/>
    <n v="1"/>
    <x v="2"/>
    <x v="1"/>
    <x v="1"/>
  </r>
  <r>
    <n v="1814"/>
    <n v="15625"/>
    <x v="1"/>
    <x v="1"/>
    <x v="0"/>
    <x v="0"/>
    <n v="0"/>
    <n v="1"/>
    <x v="2"/>
    <x v="1"/>
    <x v="1"/>
  </r>
  <r>
    <n v="1816"/>
    <n v="2500"/>
    <x v="1"/>
    <x v="1"/>
    <x v="0"/>
    <x v="0"/>
    <n v="0"/>
    <n v="1"/>
    <x v="2"/>
    <x v="1"/>
    <x v="0"/>
  </r>
  <r>
    <n v="1818"/>
    <n v="2500"/>
    <x v="0"/>
    <x v="0"/>
    <x v="0"/>
    <x v="0"/>
    <n v="0"/>
    <n v="1"/>
    <x v="2"/>
    <x v="1"/>
    <x v="0"/>
  </r>
  <r>
    <n v="1821"/>
    <n v="-20000"/>
    <x v="0"/>
    <x v="0"/>
    <x v="0"/>
    <x v="0"/>
    <n v="1"/>
    <n v="0"/>
    <x v="2"/>
    <x v="0"/>
    <x v="1"/>
  </r>
  <r>
    <n v="1823"/>
    <n v="5714.2857139999996"/>
    <x v="1"/>
    <x v="1"/>
    <x v="0"/>
    <x v="0"/>
    <n v="0"/>
    <n v="1"/>
    <x v="2"/>
    <x v="1"/>
    <x v="1"/>
  </r>
  <r>
    <n v="1828"/>
    <n v="-6349.206349"/>
    <x v="1"/>
    <x v="1"/>
    <x v="0"/>
    <x v="0"/>
    <n v="1"/>
    <n v="0"/>
    <x v="2"/>
    <x v="1"/>
    <x v="0"/>
  </r>
  <r>
    <n v="1830"/>
    <n v="30000"/>
    <x v="1"/>
    <x v="1"/>
    <x v="0"/>
    <x v="0"/>
    <n v="1"/>
    <n v="0"/>
    <x v="2"/>
    <x v="1"/>
    <x v="0"/>
  </r>
  <r>
    <n v="1832"/>
    <n v="-23333.333330000001"/>
    <x v="0"/>
    <x v="0"/>
    <x v="0"/>
    <x v="0"/>
    <n v="1"/>
    <n v="0"/>
    <x v="2"/>
    <x v="1"/>
    <x v="1"/>
  </r>
  <r>
    <n v="1833"/>
    <n v="4739.3364929999998"/>
    <x v="1"/>
    <x v="1"/>
    <x v="0"/>
    <x v="0"/>
    <n v="0"/>
    <n v="1"/>
    <x v="2"/>
    <x v="1"/>
    <x v="0"/>
  </r>
  <r>
    <n v="1836"/>
    <n v="9302.3255809999991"/>
    <x v="1"/>
    <x v="1"/>
    <x v="0"/>
    <x v="0"/>
    <n v="1"/>
    <n v="0"/>
    <x v="2"/>
    <x v="1"/>
    <x v="0"/>
  </r>
  <r>
    <n v="1839"/>
    <n v="8333.3333330000005"/>
    <x v="1"/>
    <x v="1"/>
    <x v="1"/>
    <x v="1"/>
    <n v="0"/>
    <n v="1"/>
    <x v="2"/>
    <x v="1"/>
    <x v="1"/>
  </r>
  <r>
    <n v="1841"/>
    <n v="12000"/>
    <x v="1"/>
    <x v="1"/>
    <x v="1"/>
    <x v="0"/>
    <n v="0"/>
    <n v="1"/>
    <x v="2"/>
    <x v="1"/>
    <x v="0"/>
  </r>
  <r>
    <n v="1843"/>
    <n v="6666.6666670000004"/>
    <x v="1"/>
    <x v="1"/>
    <x v="0"/>
    <x v="0"/>
    <n v="0"/>
    <n v="1"/>
    <x v="2"/>
    <x v="1"/>
    <x v="0"/>
  </r>
  <r>
    <n v="1847"/>
    <n v="2857.1428569999998"/>
    <x v="1"/>
    <x v="1"/>
    <x v="0"/>
    <x v="0"/>
    <n v="0"/>
    <n v="1"/>
    <x v="2"/>
    <x v="1"/>
    <x v="1"/>
  </r>
  <r>
    <n v="1848"/>
    <n v="5000"/>
    <x v="1"/>
    <x v="1"/>
    <x v="0"/>
    <x v="0"/>
    <n v="0"/>
    <n v="1"/>
    <x v="2"/>
    <x v="0"/>
    <x v="1"/>
  </r>
  <r>
    <n v="1851"/>
    <n v="3333.333333"/>
    <x v="1"/>
    <x v="1"/>
    <x v="0"/>
    <x v="0"/>
    <n v="1"/>
    <n v="0"/>
    <x v="2"/>
    <x v="1"/>
    <x v="1"/>
  </r>
  <r>
    <n v="1856"/>
    <n v="5000"/>
    <x v="0"/>
    <x v="0"/>
    <x v="0"/>
    <x v="0"/>
    <n v="0"/>
    <n v="1"/>
    <x v="2"/>
    <x v="1"/>
    <x v="0"/>
  </r>
  <r>
    <n v="1857"/>
    <n v="4761.9047620000001"/>
    <x v="1"/>
    <x v="1"/>
    <x v="0"/>
    <x v="0"/>
    <n v="0"/>
    <n v="1"/>
    <x v="2"/>
    <x v="1"/>
    <x v="1"/>
  </r>
  <r>
    <n v="1858"/>
    <n v="3750"/>
    <x v="1"/>
    <x v="1"/>
    <x v="0"/>
    <x v="0"/>
    <n v="0"/>
    <n v="1"/>
    <x v="2"/>
    <x v="1"/>
    <x v="1"/>
  </r>
  <r>
    <n v="1860"/>
    <n v="25694.444439999999"/>
    <x v="1"/>
    <x v="1"/>
    <x v="0"/>
    <x v="0"/>
    <n v="0"/>
    <n v="1"/>
    <x v="2"/>
    <x v="0"/>
    <x v="1"/>
  </r>
  <r>
    <n v="1861"/>
    <n v="6666.6666670000004"/>
    <x v="1"/>
    <x v="1"/>
    <x v="1"/>
    <x v="0"/>
    <n v="0"/>
    <n v="1"/>
    <x v="2"/>
    <x v="1"/>
    <x v="1"/>
  </r>
  <r>
    <n v="1863"/>
    <n v="5714.2857139999996"/>
    <x v="1"/>
    <x v="1"/>
    <x v="0"/>
    <x v="1"/>
    <n v="1"/>
    <n v="0"/>
    <x v="2"/>
    <x v="1"/>
    <x v="1"/>
  </r>
  <r>
    <n v="1864"/>
    <n v="1666.666667"/>
    <x v="0"/>
    <x v="0"/>
    <x v="0"/>
    <x v="0"/>
    <n v="0"/>
    <n v="1"/>
    <x v="2"/>
    <x v="1"/>
    <x v="1"/>
  </r>
  <r>
    <n v="1865"/>
    <n v="25000"/>
    <x v="1"/>
    <x v="1"/>
    <x v="1"/>
    <x v="1"/>
    <n v="0"/>
    <n v="1"/>
    <x v="2"/>
    <x v="1"/>
    <x v="1"/>
  </r>
  <r>
    <n v="1867"/>
    <n v="4000"/>
    <x v="1"/>
    <x v="1"/>
    <x v="0"/>
    <x v="0"/>
    <n v="0"/>
    <n v="1"/>
    <x v="2"/>
    <x v="1"/>
    <x v="0"/>
  </r>
  <r>
    <n v="1868"/>
    <n v="3787.878788"/>
    <x v="1"/>
    <x v="1"/>
    <x v="0"/>
    <x v="0"/>
    <n v="0"/>
    <n v="1"/>
    <x v="2"/>
    <x v="1"/>
    <x v="1"/>
  </r>
  <r>
    <n v="1870"/>
    <n v="25000"/>
    <x v="1"/>
    <x v="1"/>
    <x v="1"/>
    <x v="1"/>
    <n v="0"/>
    <n v="1"/>
    <x v="2"/>
    <x v="1"/>
    <x v="1"/>
  </r>
  <r>
    <n v="1875"/>
    <n v="7500"/>
    <x v="1"/>
    <x v="1"/>
    <x v="0"/>
    <x v="1"/>
    <n v="0"/>
    <n v="1"/>
    <x v="2"/>
    <x v="1"/>
    <x v="0"/>
  </r>
  <r>
    <n v="1878"/>
    <n v="4545.4545449999996"/>
    <x v="0"/>
    <x v="0"/>
    <x v="0"/>
    <x v="1"/>
    <n v="0"/>
    <n v="1"/>
    <x v="2"/>
    <x v="1"/>
    <x v="0"/>
  </r>
  <r>
    <n v="1879"/>
    <n v="2307.6923080000001"/>
    <x v="1"/>
    <x v="1"/>
    <x v="0"/>
    <x v="0"/>
    <n v="0"/>
    <n v="1"/>
    <x v="2"/>
    <x v="1"/>
    <x v="1"/>
  </r>
  <r>
    <n v="1880"/>
    <n v="3387.0967740000001"/>
    <x v="1"/>
    <x v="1"/>
    <x v="0"/>
    <x v="0"/>
    <n v="0"/>
    <n v="1"/>
    <x v="2"/>
    <x v="1"/>
    <x v="0"/>
  </r>
  <r>
    <n v="1881"/>
    <n v="10000"/>
    <x v="1"/>
    <x v="1"/>
    <x v="0"/>
    <x v="1"/>
    <n v="0"/>
    <n v="1"/>
    <x v="2"/>
    <x v="1"/>
    <x v="1"/>
  </r>
  <r>
    <n v="1882"/>
    <n v="33333.333330000001"/>
    <x v="1"/>
    <x v="1"/>
    <x v="0"/>
    <x v="1"/>
    <n v="0"/>
    <n v="1"/>
    <x v="2"/>
    <x v="0"/>
    <x v="1"/>
  </r>
  <r>
    <n v="1886"/>
    <n v="6250"/>
    <x v="0"/>
    <x v="0"/>
    <x v="0"/>
    <x v="0"/>
    <n v="0"/>
    <n v="1"/>
    <x v="2"/>
    <x v="1"/>
    <x v="0"/>
  </r>
  <r>
    <n v="1887"/>
    <n v="40000"/>
    <x v="1"/>
    <x v="1"/>
    <x v="0"/>
    <x v="0"/>
    <n v="0"/>
    <n v="1"/>
    <x v="2"/>
    <x v="0"/>
    <x v="0"/>
  </r>
  <r>
    <n v="1888"/>
    <n v="6250"/>
    <x v="1"/>
    <x v="1"/>
    <x v="0"/>
    <x v="0"/>
    <n v="0"/>
    <n v="1"/>
    <x v="2"/>
    <x v="1"/>
    <x v="1"/>
  </r>
  <r>
    <n v="1891"/>
    <n v="5000"/>
    <x v="1"/>
    <x v="1"/>
    <x v="0"/>
    <x v="0"/>
    <n v="0"/>
    <n v="1"/>
    <x v="2"/>
    <x v="1"/>
    <x v="1"/>
  </r>
  <r>
    <n v="1893"/>
    <n v="4842.6150120000002"/>
    <x v="1"/>
    <x v="1"/>
    <x v="0"/>
    <x v="1"/>
    <n v="0"/>
    <n v="1"/>
    <x v="2"/>
    <x v="1"/>
    <x v="0"/>
  </r>
  <r>
    <n v="1897"/>
    <n v="12500"/>
    <x v="1"/>
    <x v="1"/>
    <x v="0"/>
    <x v="0"/>
    <n v="1"/>
    <n v="0"/>
    <x v="0"/>
    <x v="0"/>
    <x v="1"/>
  </r>
  <r>
    <n v="1905"/>
    <n v="18571.42857"/>
    <x v="1"/>
    <x v="1"/>
    <x v="1"/>
    <x v="0"/>
    <n v="0"/>
    <n v="1"/>
    <x v="0"/>
    <x v="0"/>
    <x v="1"/>
  </r>
  <r>
    <n v="1906"/>
    <n v="6038.6473429999996"/>
    <x v="1"/>
    <x v="1"/>
    <x v="1"/>
    <x v="0"/>
    <n v="0"/>
    <n v="1"/>
    <x v="0"/>
    <x v="0"/>
    <x v="1"/>
  </r>
  <r>
    <n v="1907"/>
    <n v="12500"/>
    <x v="1"/>
    <x v="1"/>
    <x v="0"/>
    <x v="0"/>
    <n v="1"/>
    <n v="0"/>
    <x v="0"/>
    <x v="0"/>
    <x v="1"/>
  </r>
  <r>
    <n v="1917"/>
    <n v="22222.22222"/>
    <x v="1"/>
    <x v="1"/>
    <x v="1"/>
    <x v="1"/>
    <n v="0"/>
    <n v="1"/>
    <x v="0"/>
    <x v="0"/>
    <x v="1"/>
  </r>
  <r>
    <n v="1918"/>
    <n v="25000"/>
    <x v="0"/>
    <x v="0"/>
    <x v="1"/>
    <x v="1"/>
    <n v="0"/>
    <n v="1"/>
    <x v="0"/>
    <x v="0"/>
    <x v="1"/>
  </r>
  <r>
    <n v="1926"/>
    <n v="10000"/>
    <x v="1"/>
    <x v="1"/>
    <x v="0"/>
    <x v="0"/>
    <n v="0"/>
    <n v="1"/>
    <x v="0"/>
    <x v="0"/>
    <x v="1"/>
  </r>
  <r>
    <n v="1929"/>
    <n v="12500"/>
    <x v="1"/>
    <x v="1"/>
    <x v="0"/>
    <x v="0"/>
    <n v="1"/>
    <n v="0"/>
    <x v="0"/>
    <x v="0"/>
    <x v="1"/>
  </r>
  <r>
    <n v="1938"/>
    <n v="150000"/>
    <x v="1"/>
    <x v="1"/>
    <x v="0"/>
    <x v="0"/>
    <n v="0"/>
    <n v="1"/>
    <x v="1"/>
    <x v="0"/>
    <x v="1"/>
  </r>
  <r>
    <n v="1942"/>
    <n v="90909.090909999999"/>
    <x v="0"/>
    <x v="0"/>
    <x v="0"/>
    <x v="0"/>
    <n v="0"/>
    <n v="1"/>
    <x v="1"/>
    <x v="0"/>
    <x v="1"/>
  </r>
  <r>
    <n v="1953"/>
    <n v="150000"/>
    <x v="1"/>
    <x v="1"/>
    <x v="0"/>
    <x v="0"/>
    <n v="0"/>
    <n v="1"/>
    <x v="1"/>
    <x v="1"/>
    <x v="0"/>
  </r>
  <r>
    <n v="1967"/>
    <n v="75000"/>
    <x v="1"/>
    <x v="1"/>
    <x v="0"/>
    <x v="0"/>
    <n v="0"/>
    <n v="1"/>
    <x v="1"/>
    <x v="0"/>
    <x v="0"/>
  </r>
  <r>
    <n v="1968"/>
    <n v="155000"/>
    <x v="1"/>
    <x v="1"/>
    <x v="0"/>
    <x v="0"/>
    <n v="0"/>
    <n v="1"/>
    <x v="1"/>
    <x v="0"/>
    <x v="0"/>
  </r>
  <r>
    <n v="1971"/>
    <n v="87719.298250000007"/>
    <x v="1"/>
    <x v="1"/>
    <x v="0"/>
    <x v="0"/>
    <n v="0"/>
    <n v="1"/>
    <x v="1"/>
    <x v="0"/>
    <x v="0"/>
  </r>
  <r>
    <n v="1973"/>
    <n v="50000"/>
    <x v="1"/>
    <x v="1"/>
    <x v="0"/>
    <x v="0"/>
    <n v="0"/>
    <n v="1"/>
    <x v="1"/>
    <x v="0"/>
    <x v="0"/>
  </r>
  <r>
    <n v="1974"/>
    <n v="118181.81819999999"/>
    <x v="1"/>
    <x v="1"/>
    <x v="0"/>
    <x v="0"/>
    <n v="0"/>
    <n v="1"/>
    <x v="1"/>
    <x v="0"/>
    <x v="0"/>
  </r>
  <r>
    <n v="1975"/>
    <n v="100000"/>
    <x v="1"/>
    <x v="1"/>
    <x v="1"/>
    <x v="0"/>
    <n v="0"/>
    <n v="1"/>
    <x v="1"/>
    <x v="1"/>
    <x v="1"/>
  </r>
  <r>
    <n v="1982"/>
    <n v="90909.090909999999"/>
    <x v="1"/>
    <x v="1"/>
    <x v="0"/>
    <x v="0"/>
    <n v="0"/>
    <n v="1"/>
    <x v="1"/>
    <x v="1"/>
    <x v="1"/>
  </r>
  <r>
    <n v="1989"/>
    <n v="40000"/>
    <x v="1"/>
    <x v="1"/>
    <x v="0"/>
    <x v="0"/>
    <n v="0"/>
    <n v="1"/>
    <x v="1"/>
    <x v="0"/>
    <x v="1"/>
  </r>
  <r>
    <n v="1990"/>
    <n v="150000"/>
    <x v="1"/>
    <x v="1"/>
    <x v="0"/>
    <x v="0"/>
    <n v="0"/>
    <n v="1"/>
    <x v="1"/>
    <x v="0"/>
    <x v="1"/>
  </r>
  <r>
    <n v="1994"/>
    <n v="60000"/>
    <x v="1"/>
    <x v="1"/>
    <x v="1"/>
    <x v="0"/>
    <n v="0"/>
    <n v="1"/>
    <x v="1"/>
    <x v="0"/>
    <x v="0"/>
  </r>
  <r>
    <n v="1999"/>
    <n v="63025.210079999997"/>
    <x v="0"/>
    <x v="0"/>
    <x v="1"/>
    <x v="0"/>
    <n v="0"/>
    <n v="1"/>
    <x v="1"/>
    <x v="0"/>
    <x v="0"/>
  </r>
  <r>
    <n v="2000"/>
    <n v="31250"/>
    <x v="1"/>
    <x v="1"/>
    <x v="0"/>
    <x v="0"/>
    <n v="0"/>
    <n v="1"/>
    <x v="1"/>
    <x v="0"/>
    <x v="0"/>
  </r>
  <r>
    <n v="2003"/>
    <n v="22727.272730000001"/>
    <x v="1"/>
    <x v="1"/>
    <x v="0"/>
    <x v="1"/>
    <n v="0"/>
    <n v="1"/>
    <x v="1"/>
    <x v="0"/>
    <x v="1"/>
  </r>
  <r>
    <n v="2004"/>
    <n v="20000"/>
    <x v="1"/>
    <x v="1"/>
    <x v="0"/>
    <x v="1"/>
    <n v="0"/>
    <n v="1"/>
    <x v="1"/>
    <x v="0"/>
    <x v="1"/>
  </r>
  <r>
    <n v="2005"/>
    <n v="0"/>
    <x v="1"/>
    <x v="1"/>
    <x v="0"/>
    <x v="0"/>
    <n v="0"/>
    <n v="1"/>
    <x v="1"/>
    <x v="0"/>
    <x v="1"/>
  </r>
  <r>
    <n v="2006"/>
    <n v="0"/>
    <x v="1"/>
    <x v="1"/>
    <x v="1"/>
    <x v="0"/>
    <n v="0"/>
    <n v="1"/>
    <x v="1"/>
    <x v="0"/>
    <x v="0"/>
  </r>
  <r>
    <n v="2007"/>
    <n v="25000"/>
    <x v="1"/>
    <x v="1"/>
    <x v="1"/>
    <x v="0"/>
    <n v="0"/>
    <n v="1"/>
    <x v="1"/>
    <x v="0"/>
    <x v="1"/>
  </r>
  <r>
    <n v="2008"/>
    <n v="41666.666669999999"/>
    <x v="1"/>
    <x v="1"/>
    <x v="0"/>
    <x v="0"/>
    <n v="0"/>
    <n v="1"/>
    <x v="1"/>
    <x v="0"/>
    <x v="1"/>
  </r>
  <r>
    <n v="2009"/>
    <n v="50000"/>
    <x v="1"/>
    <x v="1"/>
    <x v="0"/>
    <x v="0"/>
    <n v="0"/>
    <n v="1"/>
    <x v="1"/>
    <x v="0"/>
    <x v="1"/>
  </r>
  <r>
    <n v="2011"/>
    <n v="0"/>
    <x v="1"/>
    <x v="1"/>
    <x v="0"/>
    <x v="0"/>
    <n v="0"/>
    <n v="1"/>
    <x v="1"/>
    <x v="0"/>
    <x v="1"/>
  </r>
  <r>
    <n v="2016"/>
    <n v="11904.7619"/>
    <x v="1"/>
    <x v="1"/>
    <x v="1"/>
    <x v="1"/>
    <n v="0"/>
    <n v="1"/>
    <x v="1"/>
    <x v="0"/>
    <x v="1"/>
  </r>
  <r>
    <n v="2017"/>
    <n v="100000"/>
    <x v="1"/>
    <x v="1"/>
    <x v="0"/>
    <x v="0"/>
    <n v="0"/>
    <n v="1"/>
    <x v="1"/>
    <x v="0"/>
    <x v="1"/>
  </r>
  <r>
    <n v="2020"/>
    <n v="25000"/>
    <x v="1"/>
    <x v="1"/>
    <x v="0"/>
    <x v="0"/>
    <n v="0"/>
    <n v="1"/>
    <x v="1"/>
    <x v="0"/>
    <x v="1"/>
  </r>
  <r>
    <n v="2022"/>
    <n v="83333.333329999994"/>
    <x v="0"/>
    <x v="0"/>
    <x v="0"/>
    <x v="0"/>
    <n v="0"/>
    <n v="1"/>
    <x v="1"/>
    <x v="0"/>
    <x v="1"/>
  </r>
  <r>
    <n v="2026"/>
    <n v="100000"/>
    <x v="1"/>
    <x v="1"/>
    <x v="0"/>
    <x v="0"/>
    <n v="0"/>
    <n v="1"/>
    <x v="1"/>
    <x v="0"/>
    <x v="1"/>
  </r>
  <r>
    <n v="2029"/>
    <n v="66666.666670000006"/>
    <x v="1"/>
    <x v="1"/>
    <x v="0"/>
    <x v="0"/>
    <n v="0"/>
    <n v="1"/>
    <x v="1"/>
    <x v="0"/>
    <x v="1"/>
  </r>
  <r>
    <n v="2036"/>
    <n v="20000"/>
    <x v="1"/>
    <x v="1"/>
    <x v="0"/>
    <x v="0"/>
    <n v="0"/>
    <n v="1"/>
    <x v="1"/>
    <x v="0"/>
    <x v="1"/>
  </r>
  <r>
    <n v="2040"/>
    <n v="37590.909090000001"/>
    <x v="1"/>
    <x v="1"/>
    <x v="1"/>
    <x v="0"/>
    <n v="0"/>
    <n v="1"/>
    <x v="1"/>
    <x v="0"/>
    <x v="0"/>
  </r>
  <r>
    <n v="2045"/>
    <n v="-62500"/>
    <x v="1"/>
    <x v="1"/>
    <x v="1"/>
    <x v="0"/>
    <n v="0"/>
    <n v="1"/>
    <x v="1"/>
    <x v="0"/>
    <x v="0"/>
  </r>
  <r>
    <n v="2047"/>
    <n v="100000"/>
    <x v="1"/>
    <x v="1"/>
    <x v="0"/>
    <x v="0"/>
    <n v="0"/>
    <n v="1"/>
    <x v="1"/>
    <x v="0"/>
    <x v="0"/>
  </r>
  <r>
    <n v="2050"/>
    <n v="63636.363640000003"/>
    <x v="1"/>
    <x v="1"/>
    <x v="0"/>
    <x v="0"/>
    <n v="0"/>
    <n v="1"/>
    <x v="1"/>
    <x v="0"/>
    <x v="1"/>
  </r>
  <r>
    <n v="2051"/>
    <n v="125000"/>
    <x v="1"/>
    <x v="1"/>
    <x v="0"/>
    <x v="0"/>
    <n v="0"/>
    <n v="1"/>
    <x v="1"/>
    <x v="0"/>
    <x v="1"/>
  </r>
  <r>
    <n v="2052"/>
    <n v="45365.853660000001"/>
    <x v="1"/>
    <x v="1"/>
    <x v="0"/>
    <x v="0"/>
    <n v="0"/>
    <n v="1"/>
    <x v="1"/>
    <x v="0"/>
    <x v="1"/>
  </r>
  <r>
    <n v="2053"/>
    <n v="73333.333329999994"/>
    <x v="1"/>
    <x v="1"/>
    <x v="0"/>
    <x v="0"/>
    <n v="0"/>
    <n v="1"/>
    <x v="1"/>
    <x v="0"/>
    <x v="1"/>
  </r>
  <r>
    <n v="2055"/>
    <n v="114000"/>
    <x v="1"/>
    <x v="1"/>
    <x v="0"/>
    <x v="0"/>
    <n v="0"/>
    <n v="1"/>
    <x v="1"/>
    <x v="0"/>
    <x v="0"/>
  </r>
  <r>
    <n v="2056"/>
    <n v="150000"/>
    <x v="1"/>
    <x v="1"/>
    <x v="0"/>
    <x v="0"/>
    <n v="0"/>
    <n v="1"/>
    <x v="1"/>
    <x v="1"/>
    <x v="0"/>
  </r>
  <r>
    <n v="2065"/>
    <n v="66666.666670000006"/>
    <x v="1"/>
    <x v="1"/>
    <x v="0"/>
    <x v="0"/>
    <n v="0"/>
    <n v="1"/>
    <x v="1"/>
    <x v="0"/>
    <x v="1"/>
  </r>
  <r>
    <n v="2066"/>
    <n v="47619.047619999998"/>
    <x v="1"/>
    <x v="1"/>
    <x v="1"/>
    <x v="0"/>
    <n v="0"/>
    <n v="1"/>
    <x v="1"/>
    <x v="0"/>
    <x v="1"/>
  </r>
  <r>
    <n v="2069"/>
    <n v="29585.79882"/>
    <x v="1"/>
    <x v="1"/>
    <x v="1"/>
    <x v="0"/>
    <n v="0"/>
    <n v="1"/>
    <x v="1"/>
    <x v="0"/>
    <x v="1"/>
  </r>
  <r>
    <n v="2070"/>
    <n v="50000"/>
    <x v="1"/>
    <x v="1"/>
    <x v="0"/>
    <x v="0"/>
    <n v="0"/>
    <n v="1"/>
    <x v="1"/>
    <x v="0"/>
    <x v="1"/>
  </r>
  <r>
    <n v="2071"/>
    <n v="45454.545449999998"/>
    <x v="1"/>
    <x v="1"/>
    <x v="1"/>
    <x v="0"/>
    <n v="0"/>
    <n v="1"/>
    <x v="1"/>
    <x v="0"/>
    <x v="1"/>
  </r>
  <r>
    <n v="2076"/>
    <n v="100000"/>
    <x v="1"/>
    <x v="1"/>
    <x v="0"/>
    <x v="0"/>
    <n v="0"/>
    <n v="1"/>
    <x v="1"/>
    <x v="0"/>
    <x v="1"/>
  </r>
  <r>
    <n v="2077"/>
    <n v="75000"/>
    <x v="1"/>
    <x v="1"/>
    <x v="0"/>
    <x v="0"/>
    <n v="0"/>
    <n v="1"/>
    <x v="1"/>
    <x v="0"/>
    <x v="1"/>
  </r>
  <r>
    <n v="2078"/>
    <n v="45454.545449999998"/>
    <x v="1"/>
    <x v="1"/>
    <x v="0"/>
    <x v="0"/>
    <n v="0"/>
    <n v="1"/>
    <x v="1"/>
    <x v="1"/>
    <x v="1"/>
  </r>
  <r>
    <n v="2079"/>
    <n v="64516.129029999996"/>
    <x v="1"/>
    <x v="1"/>
    <x v="0"/>
    <x v="0"/>
    <n v="0"/>
    <n v="1"/>
    <x v="1"/>
    <x v="0"/>
    <x v="1"/>
  </r>
  <r>
    <n v="2080"/>
    <n v="90909.090909999999"/>
    <x v="1"/>
    <x v="1"/>
    <x v="0"/>
    <x v="0"/>
    <n v="0"/>
    <n v="1"/>
    <x v="1"/>
    <x v="0"/>
    <x v="1"/>
  </r>
  <r>
    <n v="2081"/>
    <n v="83333.333329999994"/>
    <x v="1"/>
    <x v="1"/>
    <x v="0"/>
    <x v="0"/>
    <n v="0"/>
    <n v="1"/>
    <x v="1"/>
    <x v="0"/>
    <x v="0"/>
  </r>
  <r>
    <n v="2084"/>
    <n v="46875"/>
    <x v="1"/>
    <x v="1"/>
    <x v="0"/>
    <x v="0"/>
    <n v="0"/>
    <n v="1"/>
    <x v="1"/>
    <x v="0"/>
    <x v="0"/>
  </r>
  <r>
    <n v="2086"/>
    <n v="66666.666670000006"/>
    <x v="1"/>
    <x v="1"/>
    <x v="0"/>
    <x v="0"/>
    <n v="0"/>
    <n v="1"/>
    <x v="1"/>
    <x v="0"/>
    <x v="1"/>
  </r>
  <r>
    <n v="2088"/>
    <n v="25000"/>
    <x v="1"/>
    <x v="1"/>
    <x v="1"/>
    <x v="1"/>
    <n v="0"/>
    <n v="1"/>
    <x v="1"/>
    <x v="0"/>
    <x v="1"/>
  </r>
  <r>
    <n v="2089"/>
    <n v="83333.333329999994"/>
    <x v="1"/>
    <x v="1"/>
    <x v="0"/>
    <x v="0"/>
    <n v="0"/>
    <n v="1"/>
    <x v="1"/>
    <x v="0"/>
    <x v="1"/>
  </r>
  <r>
    <n v="2090"/>
    <n v="0"/>
    <x v="1"/>
    <x v="1"/>
    <x v="0"/>
    <x v="1"/>
    <n v="0"/>
    <n v="1"/>
    <x v="1"/>
    <x v="0"/>
    <x v="1"/>
  </r>
  <r>
    <n v="2093"/>
    <n v="83333.333329999994"/>
    <x v="1"/>
    <x v="1"/>
    <x v="0"/>
    <x v="0"/>
    <n v="0"/>
    <n v="1"/>
    <x v="1"/>
    <x v="0"/>
    <x v="1"/>
  </r>
  <r>
    <n v="2096"/>
    <n v="90909.090909999999"/>
    <x v="1"/>
    <x v="1"/>
    <x v="0"/>
    <x v="0"/>
    <n v="0"/>
    <n v="1"/>
    <x v="1"/>
    <x v="0"/>
    <x v="1"/>
  </r>
  <r>
    <n v="2097"/>
    <n v="100000"/>
    <x v="1"/>
    <x v="1"/>
    <x v="0"/>
    <x v="0"/>
    <n v="0"/>
    <n v="1"/>
    <x v="1"/>
    <x v="0"/>
    <x v="1"/>
  </r>
  <r>
    <n v="2098"/>
    <n v="100000"/>
    <x v="1"/>
    <x v="1"/>
    <x v="0"/>
    <x v="0"/>
    <n v="0"/>
    <n v="1"/>
    <x v="1"/>
    <x v="0"/>
    <x v="1"/>
  </r>
  <r>
    <n v="2106"/>
    <n v="153846.1538"/>
    <x v="1"/>
    <x v="1"/>
    <x v="1"/>
    <x v="0"/>
    <n v="0"/>
    <n v="1"/>
    <x v="1"/>
    <x v="0"/>
    <x v="1"/>
  </r>
  <r>
    <n v="2107"/>
    <n v="83333.333329999994"/>
    <x v="1"/>
    <x v="1"/>
    <x v="0"/>
    <x v="0"/>
    <n v="0"/>
    <n v="1"/>
    <x v="1"/>
    <x v="0"/>
    <x v="1"/>
  </r>
  <r>
    <n v="2110"/>
    <n v="111111.11109999999"/>
    <x v="1"/>
    <x v="1"/>
    <x v="0"/>
    <x v="0"/>
    <n v="0"/>
    <n v="1"/>
    <x v="1"/>
    <x v="0"/>
    <x v="1"/>
  </r>
  <r>
    <n v="2114"/>
    <n v="50000"/>
    <x v="1"/>
    <x v="1"/>
    <x v="0"/>
    <x v="0"/>
    <n v="0"/>
    <n v="1"/>
    <x v="1"/>
    <x v="0"/>
    <x v="1"/>
  </r>
  <r>
    <n v="2116"/>
    <n v="136363.63639999999"/>
    <x v="1"/>
    <x v="1"/>
    <x v="0"/>
    <x v="0"/>
    <n v="0"/>
    <n v="1"/>
    <x v="1"/>
    <x v="0"/>
    <x v="1"/>
  </r>
  <r>
    <n v="2121"/>
    <n v="25000"/>
    <x v="1"/>
    <x v="1"/>
    <x v="1"/>
    <x v="1"/>
    <n v="0"/>
    <n v="1"/>
    <x v="1"/>
    <x v="0"/>
    <x v="1"/>
  </r>
  <r>
    <n v="2123"/>
    <n v="66666.666670000006"/>
    <x v="1"/>
    <x v="1"/>
    <x v="0"/>
    <x v="0"/>
    <n v="0"/>
    <n v="1"/>
    <x v="1"/>
    <x v="0"/>
    <x v="1"/>
  </r>
  <r>
    <n v="2124"/>
    <n v="100000"/>
    <x v="1"/>
    <x v="1"/>
    <x v="0"/>
    <x v="0"/>
    <n v="0"/>
    <n v="1"/>
    <x v="1"/>
    <x v="0"/>
    <x v="1"/>
  </r>
  <r>
    <n v="2126"/>
    <n v="25000"/>
    <x v="1"/>
    <x v="1"/>
    <x v="0"/>
    <x v="1"/>
    <n v="0"/>
    <n v="1"/>
    <x v="1"/>
    <x v="0"/>
    <x v="0"/>
  </r>
  <r>
    <n v="2127"/>
    <n v="83333.333329999994"/>
    <x v="1"/>
    <x v="1"/>
    <x v="1"/>
    <x v="1"/>
    <n v="0"/>
    <n v="1"/>
    <x v="1"/>
    <x v="0"/>
    <x v="1"/>
  </r>
  <r>
    <n v="2134"/>
    <n v="136363.63639999999"/>
    <x v="1"/>
    <x v="1"/>
    <x v="0"/>
    <x v="0"/>
    <n v="0"/>
    <n v="1"/>
    <x v="1"/>
    <x v="0"/>
    <x v="1"/>
  </r>
  <r>
    <n v="2136"/>
    <n v="6250"/>
    <x v="1"/>
    <x v="1"/>
    <x v="0"/>
    <x v="0"/>
    <n v="0"/>
    <n v="1"/>
    <x v="1"/>
    <x v="0"/>
    <x v="0"/>
  </r>
  <r>
    <n v="2144"/>
    <n v="150000"/>
    <x v="1"/>
    <x v="1"/>
    <x v="0"/>
    <x v="0"/>
    <n v="0"/>
    <n v="1"/>
    <x v="1"/>
    <x v="0"/>
    <x v="1"/>
  </r>
  <r>
    <n v="2148"/>
    <n v="40000"/>
    <x v="1"/>
    <x v="1"/>
    <x v="1"/>
    <x v="0"/>
    <n v="1"/>
    <n v="0"/>
    <x v="3"/>
    <x v="0"/>
    <x v="1"/>
  </r>
  <r>
    <n v="2155"/>
    <n v="16129.03226"/>
    <x v="1"/>
    <x v="1"/>
    <x v="1"/>
    <x v="1"/>
    <n v="0"/>
    <n v="1"/>
    <x v="3"/>
    <x v="0"/>
    <x v="1"/>
  </r>
  <r>
    <n v="2159"/>
    <n v="18750"/>
    <x v="1"/>
    <x v="1"/>
    <x v="1"/>
    <x v="0"/>
    <n v="1"/>
    <n v="0"/>
    <x v="3"/>
    <x v="0"/>
    <x v="1"/>
  </r>
  <r>
    <n v="2164"/>
    <n v="0"/>
    <x v="1"/>
    <x v="1"/>
    <x v="1"/>
    <x v="0"/>
    <n v="1"/>
    <n v="0"/>
    <x v="3"/>
    <x v="0"/>
    <x v="1"/>
  </r>
  <r>
    <n v="2166"/>
    <n v="35000"/>
    <x v="1"/>
    <x v="1"/>
    <x v="0"/>
    <x v="0"/>
    <n v="1"/>
    <n v="0"/>
    <x v="3"/>
    <x v="0"/>
    <x v="1"/>
  </r>
  <r>
    <n v="2168"/>
    <n v="9375"/>
    <x v="1"/>
    <x v="1"/>
    <x v="1"/>
    <x v="1"/>
    <n v="1"/>
    <n v="0"/>
    <x v="3"/>
    <x v="0"/>
    <x v="1"/>
  </r>
  <r>
    <n v="2254"/>
    <n v="47826.086960000001"/>
    <x v="1"/>
    <x v="1"/>
    <x v="1"/>
    <x v="0"/>
    <n v="1"/>
    <n v="0"/>
    <x v="3"/>
    <x v="0"/>
    <x v="1"/>
  </r>
  <r>
    <n v="2255"/>
    <n v="5000"/>
    <x v="1"/>
    <x v="1"/>
    <x v="1"/>
    <x v="0"/>
    <n v="1"/>
    <n v="0"/>
    <x v="3"/>
    <x v="0"/>
    <x v="1"/>
  </r>
  <r>
    <n v="2265"/>
    <n v="29761.904760000001"/>
    <x v="1"/>
    <x v="1"/>
    <x v="0"/>
    <x v="0"/>
    <n v="1"/>
    <n v="0"/>
    <x v="3"/>
    <x v="0"/>
    <x v="1"/>
  </r>
  <r>
    <n v="2341"/>
    <n v="4285.7142860000004"/>
    <x v="1"/>
    <x v="1"/>
    <x v="0"/>
    <x v="0"/>
    <n v="1"/>
    <n v="0"/>
    <x v="2"/>
    <x v="1"/>
    <x v="0"/>
  </r>
  <r>
    <n v="2351"/>
    <n v="9708.7378640000006"/>
    <x v="1"/>
    <x v="1"/>
    <x v="1"/>
    <x v="0"/>
    <n v="1"/>
    <n v="0"/>
    <x v="2"/>
    <x v="1"/>
    <x v="0"/>
  </r>
  <r>
    <n v="2353"/>
    <n v="6000"/>
    <x v="0"/>
    <x v="0"/>
    <x v="1"/>
    <x v="0"/>
    <n v="1"/>
    <n v="0"/>
    <x v="2"/>
    <x v="1"/>
    <x v="0"/>
  </r>
  <r>
    <n v="2355"/>
    <n v="7075.4716980000003"/>
    <x v="1"/>
    <x v="1"/>
    <x v="0"/>
    <x v="0"/>
    <n v="1"/>
    <n v="0"/>
    <x v="2"/>
    <x v="0"/>
    <x v="0"/>
  </r>
  <r>
    <n v="2358"/>
    <n v="3333.333333"/>
    <x v="1"/>
    <x v="1"/>
    <x v="0"/>
    <x v="0"/>
    <n v="1"/>
    <n v="0"/>
    <x v="2"/>
    <x v="1"/>
    <x v="0"/>
  </r>
  <r>
    <n v="2388"/>
    <n v="5882.3529410000001"/>
    <x v="1"/>
    <x v="1"/>
    <x v="1"/>
    <x v="0"/>
    <n v="1"/>
    <n v="0"/>
    <x v="2"/>
    <x v="0"/>
    <x v="0"/>
  </r>
  <r>
    <n v="2389"/>
    <n v="4201.6806720000004"/>
    <x v="0"/>
    <x v="0"/>
    <x v="1"/>
    <x v="0"/>
    <n v="1"/>
    <n v="0"/>
    <x v="2"/>
    <x v="0"/>
    <x v="0"/>
  </r>
  <r>
    <n v="2392"/>
    <n v="7500"/>
    <x v="1"/>
    <x v="1"/>
    <x v="0"/>
    <x v="0"/>
    <n v="1"/>
    <n v="0"/>
    <x v="2"/>
    <x v="0"/>
    <x v="1"/>
  </r>
  <r>
    <n v="2394"/>
    <n v="9090.9090909999995"/>
    <x v="1"/>
    <x v="1"/>
    <x v="1"/>
    <x v="0"/>
    <n v="1"/>
    <n v="0"/>
    <x v="2"/>
    <x v="1"/>
    <x v="1"/>
  </r>
  <r>
    <n v="2411"/>
    <n v="25000"/>
    <x v="1"/>
    <x v="1"/>
    <x v="1"/>
    <x v="0"/>
    <n v="1"/>
    <n v="0"/>
    <x v="2"/>
    <x v="0"/>
    <x v="0"/>
  </r>
  <r>
    <n v="2412"/>
    <n v="7500"/>
    <x v="1"/>
    <x v="1"/>
    <x v="1"/>
    <x v="0"/>
    <n v="1"/>
    <n v="0"/>
    <x v="2"/>
    <x v="0"/>
    <x v="0"/>
  </r>
  <r>
    <n v="2413"/>
    <n v="41666.666669999999"/>
    <x v="1"/>
    <x v="1"/>
    <x v="0"/>
    <x v="0"/>
    <n v="1"/>
    <n v="0"/>
    <x v="2"/>
    <x v="0"/>
    <x v="1"/>
  </r>
  <r>
    <n v="2554"/>
    <n v="155172.41380000001"/>
    <x v="1"/>
    <x v="1"/>
    <x v="1"/>
    <x v="0"/>
    <n v="0"/>
    <n v="1"/>
    <x v="4"/>
    <x v="0"/>
    <x v="0"/>
  </r>
  <r>
    <n v="2581"/>
    <n v="5000"/>
    <x v="0"/>
    <x v="0"/>
    <x v="0"/>
    <x v="0"/>
    <n v="0"/>
    <n v="1"/>
    <x v="4"/>
    <x v="0"/>
    <x v="1"/>
  </r>
  <r>
    <n v="2596"/>
    <n v="48387.096769999996"/>
    <x v="1"/>
    <x v="1"/>
    <x v="0"/>
    <x v="0"/>
    <n v="0"/>
    <n v="1"/>
    <x v="4"/>
    <x v="0"/>
    <x v="1"/>
  </r>
  <r>
    <n v="2601"/>
    <n v="3797.4683540000001"/>
    <x v="1"/>
    <x v="1"/>
    <x v="0"/>
    <x v="0"/>
    <n v="0"/>
    <n v="1"/>
    <x v="4"/>
    <x v="0"/>
    <x v="1"/>
  </r>
  <r>
    <n v="2602"/>
    <n v="10000"/>
    <x v="1"/>
    <x v="1"/>
    <x v="0"/>
    <x v="0"/>
    <n v="0"/>
    <n v="1"/>
    <x v="4"/>
    <x v="0"/>
    <x v="1"/>
  </r>
  <r>
    <n v="2604"/>
    <n v="2564.1025639999998"/>
    <x v="1"/>
    <x v="1"/>
    <x v="0"/>
    <x v="1"/>
    <n v="0"/>
    <n v="1"/>
    <x v="4"/>
    <x v="0"/>
    <x v="1"/>
  </r>
  <r>
    <n v="2605"/>
    <n v="5000"/>
    <x v="1"/>
    <x v="1"/>
    <x v="0"/>
    <x v="1"/>
    <n v="0"/>
    <n v="1"/>
    <x v="4"/>
    <x v="0"/>
    <x v="1"/>
  </r>
  <r>
    <n v="2609"/>
    <n v="150000"/>
    <x v="1"/>
    <x v="1"/>
    <x v="1"/>
    <x v="0"/>
    <n v="1"/>
    <n v="0"/>
    <x v="3"/>
    <x v="0"/>
    <x v="1"/>
  </r>
  <r>
    <n v="2611"/>
    <n v="125000"/>
    <x v="1"/>
    <x v="1"/>
    <x v="1"/>
    <x v="0"/>
    <n v="1"/>
    <n v="0"/>
    <x v="3"/>
    <x v="0"/>
    <x v="1"/>
  </r>
  <r>
    <n v="2614"/>
    <n v="150000"/>
    <x v="1"/>
    <x v="1"/>
    <x v="0"/>
    <x v="0"/>
    <n v="1"/>
    <n v="0"/>
    <x v="3"/>
    <x v="0"/>
    <x v="1"/>
  </r>
  <r>
    <n v="2619"/>
    <n v="47318.611989999998"/>
    <x v="1"/>
    <x v="1"/>
    <x v="0"/>
    <x v="0"/>
    <n v="1"/>
    <n v="0"/>
    <x v="3"/>
    <x v="0"/>
    <x v="1"/>
  </r>
  <r>
    <n v="2621"/>
    <n v="125000"/>
    <x v="1"/>
    <x v="1"/>
    <x v="1"/>
    <x v="0"/>
    <n v="1"/>
    <n v="0"/>
    <x v="3"/>
    <x v="0"/>
    <x v="1"/>
  </r>
  <r>
    <n v="2626"/>
    <n v="150000"/>
    <x v="1"/>
    <x v="1"/>
    <x v="1"/>
    <x v="0"/>
    <n v="1"/>
    <n v="0"/>
    <x v="3"/>
    <x v="0"/>
    <x v="1"/>
  </r>
  <r>
    <n v="2645"/>
    <n v="0"/>
    <x v="1"/>
    <x v="1"/>
    <x v="0"/>
    <x v="0"/>
    <n v="0"/>
    <n v="1"/>
    <x v="4"/>
    <x v="0"/>
    <x v="1"/>
  </r>
  <r>
    <n v="2648"/>
    <n v="15000"/>
    <x v="1"/>
    <x v="1"/>
    <x v="0"/>
    <x v="0"/>
    <n v="0"/>
    <n v="1"/>
    <x v="4"/>
    <x v="0"/>
    <x v="0"/>
  </r>
  <r>
    <n v="2664"/>
    <n v="150000"/>
    <x v="1"/>
    <x v="1"/>
    <x v="1"/>
    <x v="0"/>
    <n v="1"/>
    <n v="0"/>
    <x v="3"/>
    <x v="0"/>
    <x v="1"/>
  </r>
  <r>
    <n v="2667"/>
    <n v="150000"/>
    <x v="1"/>
    <x v="1"/>
    <x v="0"/>
    <x v="0"/>
    <n v="1"/>
    <n v="0"/>
    <x v="3"/>
    <x v="0"/>
    <x v="1"/>
  </r>
  <r>
    <n v="2674"/>
    <n v="125000"/>
    <x v="1"/>
    <x v="1"/>
    <x v="1"/>
    <x v="0"/>
    <n v="1"/>
    <n v="0"/>
    <x v="3"/>
    <x v="0"/>
    <x v="1"/>
  </r>
  <r>
    <n v="2681"/>
    <n v="150000"/>
    <x v="1"/>
    <x v="1"/>
    <x v="0"/>
    <x v="0"/>
    <n v="1"/>
    <n v="0"/>
    <x v="3"/>
    <x v="0"/>
    <x v="1"/>
  </r>
  <r>
    <n v="2685"/>
    <n v="150000"/>
    <x v="1"/>
    <x v="1"/>
    <x v="1"/>
    <x v="0"/>
    <n v="1"/>
    <n v="0"/>
    <x v="3"/>
    <x v="0"/>
    <x v="1"/>
  </r>
  <r>
    <n v="2686"/>
    <n v="-25000"/>
    <x v="1"/>
    <x v="1"/>
    <x v="0"/>
    <x v="0"/>
    <n v="1"/>
    <n v="0"/>
    <x v="3"/>
    <x v="0"/>
    <x v="1"/>
  </r>
  <r>
    <n v="2688"/>
    <n v="150000"/>
    <x v="1"/>
    <x v="1"/>
    <x v="0"/>
    <x v="0"/>
    <n v="1"/>
    <n v="0"/>
    <x v="3"/>
    <x v="0"/>
    <x v="1"/>
  </r>
  <r>
    <n v="2693"/>
    <n v="-20833.333330000001"/>
    <x v="1"/>
    <x v="1"/>
    <x v="0"/>
    <x v="0"/>
    <n v="1"/>
    <n v="0"/>
    <x v="3"/>
    <x v="0"/>
    <x v="1"/>
  </r>
  <r>
    <n v="2695"/>
    <n v="150000"/>
    <x v="1"/>
    <x v="1"/>
    <x v="1"/>
    <x v="0"/>
    <n v="1"/>
    <n v="0"/>
    <x v="3"/>
    <x v="0"/>
    <x v="1"/>
  </r>
  <r>
    <n v="2697"/>
    <n v="125000"/>
    <x v="1"/>
    <x v="1"/>
    <x v="1"/>
    <x v="0"/>
    <n v="1"/>
    <n v="0"/>
    <x v="3"/>
    <x v="0"/>
    <x v="1"/>
  </r>
  <r>
    <n v="2705"/>
    <n v="50000"/>
    <x v="1"/>
    <x v="1"/>
    <x v="1"/>
    <x v="0"/>
    <n v="1"/>
    <n v="0"/>
    <x v="3"/>
    <x v="0"/>
    <x v="1"/>
  </r>
  <r>
    <n v="2714"/>
    <n v="150000"/>
    <x v="1"/>
    <x v="1"/>
    <x v="1"/>
    <x v="0"/>
    <n v="1"/>
    <n v="0"/>
    <x v="3"/>
    <x v="0"/>
    <x v="1"/>
  </r>
  <r>
    <n v="2720"/>
    <n v="50000"/>
    <x v="1"/>
    <x v="1"/>
    <x v="1"/>
    <x v="0"/>
    <n v="1"/>
    <n v="0"/>
    <x v="3"/>
    <x v="0"/>
    <x v="1"/>
  </r>
  <r>
    <n v="2723"/>
    <n v="75000"/>
    <x v="1"/>
    <x v="1"/>
    <x v="0"/>
    <x v="0"/>
    <n v="1"/>
    <n v="0"/>
    <x v="3"/>
    <x v="0"/>
    <x v="1"/>
  </r>
  <r>
    <n v="2728"/>
    <n v="150000"/>
    <x v="1"/>
    <x v="1"/>
    <x v="0"/>
    <x v="0"/>
    <n v="1"/>
    <n v="0"/>
    <x v="3"/>
    <x v="0"/>
    <x v="1"/>
  </r>
  <r>
    <n v="2734"/>
    <n v="75000"/>
    <x v="1"/>
    <x v="1"/>
    <x v="1"/>
    <x v="0"/>
    <n v="1"/>
    <n v="0"/>
    <x v="3"/>
    <x v="0"/>
    <x v="1"/>
  </r>
  <r>
    <n v="2735"/>
    <n v="150000"/>
    <x v="1"/>
    <x v="1"/>
    <x v="1"/>
    <x v="0"/>
    <n v="1"/>
    <n v="0"/>
    <x v="3"/>
    <x v="0"/>
    <x v="1"/>
  </r>
  <r>
    <n v="2738"/>
    <n v="125000"/>
    <x v="1"/>
    <x v="1"/>
    <x v="0"/>
    <x v="0"/>
    <n v="1"/>
    <n v="0"/>
    <x v="3"/>
    <x v="0"/>
    <x v="1"/>
  </r>
  <r>
    <n v="2739"/>
    <n v="150000"/>
    <x v="1"/>
    <x v="1"/>
    <x v="1"/>
    <x v="0"/>
    <n v="1"/>
    <n v="0"/>
    <x v="3"/>
    <x v="0"/>
    <x v="1"/>
  </r>
  <r>
    <n v="2740"/>
    <n v="125000"/>
    <x v="1"/>
    <x v="1"/>
    <x v="1"/>
    <x v="0"/>
    <n v="1"/>
    <n v="0"/>
    <x v="3"/>
    <x v="0"/>
    <x v="1"/>
  </r>
  <r>
    <n v="2744"/>
    <n v="50000"/>
    <x v="1"/>
    <x v="1"/>
    <x v="1"/>
    <x v="0"/>
    <n v="1"/>
    <n v="0"/>
    <x v="3"/>
    <x v="0"/>
    <x v="1"/>
  </r>
  <r>
    <n v="2754"/>
    <n v="18000"/>
    <x v="1"/>
    <x v="1"/>
    <x v="0"/>
    <x v="0"/>
    <n v="0"/>
    <n v="1"/>
    <x v="4"/>
    <x v="1"/>
    <x v="1"/>
  </r>
  <r>
    <n v="2755"/>
    <n v="38793.103450000002"/>
    <x v="1"/>
    <x v="1"/>
    <x v="0"/>
    <x v="0"/>
    <n v="0"/>
    <n v="1"/>
    <x v="4"/>
    <x v="0"/>
    <x v="1"/>
  </r>
  <r>
    <n v="2760"/>
    <n v="121621.6216"/>
    <x v="1"/>
    <x v="1"/>
    <x v="0"/>
    <x v="0"/>
    <n v="0"/>
    <n v="1"/>
    <x v="4"/>
    <x v="0"/>
    <x v="1"/>
  </r>
  <r>
    <n v="2763"/>
    <n v="3750"/>
    <x v="1"/>
    <x v="1"/>
    <x v="0"/>
    <x v="0"/>
    <n v="0"/>
    <n v="1"/>
    <x v="4"/>
    <x v="0"/>
    <x v="1"/>
  </r>
  <r>
    <n v="2767"/>
    <n v="22500"/>
    <x v="1"/>
    <x v="1"/>
    <x v="0"/>
    <x v="0"/>
    <n v="0"/>
    <n v="1"/>
    <x v="4"/>
    <x v="0"/>
    <x v="1"/>
  </r>
  <r>
    <n v="2771"/>
    <n v="20930.23256"/>
    <x v="1"/>
    <x v="1"/>
    <x v="0"/>
    <x v="0"/>
    <n v="0"/>
    <n v="1"/>
    <x v="4"/>
    <x v="1"/>
    <x v="1"/>
  </r>
  <r>
    <n v="2772"/>
    <n v="37500"/>
    <x v="1"/>
    <x v="1"/>
    <x v="0"/>
    <x v="0"/>
    <n v="0"/>
    <n v="1"/>
    <x v="4"/>
    <x v="0"/>
    <x v="1"/>
  </r>
  <r>
    <n v="2773"/>
    <n v="93846.153850000002"/>
    <x v="1"/>
    <x v="1"/>
    <x v="0"/>
    <x v="0"/>
    <n v="0"/>
    <n v="1"/>
    <x v="4"/>
    <x v="0"/>
    <x v="1"/>
  </r>
  <r>
    <n v="2779"/>
    <n v="-3289.473684"/>
    <x v="1"/>
    <x v="1"/>
    <x v="0"/>
    <x v="0"/>
    <n v="0"/>
    <n v="1"/>
    <x v="4"/>
    <x v="0"/>
    <x v="1"/>
  </r>
  <r>
    <n v="2791"/>
    <n v="-4926.1083740000004"/>
    <x v="1"/>
    <x v="1"/>
    <x v="0"/>
    <x v="0"/>
    <n v="0"/>
    <n v="1"/>
    <x v="4"/>
    <x v="0"/>
    <x v="1"/>
  </r>
  <r>
    <n v="2851"/>
    <n v="9090.9090909999995"/>
    <x v="1"/>
    <x v="1"/>
    <x v="0"/>
    <x v="0"/>
    <n v="0"/>
    <n v="1"/>
    <x v="4"/>
    <x v="0"/>
    <x v="1"/>
  </r>
  <r>
    <n v="2853"/>
    <n v="-4761.9047620000001"/>
    <x v="1"/>
    <x v="1"/>
    <x v="0"/>
    <x v="0"/>
    <n v="0"/>
    <n v="1"/>
    <x v="4"/>
    <x v="0"/>
    <x v="1"/>
  </r>
  <r>
    <n v="2865"/>
    <n v="16666.666669999999"/>
    <x v="1"/>
    <x v="1"/>
    <x v="0"/>
    <x v="0"/>
    <n v="0"/>
    <n v="1"/>
    <x v="4"/>
    <x v="0"/>
    <x v="1"/>
  </r>
  <r>
    <n v="2867"/>
    <n v="1492.537313"/>
    <x v="1"/>
    <x v="1"/>
    <x v="0"/>
    <x v="0"/>
    <n v="0"/>
    <n v="1"/>
    <x v="4"/>
    <x v="0"/>
    <x v="1"/>
  </r>
  <r>
    <n v="2868"/>
    <n v="2314.8148150000002"/>
    <x v="1"/>
    <x v="1"/>
    <x v="0"/>
    <x v="0"/>
    <n v="0"/>
    <n v="1"/>
    <x v="4"/>
    <x v="0"/>
    <x v="1"/>
  </r>
  <r>
    <n v="2869"/>
    <n v="-2314.8148150000002"/>
    <x v="1"/>
    <x v="1"/>
    <x v="0"/>
    <x v="0"/>
    <n v="0"/>
    <n v="1"/>
    <x v="4"/>
    <x v="0"/>
    <x v="1"/>
  </r>
  <r>
    <n v="2870"/>
    <n v="-16129.03226"/>
    <x v="1"/>
    <x v="1"/>
    <x v="0"/>
    <x v="0"/>
    <n v="0"/>
    <n v="1"/>
    <x v="4"/>
    <x v="0"/>
    <x v="1"/>
  </r>
  <r>
    <n v="2965"/>
    <n v="18181.818179999998"/>
    <x v="1"/>
    <x v="1"/>
    <x v="0"/>
    <x v="0"/>
    <n v="1"/>
    <n v="0"/>
    <x v="2"/>
    <x v="0"/>
    <x v="1"/>
  </r>
  <r>
    <n v="2966"/>
    <n v="10683.760679999999"/>
    <x v="1"/>
    <x v="1"/>
    <x v="1"/>
    <x v="1"/>
    <n v="1"/>
    <n v="0"/>
    <x v="2"/>
    <x v="0"/>
    <x v="1"/>
  </r>
  <r>
    <n v="2969"/>
    <n v="13636.36364"/>
    <x v="1"/>
    <x v="1"/>
    <x v="1"/>
    <x v="0"/>
    <n v="1"/>
    <n v="0"/>
    <x v="2"/>
    <x v="1"/>
    <x v="0"/>
  </r>
  <r>
    <n v="2970"/>
    <n v="16666.666669999999"/>
    <x v="1"/>
    <x v="1"/>
    <x v="1"/>
    <x v="0"/>
    <n v="0"/>
    <n v="1"/>
    <x v="2"/>
    <x v="1"/>
    <x v="0"/>
  </r>
  <r>
    <n v="2971"/>
    <n v="5882.3529410000001"/>
    <x v="1"/>
    <x v="1"/>
    <x v="1"/>
    <x v="0"/>
    <n v="1"/>
    <n v="0"/>
    <x v="2"/>
    <x v="1"/>
    <x v="0"/>
  </r>
  <r>
    <n v="2979"/>
    <n v="2500"/>
    <x v="0"/>
    <x v="0"/>
    <x v="0"/>
    <x v="0"/>
    <n v="0"/>
    <n v="1"/>
    <x v="2"/>
    <x v="1"/>
    <x v="0"/>
  </r>
  <r>
    <n v="2983"/>
    <n v="8333.3333330000005"/>
    <x v="1"/>
    <x v="1"/>
    <x v="0"/>
    <x v="1"/>
    <n v="1"/>
    <n v="0"/>
    <x v="2"/>
    <x v="0"/>
    <x v="0"/>
  </r>
  <r>
    <n v="2984"/>
    <n v="2500"/>
    <x v="1"/>
    <x v="1"/>
    <x v="1"/>
    <x v="1"/>
    <n v="1"/>
    <n v="0"/>
    <x v="2"/>
    <x v="1"/>
    <x v="0"/>
  </r>
  <r>
    <n v="3047"/>
    <n v="25000"/>
    <x v="1"/>
    <x v="1"/>
    <x v="0"/>
    <x v="1"/>
    <n v="0"/>
    <n v="1"/>
    <x v="4"/>
    <x v="0"/>
    <x v="1"/>
  </r>
  <r>
    <n v="3050"/>
    <n v="58333.333330000001"/>
    <x v="1"/>
    <x v="1"/>
    <x v="0"/>
    <x v="0"/>
    <n v="0"/>
    <n v="1"/>
    <x v="4"/>
    <x v="0"/>
    <x v="1"/>
  </r>
  <r>
    <n v="3051"/>
    <n v="25000"/>
    <x v="1"/>
    <x v="1"/>
    <x v="0"/>
    <x v="0"/>
    <n v="0"/>
    <n v="1"/>
    <x v="4"/>
    <x v="0"/>
    <x v="1"/>
  </r>
  <r>
    <n v="3053"/>
    <n v="72000"/>
    <x v="1"/>
    <x v="1"/>
    <x v="0"/>
    <x v="1"/>
    <n v="0"/>
    <n v="1"/>
    <x v="4"/>
    <x v="0"/>
    <x v="1"/>
  </r>
  <r>
    <n v="3054"/>
    <n v="25000"/>
    <x v="1"/>
    <x v="1"/>
    <x v="0"/>
    <x v="1"/>
    <n v="0"/>
    <n v="1"/>
    <x v="4"/>
    <x v="0"/>
    <x v="1"/>
  </r>
  <r>
    <n v="3056"/>
    <n v="50000"/>
    <x v="1"/>
    <x v="1"/>
    <x v="0"/>
    <x v="1"/>
    <n v="0"/>
    <n v="1"/>
    <x v="4"/>
    <x v="0"/>
    <x v="1"/>
  </r>
  <r>
    <n v="3062"/>
    <n v="50000"/>
    <x v="1"/>
    <x v="1"/>
    <x v="0"/>
    <x v="1"/>
    <n v="0"/>
    <n v="1"/>
    <x v="4"/>
    <x v="1"/>
    <x v="1"/>
  </r>
  <r>
    <n v="3064"/>
    <n v="23809.523809999999"/>
    <x v="1"/>
    <x v="1"/>
    <x v="0"/>
    <x v="0"/>
    <n v="0"/>
    <n v="1"/>
    <x v="4"/>
    <x v="0"/>
    <x v="1"/>
  </r>
  <r>
    <n v="3066"/>
    <n v="50000"/>
    <x v="1"/>
    <x v="1"/>
    <x v="0"/>
    <x v="1"/>
    <n v="0"/>
    <n v="1"/>
    <x v="4"/>
    <x v="0"/>
    <x v="1"/>
  </r>
  <r>
    <n v="3096"/>
    <n v="140000"/>
    <x v="1"/>
    <x v="1"/>
    <x v="0"/>
    <x v="0"/>
    <n v="1"/>
    <n v="0"/>
    <x v="3"/>
    <x v="0"/>
    <x v="1"/>
  </r>
  <r>
    <n v="3101"/>
    <n v="150000"/>
    <x v="1"/>
    <x v="1"/>
    <x v="1"/>
    <x v="0"/>
    <n v="1"/>
    <n v="0"/>
    <x v="3"/>
    <x v="1"/>
    <x v="1"/>
  </r>
  <r>
    <n v="3105"/>
    <n v="150000"/>
    <x v="1"/>
    <x v="1"/>
    <x v="0"/>
    <x v="0"/>
    <n v="1"/>
    <n v="0"/>
    <x v="3"/>
    <x v="0"/>
    <x v="1"/>
  </r>
  <r>
    <n v="3106"/>
    <n v="150000"/>
    <x v="1"/>
    <x v="1"/>
    <x v="1"/>
    <x v="0"/>
    <n v="1"/>
    <n v="0"/>
    <x v="3"/>
    <x v="0"/>
    <x v="1"/>
  </r>
  <r>
    <n v="3108"/>
    <n v="125000"/>
    <x v="1"/>
    <x v="1"/>
    <x v="0"/>
    <x v="0"/>
    <n v="1"/>
    <n v="0"/>
    <x v="3"/>
    <x v="0"/>
    <x v="1"/>
  </r>
  <r>
    <n v="3110"/>
    <n v="-31250"/>
    <x v="1"/>
    <x v="1"/>
    <x v="1"/>
    <x v="0"/>
    <n v="1"/>
    <n v="0"/>
    <x v="3"/>
    <x v="0"/>
    <x v="1"/>
  </r>
  <r>
    <n v="3114"/>
    <n v="125000"/>
    <x v="1"/>
    <x v="1"/>
    <x v="0"/>
    <x v="0"/>
    <n v="1"/>
    <n v="0"/>
    <x v="3"/>
    <x v="0"/>
    <x v="1"/>
  </r>
  <r>
    <n v="3117"/>
    <n v="0"/>
    <x v="1"/>
    <x v="1"/>
    <x v="1"/>
    <x v="0"/>
    <n v="1"/>
    <n v="0"/>
    <x v="4"/>
    <x v="0"/>
    <x v="1"/>
  </r>
  <r>
    <n v="3121"/>
    <n v="-4166.6666670000004"/>
    <x v="1"/>
    <x v="1"/>
    <x v="0"/>
    <x v="0"/>
    <n v="0"/>
    <n v="1"/>
    <x v="4"/>
    <x v="1"/>
    <x v="1"/>
  </r>
  <r>
    <n v="3135"/>
    <n v="40909.090909999999"/>
    <x v="1"/>
    <x v="1"/>
    <x v="0"/>
    <x v="0"/>
    <n v="0"/>
    <n v="1"/>
    <x v="4"/>
    <x v="0"/>
    <x v="0"/>
  </r>
  <r>
    <n v="3139"/>
    <n v="42307.692309999999"/>
    <x v="1"/>
    <x v="1"/>
    <x v="0"/>
    <x v="0"/>
    <n v="0"/>
    <n v="1"/>
    <x v="4"/>
    <x v="0"/>
    <x v="0"/>
  </r>
  <r>
    <n v="3146"/>
    <n v="18333.333330000001"/>
    <x v="0"/>
    <x v="0"/>
    <x v="0"/>
    <x v="0"/>
    <n v="0"/>
    <n v="1"/>
    <x v="4"/>
    <x v="0"/>
    <x v="0"/>
  </r>
  <r>
    <n v="3148"/>
    <n v="125000"/>
    <x v="1"/>
    <x v="1"/>
    <x v="0"/>
    <x v="0"/>
    <n v="0"/>
    <n v="1"/>
    <x v="4"/>
    <x v="1"/>
    <x v="0"/>
  </r>
  <r>
    <n v="3150"/>
    <n v="35714.285709999996"/>
    <x v="1"/>
    <x v="1"/>
    <x v="0"/>
    <x v="0"/>
    <n v="0"/>
    <n v="1"/>
    <x v="4"/>
    <x v="0"/>
    <x v="0"/>
  </r>
  <r>
    <n v="3239"/>
    <n v="15000"/>
    <x v="1"/>
    <x v="1"/>
    <x v="0"/>
    <x v="1"/>
    <n v="0"/>
    <n v="1"/>
    <x v="4"/>
    <x v="0"/>
    <x v="1"/>
  </r>
  <r>
    <n v="3278"/>
    <n v="75000"/>
    <x v="1"/>
    <x v="1"/>
    <x v="1"/>
    <x v="0"/>
    <n v="1"/>
    <n v="0"/>
    <x v="3"/>
    <x v="0"/>
    <x v="1"/>
  </r>
  <r>
    <n v="3282"/>
    <n v="-12500"/>
    <x v="1"/>
    <x v="1"/>
    <x v="1"/>
    <x v="0"/>
    <n v="1"/>
    <n v="0"/>
    <x v="3"/>
    <x v="0"/>
    <x v="1"/>
  </r>
  <r>
    <n v="3283"/>
    <n v="-5000"/>
    <x v="1"/>
    <x v="1"/>
    <x v="1"/>
    <x v="0"/>
    <n v="1"/>
    <n v="0"/>
    <x v="3"/>
    <x v="0"/>
    <x v="0"/>
  </r>
  <r>
    <n v="3285"/>
    <n v="-5000"/>
    <x v="1"/>
    <x v="1"/>
    <x v="0"/>
    <x v="0"/>
    <n v="1"/>
    <n v="0"/>
    <x v="3"/>
    <x v="1"/>
    <x v="1"/>
  </r>
  <r>
    <n v="3286"/>
    <n v="-5000"/>
    <x v="1"/>
    <x v="1"/>
    <x v="0"/>
    <x v="0"/>
    <n v="1"/>
    <n v="0"/>
    <x v="3"/>
    <x v="0"/>
    <x v="1"/>
  </r>
  <r>
    <n v="3287"/>
    <n v="-62500"/>
    <x v="1"/>
    <x v="1"/>
    <x v="0"/>
    <x v="0"/>
    <n v="1"/>
    <n v="0"/>
    <x v="3"/>
    <x v="0"/>
    <x v="1"/>
  </r>
  <r>
    <n v="3360"/>
    <n v="4761.9047620000001"/>
    <x v="1"/>
    <x v="1"/>
    <x v="0"/>
    <x v="0"/>
    <n v="0"/>
    <n v="1"/>
    <x v="4"/>
    <x v="0"/>
    <x v="1"/>
  </r>
  <r>
    <n v="3361"/>
    <n v="-8064.5161289999996"/>
    <x v="1"/>
    <x v="1"/>
    <x v="0"/>
    <x v="0"/>
    <n v="0"/>
    <n v="1"/>
    <x v="4"/>
    <x v="0"/>
    <x v="1"/>
  </r>
  <r>
    <n v="3363"/>
    <n v="8333.3333330000005"/>
    <x v="0"/>
    <x v="0"/>
    <x v="0"/>
    <x v="0"/>
    <n v="0"/>
    <n v="1"/>
    <x v="4"/>
    <x v="0"/>
    <x v="1"/>
  </r>
  <r>
    <n v="3365"/>
    <n v="-6521.7391299999999"/>
    <x v="1"/>
    <x v="1"/>
    <x v="0"/>
    <x v="0"/>
    <n v="0"/>
    <n v="1"/>
    <x v="4"/>
    <x v="0"/>
    <x v="1"/>
  </r>
  <r>
    <n v="3373"/>
    <n v="66666.666670000006"/>
    <x v="1"/>
    <x v="1"/>
    <x v="0"/>
    <x v="0"/>
    <n v="0"/>
    <n v="1"/>
    <x v="4"/>
    <x v="0"/>
    <x v="0"/>
  </r>
  <r>
    <n v="3376"/>
    <n v="50000"/>
    <x v="1"/>
    <x v="1"/>
    <x v="1"/>
    <x v="1"/>
    <n v="1"/>
    <n v="0"/>
    <x v="4"/>
    <x v="0"/>
    <x v="1"/>
  </r>
  <r>
    <n v="3419"/>
    <n v="4000"/>
    <x v="1"/>
    <x v="1"/>
    <x v="0"/>
    <x v="0"/>
    <n v="0"/>
    <n v="1"/>
    <x v="4"/>
    <x v="0"/>
    <x v="1"/>
  </r>
  <r>
    <n v="3464"/>
    <n v="-11904.7619"/>
    <x v="1"/>
    <x v="1"/>
    <x v="1"/>
    <x v="0"/>
    <n v="0"/>
    <n v="1"/>
    <x v="4"/>
    <x v="0"/>
    <x v="1"/>
  </r>
  <r>
    <n v="3465"/>
    <n v="33333.333330000001"/>
    <x v="1"/>
    <x v="1"/>
    <x v="0"/>
    <x v="0"/>
    <n v="0"/>
    <n v="1"/>
    <x v="4"/>
    <x v="0"/>
    <x v="1"/>
  </r>
  <r>
    <n v="3480"/>
    <n v="10000"/>
    <x v="1"/>
    <x v="1"/>
    <x v="0"/>
    <x v="0"/>
    <n v="0"/>
    <n v="1"/>
    <x v="4"/>
    <x v="0"/>
    <x v="1"/>
  </r>
  <r>
    <n v="3576"/>
    <n v="34615.384619999997"/>
    <x v="1"/>
    <x v="1"/>
    <x v="0"/>
    <x v="0"/>
    <n v="0"/>
    <n v="1"/>
    <x v="4"/>
    <x v="0"/>
    <x v="0"/>
  </r>
  <r>
    <n v="3615"/>
    <n v="100000"/>
    <x v="1"/>
    <x v="1"/>
    <x v="0"/>
    <x v="0"/>
    <n v="0"/>
    <n v="1"/>
    <x v="1"/>
    <x v="0"/>
    <x v="1"/>
  </r>
  <r>
    <n v="3619"/>
    <n v="82857.142860000007"/>
    <x v="1"/>
    <x v="1"/>
    <x v="0"/>
    <x v="0"/>
    <n v="0"/>
    <n v="1"/>
    <x v="1"/>
    <x v="0"/>
    <x v="0"/>
  </r>
  <r>
    <n v="3620"/>
    <n v="145000"/>
    <x v="1"/>
    <x v="1"/>
    <x v="0"/>
    <x v="0"/>
    <n v="0"/>
    <n v="1"/>
    <x v="1"/>
    <x v="1"/>
    <x v="0"/>
  </r>
  <r>
    <n v="3621"/>
    <n v="50000"/>
    <x v="1"/>
    <x v="1"/>
    <x v="1"/>
    <x v="0"/>
    <n v="0"/>
    <n v="1"/>
    <x v="1"/>
    <x v="0"/>
    <x v="1"/>
  </r>
  <r>
    <n v="3625"/>
    <n v="66666.666670000006"/>
    <x v="1"/>
    <x v="1"/>
    <x v="0"/>
    <x v="0"/>
    <n v="0"/>
    <n v="1"/>
    <x v="1"/>
    <x v="0"/>
    <x v="1"/>
  </r>
  <r>
    <n v="3626"/>
    <n v="100000"/>
    <x v="1"/>
    <x v="1"/>
    <x v="0"/>
    <x v="0"/>
    <n v="0"/>
    <n v="1"/>
    <x v="1"/>
    <x v="0"/>
    <x v="0"/>
  </r>
  <r>
    <n v="3627"/>
    <n v="136363.63639999999"/>
    <x v="0"/>
    <x v="0"/>
    <x v="0"/>
    <x v="0"/>
    <n v="0"/>
    <n v="1"/>
    <x v="1"/>
    <x v="0"/>
    <x v="1"/>
  </r>
  <r>
    <n v="3631"/>
    <n v="-5714.2857139999996"/>
    <x v="1"/>
    <x v="1"/>
    <x v="0"/>
    <x v="0"/>
    <n v="0"/>
    <n v="1"/>
    <x v="1"/>
    <x v="0"/>
    <x v="0"/>
  </r>
  <r>
    <n v="3634"/>
    <n v="111111.11109999999"/>
    <x v="1"/>
    <x v="1"/>
    <x v="0"/>
    <x v="0"/>
    <n v="0"/>
    <n v="1"/>
    <x v="1"/>
    <x v="0"/>
    <x v="0"/>
  </r>
  <r>
    <n v="3635"/>
    <n v="100000"/>
    <x v="1"/>
    <x v="1"/>
    <x v="0"/>
    <x v="0"/>
    <n v="0"/>
    <n v="1"/>
    <x v="1"/>
    <x v="0"/>
    <x v="1"/>
  </r>
  <r>
    <n v="3636"/>
    <n v="136363.63639999999"/>
    <x v="1"/>
    <x v="1"/>
    <x v="0"/>
    <x v="0"/>
    <n v="0"/>
    <n v="1"/>
    <x v="1"/>
    <x v="0"/>
    <x v="1"/>
  </r>
  <r>
    <n v="3637"/>
    <n v="95000"/>
    <x v="1"/>
    <x v="1"/>
    <x v="0"/>
    <x v="0"/>
    <n v="0"/>
    <n v="1"/>
    <x v="1"/>
    <x v="0"/>
    <x v="0"/>
  </r>
  <r>
    <n v="3641"/>
    <n v="100000"/>
    <x v="0"/>
    <x v="0"/>
    <x v="0"/>
    <x v="0"/>
    <n v="0"/>
    <n v="1"/>
    <x v="1"/>
    <x v="0"/>
    <x v="0"/>
  </r>
  <r>
    <n v="3647"/>
    <n v="100000"/>
    <x v="1"/>
    <x v="1"/>
    <x v="0"/>
    <x v="0"/>
    <n v="0"/>
    <n v="1"/>
    <x v="1"/>
    <x v="0"/>
    <x v="1"/>
  </r>
  <r>
    <n v="3649"/>
    <n v="25000"/>
    <x v="1"/>
    <x v="1"/>
    <x v="0"/>
    <x v="0"/>
    <n v="0"/>
    <n v="1"/>
    <x v="1"/>
    <x v="0"/>
    <x v="1"/>
  </r>
  <r>
    <n v="3652"/>
    <n v="83333.333329999994"/>
    <x v="1"/>
    <x v="1"/>
    <x v="0"/>
    <x v="0"/>
    <n v="0"/>
    <n v="1"/>
    <x v="1"/>
    <x v="0"/>
    <x v="1"/>
  </r>
  <r>
    <n v="3653"/>
    <n v="36904.761899999998"/>
    <x v="1"/>
    <x v="1"/>
    <x v="0"/>
    <x v="0"/>
    <n v="0"/>
    <n v="1"/>
    <x v="1"/>
    <x v="0"/>
    <x v="1"/>
  </r>
  <r>
    <n v="3654"/>
    <n v="100000"/>
    <x v="0"/>
    <x v="0"/>
    <x v="0"/>
    <x v="0"/>
    <n v="0"/>
    <n v="1"/>
    <x v="1"/>
    <x v="0"/>
    <x v="1"/>
  </r>
  <r>
    <n v="3656"/>
    <n v="40000"/>
    <x v="1"/>
    <x v="1"/>
    <x v="0"/>
    <x v="0"/>
    <n v="0"/>
    <n v="1"/>
    <x v="1"/>
    <x v="0"/>
    <x v="1"/>
  </r>
  <r>
    <n v="3661"/>
    <n v="75000"/>
    <x v="1"/>
    <x v="1"/>
    <x v="0"/>
    <x v="0"/>
    <n v="0"/>
    <n v="1"/>
    <x v="1"/>
    <x v="0"/>
    <x v="1"/>
  </r>
  <r>
    <n v="3672"/>
    <n v="70093.457939999993"/>
    <x v="1"/>
    <x v="1"/>
    <x v="0"/>
    <x v="0"/>
    <n v="0"/>
    <n v="1"/>
    <x v="1"/>
    <x v="0"/>
    <x v="1"/>
  </r>
  <r>
    <n v="3673"/>
    <n v="32258.06452"/>
    <x v="1"/>
    <x v="1"/>
    <x v="0"/>
    <x v="1"/>
    <n v="0"/>
    <n v="1"/>
    <x v="1"/>
    <x v="0"/>
    <x v="1"/>
  </r>
  <r>
    <n v="3674"/>
    <n v="83333.333329999994"/>
    <x v="1"/>
    <x v="1"/>
    <x v="0"/>
    <x v="0"/>
    <n v="0"/>
    <n v="1"/>
    <x v="1"/>
    <x v="0"/>
    <x v="1"/>
  </r>
  <r>
    <n v="3677"/>
    <n v="50000"/>
    <x v="1"/>
    <x v="1"/>
    <x v="0"/>
    <x v="0"/>
    <n v="0"/>
    <n v="1"/>
    <x v="1"/>
    <x v="0"/>
    <x v="1"/>
  </r>
  <r>
    <n v="3681"/>
    <n v="50000"/>
    <x v="0"/>
    <x v="0"/>
    <x v="0"/>
    <x v="0"/>
    <n v="0"/>
    <n v="1"/>
    <x v="1"/>
    <x v="1"/>
    <x v="1"/>
  </r>
  <r>
    <n v="3694"/>
    <n v="150000"/>
    <x v="0"/>
    <x v="0"/>
    <x v="0"/>
    <x v="0"/>
    <n v="0"/>
    <n v="1"/>
    <x v="1"/>
    <x v="0"/>
    <x v="1"/>
  </r>
  <r>
    <n v="3695"/>
    <n v="100000"/>
    <x v="1"/>
    <x v="1"/>
    <x v="0"/>
    <x v="0"/>
    <n v="0"/>
    <n v="1"/>
    <x v="1"/>
    <x v="0"/>
    <x v="1"/>
  </r>
  <r>
    <n v="3696"/>
    <n v="100000"/>
    <x v="0"/>
    <x v="0"/>
    <x v="0"/>
    <x v="0"/>
    <n v="0"/>
    <n v="1"/>
    <x v="1"/>
    <x v="0"/>
    <x v="1"/>
  </r>
  <r>
    <n v="3697"/>
    <n v="68493.150680000006"/>
    <x v="0"/>
    <x v="0"/>
    <x v="0"/>
    <x v="0"/>
    <n v="0"/>
    <n v="1"/>
    <x v="1"/>
    <x v="0"/>
    <x v="1"/>
  </r>
  <r>
    <n v="3699"/>
    <n v="100000"/>
    <x v="1"/>
    <x v="1"/>
    <x v="0"/>
    <x v="0"/>
    <n v="0"/>
    <n v="1"/>
    <x v="1"/>
    <x v="0"/>
    <x v="1"/>
  </r>
  <r>
    <n v="3704"/>
    <n v="136363.63639999999"/>
    <x v="1"/>
    <x v="1"/>
    <x v="0"/>
    <x v="0"/>
    <n v="0"/>
    <n v="1"/>
    <x v="1"/>
    <x v="0"/>
    <x v="1"/>
  </r>
  <r>
    <n v="3713"/>
    <n v="5000"/>
    <x v="1"/>
    <x v="1"/>
    <x v="0"/>
    <x v="0"/>
    <n v="0"/>
    <n v="1"/>
    <x v="2"/>
    <x v="1"/>
    <x v="0"/>
  </r>
  <r>
    <n v="3714"/>
    <n v="-40000"/>
    <x v="1"/>
    <x v="1"/>
    <x v="1"/>
    <x v="0"/>
    <n v="1"/>
    <n v="0"/>
    <x v="2"/>
    <x v="1"/>
    <x v="0"/>
  </r>
  <r>
    <n v="3715"/>
    <n v="30000"/>
    <x v="1"/>
    <x v="1"/>
    <x v="1"/>
    <x v="0"/>
    <n v="0"/>
    <n v="1"/>
    <x v="2"/>
    <x v="0"/>
    <x v="0"/>
  </r>
  <r>
    <n v="3720"/>
    <n v="3750"/>
    <x v="1"/>
    <x v="1"/>
    <x v="1"/>
    <x v="0"/>
    <n v="1"/>
    <n v="0"/>
    <x v="2"/>
    <x v="0"/>
    <x v="1"/>
  </r>
  <r>
    <n v="3721"/>
    <n v="25000"/>
    <x v="1"/>
    <x v="1"/>
    <x v="0"/>
    <x v="0"/>
    <n v="1"/>
    <n v="0"/>
    <x v="2"/>
    <x v="0"/>
    <x v="1"/>
  </r>
  <r>
    <n v="3722"/>
    <n v="7500"/>
    <x v="1"/>
    <x v="1"/>
    <x v="0"/>
    <x v="0"/>
    <n v="1"/>
    <n v="0"/>
    <x v="2"/>
    <x v="0"/>
    <x v="1"/>
  </r>
  <r>
    <n v="3724"/>
    <n v="15000"/>
    <x v="1"/>
    <x v="1"/>
    <x v="0"/>
    <x v="0"/>
    <n v="1"/>
    <n v="0"/>
    <x v="2"/>
    <x v="0"/>
    <x v="1"/>
  </r>
  <r>
    <n v="3725"/>
    <n v="15000"/>
    <x v="1"/>
    <x v="1"/>
    <x v="0"/>
    <x v="0"/>
    <n v="1"/>
    <n v="0"/>
    <x v="2"/>
    <x v="0"/>
    <x v="1"/>
  </r>
  <r>
    <n v="3729"/>
    <n v="66666.666670000006"/>
    <x v="1"/>
    <x v="1"/>
    <x v="0"/>
    <x v="0"/>
    <n v="1"/>
    <n v="0"/>
    <x v="2"/>
    <x v="0"/>
    <x v="1"/>
  </r>
  <r>
    <n v="3730"/>
    <n v="1219.512195"/>
    <x v="1"/>
    <x v="1"/>
    <x v="0"/>
    <x v="1"/>
    <n v="1"/>
    <n v="0"/>
    <x v="2"/>
    <x v="1"/>
    <x v="1"/>
  </r>
  <r>
    <n v="3731"/>
    <n v="15000"/>
    <x v="1"/>
    <x v="1"/>
    <x v="0"/>
    <x v="0"/>
    <n v="1"/>
    <n v="0"/>
    <x v="2"/>
    <x v="0"/>
    <x v="1"/>
  </r>
  <r>
    <n v="3733"/>
    <n v="83333.333329999994"/>
    <x v="1"/>
    <x v="1"/>
    <x v="0"/>
    <x v="0"/>
    <n v="0"/>
    <n v="1"/>
    <x v="1"/>
    <x v="0"/>
    <x v="1"/>
  </r>
  <r>
    <n v="3735"/>
    <n v="150000"/>
    <x v="1"/>
    <x v="1"/>
    <x v="0"/>
    <x v="0"/>
    <n v="0"/>
    <n v="1"/>
    <x v="1"/>
    <x v="0"/>
    <x v="1"/>
  </r>
  <r>
    <n v="3737"/>
    <n v="100000"/>
    <x v="1"/>
    <x v="1"/>
    <x v="0"/>
    <x v="0"/>
    <n v="0"/>
    <n v="1"/>
    <x v="1"/>
    <x v="0"/>
    <x v="1"/>
  </r>
  <r>
    <n v="3739"/>
    <n v="100000"/>
    <x v="1"/>
    <x v="1"/>
    <x v="0"/>
    <x v="0"/>
    <n v="0"/>
    <n v="1"/>
    <x v="1"/>
    <x v="0"/>
    <x v="0"/>
  </r>
  <r>
    <n v="3740"/>
    <n v="100000"/>
    <x v="1"/>
    <x v="1"/>
    <x v="0"/>
    <x v="0"/>
    <n v="0"/>
    <n v="1"/>
    <x v="1"/>
    <x v="0"/>
    <x v="1"/>
  </r>
  <r>
    <n v="3742"/>
    <n v="150000"/>
    <x v="1"/>
    <x v="1"/>
    <x v="0"/>
    <x v="0"/>
    <n v="0"/>
    <n v="1"/>
    <x v="1"/>
    <x v="1"/>
    <x v="1"/>
  </r>
  <r>
    <n v="3748"/>
    <n v="143884.8921"/>
    <x v="1"/>
    <x v="1"/>
    <x v="0"/>
    <x v="0"/>
    <n v="0"/>
    <n v="1"/>
    <x v="1"/>
    <x v="0"/>
    <x v="1"/>
  </r>
  <r>
    <n v="3755"/>
    <n v="12500"/>
    <x v="1"/>
    <x v="1"/>
    <x v="0"/>
    <x v="0"/>
    <n v="1"/>
    <n v="0"/>
    <x v="0"/>
    <x v="0"/>
    <x v="1"/>
  </r>
  <r>
    <n v="3757"/>
    <n v="16666.666669999999"/>
    <x v="1"/>
    <x v="1"/>
    <x v="0"/>
    <x v="0"/>
    <n v="1"/>
    <n v="0"/>
    <x v="0"/>
    <x v="0"/>
    <x v="1"/>
  </r>
  <r>
    <n v="3763"/>
    <n v="30000"/>
    <x v="1"/>
    <x v="1"/>
    <x v="0"/>
    <x v="0"/>
    <n v="1"/>
    <n v="0"/>
    <x v="2"/>
    <x v="0"/>
    <x v="0"/>
  </r>
  <r>
    <n v="3764"/>
    <n v="16666.666669999999"/>
    <x v="1"/>
    <x v="1"/>
    <x v="1"/>
    <x v="0"/>
    <n v="1"/>
    <n v="0"/>
    <x v="2"/>
    <x v="0"/>
    <x v="1"/>
  </r>
  <r>
    <n v="3765"/>
    <n v="5000"/>
    <x v="1"/>
    <x v="1"/>
    <x v="0"/>
    <x v="0"/>
    <n v="1"/>
    <n v="0"/>
    <x v="2"/>
    <x v="0"/>
    <x v="1"/>
  </r>
  <r>
    <n v="3767"/>
    <n v="7500"/>
    <x v="1"/>
    <x v="1"/>
    <x v="1"/>
    <x v="0"/>
    <n v="1"/>
    <n v="0"/>
    <x v="2"/>
    <x v="0"/>
    <x v="1"/>
  </r>
  <r>
    <n v="3770"/>
    <n v="6250"/>
    <x v="1"/>
    <x v="1"/>
    <x v="1"/>
    <x v="0"/>
    <n v="1"/>
    <n v="0"/>
    <x v="2"/>
    <x v="1"/>
    <x v="1"/>
  </r>
  <r>
    <n v="3772"/>
    <n v="6250"/>
    <x v="0"/>
    <x v="0"/>
    <x v="0"/>
    <x v="0"/>
    <n v="1"/>
    <n v="0"/>
    <x v="2"/>
    <x v="0"/>
    <x v="1"/>
  </r>
  <r>
    <n v="3775"/>
    <n v="6000"/>
    <x v="1"/>
    <x v="1"/>
    <x v="0"/>
    <x v="0"/>
    <n v="1"/>
    <n v="0"/>
    <x v="2"/>
    <x v="0"/>
    <x v="1"/>
  </r>
  <r>
    <n v="3776"/>
    <n v="22727.272730000001"/>
    <x v="1"/>
    <x v="1"/>
    <x v="0"/>
    <x v="1"/>
    <n v="1"/>
    <n v="0"/>
    <x v="2"/>
    <x v="0"/>
    <x v="1"/>
  </r>
  <r>
    <n v="3777"/>
    <n v="15000"/>
    <x v="1"/>
    <x v="1"/>
    <x v="0"/>
    <x v="0"/>
    <n v="1"/>
    <n v="0"/>
    <x v="2"/>
    <x v="1"/>
    <x v="1"/>
  </r>
  <r>
    <n v="3779"/>
    <n v="10000"/>
    <x v="1"/>
    <x v="1"/>
    <x v="0"/>
    <x v="0"/>
    <n v="1"/>
    <n v="0"/>
    <x v="2"/>
    <x v="0"/>
    <x v="1"/>
  </r>
  <r>
    <n v="3781"/>
    <n v="150000"/>
    <x v="1"/>
    <x v="1"/>
    <x v="0"/>
    <x v="0"/>
    <n v="0"/>
    <n v="1"/>
    <x v="1"/>
    <x v="0"/>
    <x v="1"/>
  </r>
  <r>
    <n v="3787"/>
    <n v="75000"/>
    <x v="1"/>
    <x v="1"/>
    <x v="0"/>
    <x v="0"/>
    <n v="0"/>
    <n v="1"/>
    <x v="1"/>
    <x v="0"/>
    <x v="1"/>
  </r>
  <r>
    <n v="3792"/>
    <n v="87719.298250000007"/>
    <x v="1"/>
    <x v="1"/>
    <x v="0"/>
    <x v="0"/>
    <n v="0"/>
    <n v="1"/>
    <x v="1"/>
    <x v="0"/>
    <x v="0"/>
  </r>
  <r>
    <n v="3804"/>
    <n v="150000"/>
    <x v="1"/>
    <x v="1"/>
    <x v="0"/>
    <x v="0"/>
    <n v="0"/>
    <n v="1"/>
    <x v="1"/>
    <x v="0"/>
    <x v="1"/>
  </r>
  <r>
    <n v="3813"/>
    <n v="45454.545449999998"/>
    <x v="1"/>
    <x v="1"/>
    <x v="0"/>
    <x v="0"/>
    <n v="0"/>
    <n v="1"/>
    <x v="1"/>
    <x v="0"/>
    <x v="1"/>
  </r>
  <r>
    <n v="3814"/>
    <n v="31250"/>
    <x v="1"/>
    <x v="1"/>
    <x v="0"/>
    <x v="0"/>
    <n v="0"/>
    <n v="1"/>
    <x v="1"/>
    <x v="0"/>
    <x v="1"/>
  </r>
  <r>
    <n v="3815"/>
    <n v="33333.333330000001"/>
    <x v="1"/>
    <x v="1"/>
    <x v="0"/>
    <x v="0"/>
    <n v="0"/>
    <n v="1"/>
    <x v="1"/>
    <x v="0"/>
    <x v="1"/>
  </r>
  <r>
    <n v="3819"/>
    <n v="150000"/>
    <x v="1"/>
    <x v="1"/>
    <x v="0"/>
    <x v="0"/>
    <n v="0"/>
    <n v="1"/>
    <x v="1"/>
    <x v="0"/>
    <x v="1"/>
  </r>
  <r>
    <n v="3829"/>
    <n v="99264.705879999994"/>
    <x v="1"/>
    <x v="1"/>
    <x v="0"/>
    <x v="0"/>
    <n v="0"/>
    <n v="1"/>
    <x v="1"/>
    <x v="0"/>
    <x v="0"/>
  </r>
  <r>
    <n v="3835"/>
    <n v="100000"/>
    <x v="1"/>
    <x v="1"/>
    <x v="0"/>
    <x v="0"/>
    <n v="0"/>
    <n v="1"/>
    <x v="1"/>
    <x v="0"/>
    <x v="0"/>
  </r>
  <r>
    <n v="3843"/>
    <n v="100000"/>
    <x v="1"/>
    <x v="1"/>
    <x v="0"/>
    <x v="0"/>
    <n v="0"/>
    <n v="1"/>
    <x v="1"/>
    <x v="0"/>
    <x v="1"/>
  </r>
  <r>
    <n v="3844"/>
    <n v="38834.951459999997"/>
    <x v="1"/>
    <x v="1"/>
    <x v="0"/>
    <x v="0"/>
    <n v="0"/>
    <n v="1"/>
    <x v="1"/>
    <x v="0"/>
    <x v="1"/>
  </r>
  <r>
    <n v="3845"/>
    <n v="44052.863440000001"/>
    <x v="1"/>
    <x v="1"/>
    <x v="0"/>
    <x v="0"/>
    <n v="0"/>
    <n v="1"/>
    <x v="1"/>
    <x v="0"/>
    <x v="1"/>
  </r>
  <r>
    <n v="3861"/>
    <n v="32154.340840000001"/>
    <x v="1"/>
    <x v="1"/>
    <x v="1"/>
    <x v="0"/>
    <n v="1"/>
    <n v="0"/>
    <x v="3"/>
    <x v="0"/>
    <x v="1"/>
  </r>
  <r>
    <n v="3864"/>
    <n v="9500"/>
    <x v="1"/>
    <x v="1"/>
    <x v="0"/>
    <x v="0"/>
    <n v="1"/>
    <n v="0"/>
    <x v="3"/>
    <x v="0"/>
    <x v="1"/>
  </r>
  <r>
    <n v="3870"/>
    <n v="100000"/>
    <x v="1"/>
    <x v="1"/>
    <x v="0"/>
    <x v="0"/>
    <n v="1"/>
    <n v="0"/>
    <x v="3"/>
    <x v="0"/>
    <x v="1"/>
  </r>
  <r>
    <n v="3878"/>
    <n v="100000"/>
    <x v="0"/>
    <x v="0"/>
    <x v="0"/>
    <x v="0"/>
    <n v="0"/>
    <n v="1"/>
    <x v="1"/>
    <x v="0"/>
    <x v="1"/>
  </r>
  <r>
    <n v="3881"/>
    <n v="83333.333329999994"/>
    <x v="1"/>
    <x v="1"/>
    <x v="0"/>
    <x v="0"/>
    <n v="0"/>
    <n v="1"/>
    <x v="1"/>
    <x v="0"/>
    <x v="1"/>
  </r>
  <r>
    <n v="3888"/>
    <n v="83333.333329999994"/>
    <x v="1"/>
    <x v="1"/>
    <x v="0"/>
    <x v="0"/>
    <n v="0"/>
    <n v="1"/>
    <x v="1"/>
    <x v="0"/>
    <x v="0"/>
  </r>
  <r>
    <n v="3889"/>
    <n v="100000"/>
    <x v="1"/>
    <x v="1"/>
    <x v="0"/>
    <x v="0"/>
    <n v="0"/>
    <n v="1"/>
    <x v="1"/>
    <x v="0"/>
    <x v="0"/>
  </r>
  <r>
    <n v="3890"/>
    <n v="50000"/>
    <x v="1"/>
    <x v="1"/>
    <x v="0"/>
    <x v="0"/>
    <n v="0"/>
    <n v="1"/>
    <x v="1"/>
    <x v="0"/>
    <x v="0"/>
  </r>
  <r>
    <n v="3893"/>
    <n v="100000"/>
    <x v="1"/>
    <x v="1"/>
    <x v="0"/>
    <x v="0"/>
    <n v="0"/>
    <n v="1"/>
    <x v="1"/>
    <x v="0"/>
    <x v="0"/>
  </r>
  <r>
    <n v="3897"/>
    <n v="92307.692309999999"/>
    <x v="1"/>
    <x v="1"/>
    <x v="0"/>
    <x v="0"/>
    <n v="0"/>
    <n v="1"/>
    <x v="1"/>
    <x v="0"/>
    <x v="1"/>
  </r>
  <r>
    <n v="3904"/>
    <n v="21413.333330000001"/>
    <x v="1"/>
    <x v="1"/>
    <x v="1"/>
    <x v="0"/>
    <n v="1"/>
    <n v="0"/>
    <x v="3"/>
    <x v="0"/>
    <x v="0"/>
  </r>
  <r>
    <n v="3907"/>
    <n v="72508.5"/>
    <x v="0"/>
    <x v="0"/>
    <x v="1"/>
    <x v="0"/>
    <n v="1"/>
    <n v="0"/>
    <x v="3"/>
    <x v="0"/>
    <x v="0"/>
  </r>
  <r>
    <n v="3909"/>
    <n v="25000"/>
    <x v="1"/>
    <x v="1"/>
    <x v="0"/>
    <x v="0"/>
    <n v="1"/>
    <n v="0"/>
    <x v="3"/>
    <x v="0"/>
    <x v="1"/>
  </r>
  <r>
    <n v="3914"/>
    <n v="75000"/>
    <x v="1"/>
    <x v="1"/>
    <x v="0"/>
    <x v="0"/>
    <n v="1"/>
    <n v="0"/>
    <x v="3"/>
    <x v="0"/>
    <x v="1"/>
  </r>
  <r>
    <n v="3915"/>
    <n v="18264.840179999999"/>
    <x v="1"/>
    <x v="1"/>
    <x v="0"/>
    <x v="0"/>
    <n v="1"/>
    <n v="0"/>
    <x v="3"/>
    <x v="0"/>
    <x v="1"/>
  </r>
  <r>
    <n v="3918"/>
    <n v="136363.63639999999"/>
    <x v="1"/>
    <x v="1"/>
    <x v="0"/>
    <x v="0"/>
    <n v="0"/>
    <n v="1"/>
    <x v="1"/>
    <x v="0"/>
    <x v="1"/>
  </r>
  <r>
    <n v="3927"/>
    <n v="66666.666670000006"/>
    <x v="1"/>
    <x v="1"/>
    <x v="0"/>
    <x v="0"/>
    <n v="0"/>
    <n v="1"/>
    <x v="1"/>
    <x v="0"/>
    <x v="1"/>
  </r>
  <r>
    <n v="3933"/>
    <n v="150000"/>
    <x v="1"/>
    <x v="1"/>
    <x v="0"/>
    <x v="0"/>
    <n v="0"/>
    <n v="1"/>
    <x v="1"/>
    <x v="0"/>
    <x v="1"/>
  </r>
  <r>
    <n v="3939"/>
    <n v="114833.3333"/>
    <x v="1"/>
    <x v="1"/>
    <x v="0"/>
    <x v="0"/>
    <n v="0"/>
    <n v="1"/>
    <x v="1"/>
    <x v="1"/>
    <x v="0"/>
  </r>
  <r>
    <n v="3945"/>
    <n v="50000"/>
    <x v="1"/>
    <x v="1"/>
    <x v="0"/>
    <x v="0"/>
    <n v="0"/>
    <n v="1"/>
    <x v="1"/>
    <x v="0"/>
    <x v="0"/>
  </r>
  <r>
    <n v="3947"/>
    <n v="50000"/>
    <x v="1"/>
    <x v="1"/>
    <x v="0"/>
    <x v="0"/>
    <n v="0"/>
    <n v="1"/>
    <x v="1"/>
    <x v="0"/>
    <x v="0"/>
  </r>
  <r>
    <n v="3948"/>
    <n v="50000"/>
    <x v="1"/>
    <x v="1"/>
    <x v="0"/>
    <x v="0"/>
    <n v="0"/>
    <n v="1"/>
    <x v="1"/>
    <x v="0"/>
    <x v="0"/>
  </r>
  <r>
    <n v="3952"/>
    <n v="84745.762709999995"/>
    <x v="1"/>
    <x v="1"/>
    <x v="0"/>
    <x v="0"/>
    <n v="0"/>
    <n v="1"/>
    <x v="1"/>
    <x v="0"/>
    <x v="0"/>
  </r>
  <r>
    <n v="3960"/>
    <n v="20000"/>
    <x v="1"/>
    <x v="1"/>
    <x v="0"/>
    <x v="0"/>
    <n v="0"/>
    <n v="1"/>
    <x v="1"/>
    <x v="1"/>
    <x v="0"/>
  </r>
  <r>
    <n v="3963"/>
    <n v="83333.333329999994"/>
    <x v="1"/>
    <x v="1"/>
    <x v="0"/>
    <x v="0"/>
    <n v="0"/>
    <n v="1"/>
    <x v="1"/>
    <x v="1"/>
    <x v="0"/>
  </r>
  <r>
    <n v="3968"/>
    <n v="5000"/>
    <x v="1"/>
    <x v="1"/>
    <x v="1"/>
    <x v="0"/>
    <n v="0"/>
    <n v="1"/>
    <x v="4"/>
    <x v="0"/>
    <x v="0"/>
  </r>
  <r>
    <n v="3972"/>
    <n v="13636.36364"/>
    <x v="1"/>
    <x v="1"/>
    <x v="0"/>
    <x v="0"/>
    <n v="0"/>
    <n v="1"/>
    <x v="4"/>
    <x v="0"/>
    <x v="0"/>
  </r>
  <r>
    <n v="3975"/>
    <n v="0"/>
    <x v="1"/>
    <x v="1"/>
    <x v="0"/>
    <x v="0"/>
    <n v="0"/>
    <n v="1"/>
    <x v="4"/>
    <x v="0"/>
    <x v="1"/>
  </r>
  <r>
    <n v="3979"/>
    <n v="-3478.2608700000001"/>
    <x v="1"/>
    <x v="1"/>
    <x v="0"/>
    <x v="0"/>
    <n v="0"/>
    <n v="1"/>
    <x v="4"/>
    <x v="0"/>
    <x v="1"/>
  </r>
  <r>
    <n v="3980"/>
    <n v="-3333.333333"/>
    <x v="1"/>
    <x v="1"/>
    <x v="0"/>
    <x v="0"/>
    <n v="0"/>
    <n v="1"/>
    <x v="4"/>
    <x v="0"/>
    <x v="1"/>
  </r>
  <r>
    <n v="3981"/>
    <n v="-4166.6666670000004"/>
    <x v="1"/>
    <x v="1"/>
    <x v="0"/>
    <x v="0"/>
    <n v="0"/>
    <n v="1"/>
    <x v="4"/>
    <x v="0"/>
    <x v="1"/>
  </r>
  <r>
    <n v="3983"/>
    <n v="1875"/>
    <x v="1"/>
    <x v="1"/>
    <x v="0"/>
    <x v="0"/>
    <n v="0"/>
    <n v="1"/>
    <x v="4"/>
    <x v="0"/>
    <x v="1"/>
  </r>
  <r>
    <n v="4006"/>
    <n v="-9523.8095240000002"/>
    <x v="1"/>
    <x v="1"/>
    <x v="0"/>
    <x v="0"/>
    <n v="0"/>
    <n v="1"/>
    <x v="4"/>
    <x v="0"/>
    <x v="0"/>
  </r>
  <r>
    <n v="4008"/>
    <n v="5000"/>
    <x v="0"/>
    <x v="0"/>
    <x v="0"/>
    <x v="0"/>
    <n v="0"/>
    <n v="1"/>
    <x v="4"/>
    <x v="0"/>
    <x v="1"/>
  </r>
  <r>
    <n v="4014"/>
    <n v="4545.4545449999996"/>
    <x v="1"/>
    <x v="1"/>
    <x v="0"/>
    <x v="0"/>
    <n v="0"/>
    <n v="1"/>
    <x v="4"/>
    <x v="0"/>
    <x v="1"/>
  </r>
  <r>
    <n v="4041"/>
    <n v="4545.4545449999996"/>
    <x v="0"/>
    <x v="0"/>
    <x v="1"/>
    <x v="0"/>
    <n v="0"/>
    <n v="1"/>
    <x v="4"/>
    <x v="0"/>
    <x v="0"/>
  </r>
  <r>
    <n v="4042"/>
    <n v="4545.4545449999996"/>
    <x v="1"/>
    <x v="1"/>
    <x v="1"/>
    <x v="0"/>
    <n v="0"/>
    <n v="1"/>
    <x v="4"/>
    <x v="0"/>
    <x v="0"/>
  </r>
  <r>
    <n v="4044"/>
    <n v="-40000"/>
    <x v="1"/>
    <x v="1"/>
    <x v="1"/>
    <x v="0"/>
    <n v="0"/>
    <n v="1"/>
    <x v="4"/>
    <x v="0"/>
    <x v="0"/>
  </r>
  <r>
    <n v="4050"/>
    <n v="3759.3984959999998"/>
    <x v="1"/>
    <x v="1"/>
    <x v="0"/>
    <x v="0"/>
    <n v="0"/>
    <n v="1"/>
    <x v="4"/>
    <x v="1"/>
    <x v="0"/>
  </r>
  <r>
    <n v="4061"/>
    <n v="150000"/>
    <x v="1"/>
    <x v="1"/>
    <x v="1"/>
    <x v="0"/>
    <n v="0"/>
    <n v="1"/>
    <x v="4"/>
    <x v="0"/>
    <x v="0"/>
  </r>
  <r>
    <n v="4112"/>
    <n v="4545.4545449999996"/>
    <x v="1"/>
    <x v="1"/>
    <x v="1"/>
    <x v="0"/>
    <n v="1"/>
    <n v="0"/>
    <x v="3"/>
    <x v="0"/>
    <x v="1"/>
  </r>
  <r>
    <n v="4115"/>
    <n v="40000"/>
    <x v="1"/>
    <x v="1"/>
    <x v="1"/>
    <x v="0"/>
    <n v="1"/>
    <n v="0"/>
    <x v="3"/>
    <x v="0"/>
    <x v="1"/>
  </r>
  <r>
    <n v="4125"/>
    <n v="21428.57143"/>
    <x v="1"/>
    <x v="1"/>
    <x v="1"/>
    <x v="0"/>
    <n v="1"/>
    <n v="0"/>
    <x v="3"/>
    <x v="0"/>
    <x v="1"/>
  </r>
  <r>
    <n v="4126"/>
    <n v="13952.380950000001"/>
    <x v="1"/>
    <x v="1"/>
    <x v="0"/>
    <x v="0"/>
    <n v="1"/>
    <n v="0"/>
    <x v="3"/>
    <x v="0"/>
    <x v="1"/>
  </r>
  <r>
    <n v="4127"/>
    <n v="48449.541279999998"/>
    <x v="1"/>
    <x v="1"/>
    <x v="1"/>
    <x v="0"/>
    <n v="1"/>
    <n v="0"/>
    <x v="3"/>
    <x v="0"/>
    <x v="1"/>
  </r>
  <r>
    <n v="4129"/>
    <n v="24174.047620000001"/>
    <x v="1"/>
    <x v="1"/>
    <x v="1"/>
    <x v="0"/>
    <n v="1"/>
    <n v="0"/>
    <x v="3"/>
    <x v="0"/>
    <x v="1"/>
  </r>
  <r>
    <n v="4130"/>
    <n v="25487.5"/>
    <x v="1"/>
    <x v="1"/>
    <x v="1"/>
    <x v="0"/>
    <n v="1"/>
    <n v="0"/>
    <x v="3"/>
    <x v="0"/>
    <x v="1"/>
  </r>
  <r>
    <n v="4131"/>
    <n v="103448.27589999999"/>
    <x v="1"/>
    <x v="1"/>
    <x v="1"/>
    <x v="1"/>
    <n v="1"/>
    <n v="0"/>
    <x v="3"/>
    <x v="0"/>
    <x v="1"/>
  </r>
  <r>
    <n v="4134"/>
    <n v="4866.1800489999996"/>
    <x v="1"/>
    <x v="1"/>
    <x v="1"/>
    <x v="0"/>
    <n v="1"/>
    <n v="0"/>
    <x v="3"/>
    <x v="0"/>
    <x v="1"/>
  </r>
  <r>
    <n v="4135"/>
    <n v="6082.7250610000001"/>
    <x v="1"/>
    <x v="1"/>
    <x v="1"/>
    <x v="0"/>
    <n v="1"/>
    <n v="0"/>
    <x v="3"/>
    <x v="0"/>
    <x v="1"/>
  </r>
  <r>
    <n v="4137"/>
    <n v="7738.0952379999999"/>
    <x v="1"/>
    <x v="1"/>
    <x v="1"/>
    <x v="0"/>
    <n v="1"/>
    <n v="0"/>
    <x v="3"/>
    <x v="0"/>
    <x v="1"/>
  </r>
  <r>
    <n v="4138"/>
    <n v="20887.5"/>
    <x v="1"/>
    <x v="1"/>
    <x v="0"/>
    <x v="0"/>
    <n v="1"/>
    <n v="0"/>
    <x v="3"/>
    <x v="0"/>
    <x v="1"/>
  </r>
  <r>
    <n v="4140"/>
    <n v="13500"/>
    <x v="1"/>
    <x v="1"/>
    <x v="1"/>
    <x v="0"/>
    <n v="1"/>
    <n v="0"/>
    <x v="3"/>
    <x v="0"/>
    <x v="1"/>
  </r>
  <r>
    <n v="4142"/>
    <n v="7073.954984"/>
    <x v="1"/>
    <x v="1"/>
    <x v="1"/>
    <x v="0"/>
    <n v="1"/>
    <n v="0"/>
    <x v="3"/>
    <x v="0"/>
    <x v="1"/>
  </r>
  <r>
    <n v="4150"/>
    <n v="47761.194029999999"/>
    <x v="1"/>
    <x v="1"/>
    <x v="0"/>
    <x v="0"/>
    <n v="0"/>
    <n v="1"/>
    <x v="1"/>
    <x v="0"/>
    <x v="0"/>
  </r>
  <r>
    <n v="4151"/>
    <n v="45454.545449999998"/>
    <x v="1"/>
    <x v="1"/>
    <x v="0"/>
    <x v="0"/>
    <n v="0"/>
    <n v="1"/>
    <x v="1"/>
    <x v="0"/>
    <x v="1"/>
  </r>
  <r>
    <n v="4156"/>
    <n v="150000"/>
    <x v="1"/>
    <x v="1"/>
    <x v="0"/>
    <x v="0"/>
    <n v="0"/>
    <n v="1"/>
    <x v="1"/>
    <x v="0"/>
    <x v="1"/>
  </r>
  <r>
    <n v="4159"/>
    <n v="76923.076920000007"/>
    <x v="1"/>
    <x v="1"/>
    <x v="0"/>
    <x v="0"/>
    <n v="0"/>
    <n v="1"/>
    <x v="1"/>
    <x v="0"/>
    <x v="1"/>
  </r>
  <r>
    <n v="4162"/>
    <n v="86363.636360000004"/>
    <x v="1"/>
    <x v="1"/>
    <x v="0"/>
    <x v="0"/>
    <n v="0"/>
    <n v="1"/>
    <x v="1"/>
    <x v="0"/>
    <x v="0"/>
  </r>
  <r>
    <n v="4163"/>
    <n v="142857.14290000001"/>
    <x v="1"/>
    <x v="1"/>
    <x v="0"/>
    <x v="0"/>
    <n v="0"/>
    <n v="1"/>
    <x v="1"/>
    <x v="0"/>
    <x v="1"/>
  </r>
  <r>
    <n v="4164"/>
    <n v="96774.193549999996"/>
    <x v="0"/>
    <x v="0"/>
    <x v="0"/>
    <x v="0"/>
    <n v="0"/>
    <n v="1"/>
    <x v="1"/>
    <x v="0"/>
    <x v="1"/>
  </r>
  <r>
    <n v="4171"/>
    <n v="95238.095239999995"/>
    <x v="0"/>
    <x v="0"/>
    <x v="0"/>
    <x v="0"/>
    <n v="0"/>
    <n v="1"/>
    <x v="1"/>
    <x v="0"/>
    <x v="1"/>
  </r>
  <r>
    <n v="4172"/>
    <n v="66666.666670000006"/>
    <x v="1"/>
    <x v="1"/>
    <x v="0"/>
    <x v="0"/>
    <n v="0"/>
    <n v="1"/>
    <x v="1"/>
    <x v="0"/>
    <x v="1"/>
  </r>
  <r>
    <n v="4177"/>
    <n v="60000"/>
    <x v="1"/>
    <x v="1"/>
    <x v="0"/>
    <x v="0"/>
    <n v="0"/>
    <n v="1"/>
    <x v="1"/>
    <x v="0"/>
    <x v="1"/>
  </r>
  <r>
    <n v="4178"/>
    <n v="64516.129029999996"/>
    <x v="1"/>
    <x v="1"/>
    <x v="0"/>
    <x v="0"/>
    <n v="0"/>
    <n v="1"/>
    <x v="1"/>
    <x v="0"/>
    <x v="1"/>
  </r>
  <r>
    <n v="4179"/>
    <n v="80645.161290000004"/>
    <x v="1"/>
    <x v="1"/>
    <x v="0"/>
    <x v="0"/>
    <n v="0"/>
    <n v="1"/>
    <x v="1"/>
    <x v="0"/>
    <x v="1"/>
  </r>
  <r>
    <n v="4180"/>
    <n v="100000"/>
    <x v="1"/>
    <x v="1"/>
    <x v="0"/>
    <x v="0"/>
    <n v="0"/>
    <n v="1"/>
    <x v="1"/>
    <x v="0"/>
    <x v="1"/>
  </r>
  <r>
    <n v="4182"/>
    <n v="150000"/>
    <x v="1"/>
    <x v="1"/>
    <x v="0"/>
    <x v="0"/>
    <n v="0"/>
    <n v="1"/>
    <x v="1"/>
    <x v="0"/>
    <x v="1"/>
  </r>
  <r>
    <n v="4183"/>
    <n v="100000"/>
    <x v="1"/>
    <x v="1"/>
    <x v="0"/>
    <x v="0"/>
    <n v="0"/>
    <n v="1"/>
    <x v="1"/>
    <x v="0"/>
    <x v="0"/>
  </r>
  <r>
    <n v="4184"/>
    <n v="100000"/>
    <x v="1"/>
    <x v="1"/>
    <x v="0"/>
    <x v="0"/>
    <n v="0"/>
    <n v="1"/>
    <x v="1"/>
    <x v="1"/>
    <x v="0"/>
  </r>
  <r>
    <n v="4185"/>
    <n v="153846.1538"/>
    <x v="1"/>
    <x v="1"/>
    <x v="0"/>
    <x v="0"/>
    <n v="0"/>
    <n v="1"/>
    <x v="1"/>
    <x v="0"/>
    <x v="0"/>
  </r>
  <r>
    <n v="4187"/>
    <n v="100000"/>
    <x v="1"/>
    <x v="1"/>
    <x v="0"/>
    <x v="0"/>
    <n v="0"/>
    <n v="1"/>
    <x v="1"/>
    <x v="0"/>
    <x v="0"/>
  </r>
  <r>
    <n v="4188"/>
    <n v="32786.885249999999"/>
    <x v="1"/>
    <x v="1"/>
    <x v="0"/>
    <x v="0"/>
    <n v="0"/>
    <n v="1"/>
    <x v="1"/>
    <x v="0"/>
    <x v="0"/>
  </r>
  <r>
    <n v="4190"/>
    <n v="150000"/>
    <x v="1"/>
    <x v="1"/>
    <x v="0"/>
    <x v="0"/>
    <n v="0"/>
    <n v="1"/>
    <x v="1"/>
    <x v="0"/>
    <x v="1"/>
  </r>
  <r>
    <n v="4191"/>
    <n v="90909.090909999999"/>
    <x v="1"/>
    <x v="1"/>
    <x v="0"/>
    <x v="0"/>
    <n v="0"/>
    <n v="1"/>
    <x v="1"/>
    <x v="0"/>
    <x v="0"/>
  </r>
  <r>
    <n v="4193"/>
    <n v="76923.076920000007"/>
    <x v="1"/>
    <x v="1"/>
    <x v="0"/>
    <x v="0"/>
    <n v="0"/>
    <n v="1"/>
    <x v="1"/>
    <x v="0"/>
    <x v="0"/>
  </r>
  <r>
    <n v="4194"/>
    <n v="125000"/>
    <x v="1"/>
    <x v="1"/>
    <x v="0"/>
    <x v="0"/>
    <n v="0"/>
    <n v="1"/>
    <x v="1"/>
    <x v="0"/>
    <x v="0"/>
  </r>
  <r>
    <n v="4196"/>
    <n v="91666.666670000006"/>
    <x v="0"/>
    <x v="0"/>
    <x v="0"/>
    <x v="0"/>
    <n v="0"/>
    <n v="1"/>
    <x v="1"/>
    <x v="0"/>
    <x v="0"/>
  </r>
  <r>
    <n v="4197"/>
    <n v="83333.333329999994"/>
    <x v="1"/>
    <x v="1"/>
    <x v="0"/>
    <x v="0"/>
    <n v="0"/>
    <n v="1"/>
    <x v="1"/>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70"/>
    <n v="1"/>
  </r>
  <r>
    <x v="1"/>
    <n v="123"/>
    <n v="174"/>
  </r>
  <r>
    <x v="2"/>
    <n v="3"/>
    <n v="397"/>
  </r>
  <r>
    <x v="3"/>
    <n v="2"/>
    <n v="67"/>
  </r>
  <r>
    <x v="4"/>
    <n v="204"/>
    <n v="17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45"/>
    <n v="26"/>
  </r>
  <r>
    <x v="1"/>
    <n v="164"/>
    <n v="133"/>
  </r>
  <r>
    <x v="2"/>
    <n v="58"/>
    <n v="342"/>
  </r>
  <r>
    <x v="3"/>
    <n v="9"/>
    <n v="60"/>
  </r>
  <r>
    <x v="4"/>
    <n v="382"/>
    <n v="2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6D041D-B5E5-4BC7-9FD9-1043A417BE6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1">
    <pivotField showAll="0"/>
    <pivotField numFmtId="1" showAll="0"/>
    <pivotField showAll="0">
      <items count="3">
        <item h="1" x="0"/>
        <item x="1"/>
        <item t="default"/>
      </items>
    </pivotField>
    <pivotField showAll="0">
      <items count="3">
        <item x="1"/>
        <item x="0"/>
        <item t="default"/>
      </items>
    </pivotField>
    <pivotField dataField="1" showAll="0">
      <items count="3">
        <item x="0"/>
        <item x="1"/>
        <item t="default"/>
      </items>
    </pivotField>
    <pivotField axis="axisRow" showAll="0">
      <items count="3">
        <item x="0"/>
        <item x="1"/>
        <item t="default"/>
      </items>
    </pivotField>
    <pivotField showAll="0"/>
    <pivotField showAll="0"/>
    <pivotField showAll="0">
      <items count="6">
        <item x="3"/>
        <item h="1" x="0"/>
        <item h="1" x="1"/>
        <item h="1" x="4"/>
        <item h="1" x="2"/>
        <item t="default"/>
      </items>
    </pivotField>
    <pivotField showAll="0">
      <items count="3">
        <item x="1"/>
        <item h="1" x="0"/>
        <item t="default"/>
      </items>
    </pivotField>
    <pivotField showAll="0">
      <items count="3">
        <item x="1"/>
        <item h="1" x="0"/>
        <item t="default"/>
      </items>
    </pivotField>
  </pivotFields>
  <rowFields count="1">
    <field x="5"/>
  </rowFields>
  <rowItems count="3">
    <i>
      <x/>
    </i>
    <i>
      <x v="1"/>
    </i>
    <i t="grand">
      <x/>
    </i>
  </rowItems>
  <colItems count="1">
    <i/>
  </colItems>
  <dataFields count="1">
    <dataField name="Count of training_on_sericulture" fld="4" subtotal="count" baseField="5"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34158B-D20C-4E64-A10B-D8EC6C65A667}" name="PivotTable2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G9" firstHeaderRow="0" firstDataRow="1" firstDataCol="1"/>
  <pivotFields count="3">
    <pivotField axis="axisRow" showAll="0">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Trained." fld="1" baseField="0" baseItem="0"/>
    <dataField name="Untrained."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008C46-BD33-4D45-A70B-22EFDFABCAD4}"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9" firstHeaderRow="0" firstDataRow="1" firstDataCol="1"/>
  <pivotFields count="3">
    <pivotField axis="axisRow" showAll="0">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Not_using_chawki_bivol." fld="1" baseField="0" baseItem="0"/>
    <dataField name="Using_chawki_bivol."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on_sericulture" xr10:uid="{7DEDD7B1-2AB5-4B6F-979B-5F02ABF87BA3}" sourceName="training_on_sericulture">
  <pivotTables>
    <pivotTable tabId="19" name="PivotTable7"/>
  </pivotTables>
  <data>
    <tabular pivotCacheId="3184896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C7DF0D42-D7A4-4C14-BD63-EDFACB4CCBE2}" sourceName="District">
  <pivotTables>
    <pivotTable tabId="34" name="PivotTable25"/>
  </pivotTables>
  <data>
    <tabular pivotCacheId="1338100081">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1" xr10:uid="{25090BE7-9B19-43A0-ADFD-D85118C0BBC7}" sourceName="District">
  <pivotTables>
    <pivotTable tabId="34" name="PivotTable24"/>
  </pivotTables>
  <data>
    <tabular pivotCacheId="185821545">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_on_sericulture" xr10:uid="{360B94BF-01C7-4E1D-8E4D-4756D1D63215}" cache="Slicer_training_on_sericulture" caption="training_on_sericultur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xr10:uid="{F5EF23CE-6AA5-461F-9817-BDEF1C13C0E3}" cache="Slicer_District" caption="District" rowHeight="234950"/>
  <slicer name="District 1" xr10:uid="{20F9F9CB-7173-4F64-B550-107A264FB38D}" cache="Slicer_District1" caption="Distric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_on_sericulture 1" xr10:uid="{6F63627D-242E-49AD-9169-217F01703EC7}" cache="Slicer_training_on_sericulture" caption="training_on_sericulture" columnCount="2" rowHeight="234950"/>
  <slicer name="District 3" xr10:uid="{A5D6AD57-4584-4A01-843B-41EE10EF9FD2}" cache="Slicer_District" caption="District" columnCount="5" rowHeight="234950"/>
  <slicer name="District 2" xr10:uid="{B7CFBD41-5849-418B-B825-AF4485E536DD}" cache="Slicer_District1" caption="District"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88BE8A-8430-4602-A94B-F0E94194045B}" name="Table2" displayName="Table2" ref="A3:K1106" totalsRowShown="0">
  <tableColumns count="11">
    <tableColumn id="1" xr3:uid="{5B7D9BED-F9CA-463A-8677-6A1EEC925410}" name="person_id"/>
    <tableColumn id="2" xr3:uid="{CF2E2ECA-0400-4084-A9AA-9204185BC118}" name="income_per_acre"/>
    <tableColumn id="3" xr3:uid="{C69AF095-5E13-4ADB-8D92-DE2C4A6EACBD}" name="gender"/>
    <tableColumn id="4" xr3:uid="{29BB19EA-9185-4833-BAC8-82E6FD067F8A}" name="female"/>
    <tableColumn id="5" xr3:uid="{1C46B49F-9CC8-432A-AE88-882D4EA46651}" name="training_on_sericulture"/>
    <tableColumn id="6" xr3:uid="{52C23113-483E-4B54-B211-D9593F67FEF0}" name="crop_insured"/>
    <tableColumn id="7" xr3:uid="{7BCE21DD-962F-47A4-9971-3B301872AAB7}" name="chawki_bivol"/>
    <tableColumn id="8" xr3:uid="{0BE210FE-79D4-4BCC-BCF9-F0F4E33E9D37}" name="chawki_combo_other"/>
    <tableColumn id="9" xr3:uid="{AD4B47F9-AD62-4EDB-BCEB-77F37EDD3DDF}" name="district"/>
    <tableColumn id="10" xr3:uid="{3F45564C-F740-4E92-B32A-D66DE2BD6175}" name="loan_repaid"/>
    <tableColumn id="11" xr3:uid="{50D66BE0-2027-42F8-BC51-D234D5C4FE5D}" name="affected_by_pest"/>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7"/>
  <sheetViews>
    <sheetView topLeftCell="A3" workbookViewId="0">
      <selection activeCell="C7" sqref="C7"/>
    </sheetView>
  </sheetViews>
  <sheetFormatPr defaultRowHeight="14.4" x14ac:dyDescent="0.3"/>
  <cols>
    <col min="3" max="3" width="84.109375" customWidth="1"/>
  </cols>
  <sheetData>
    <row r="7" spans="3:3" ht="108" x14ac:dyDescent="0.3">
      <c r="C7" s="1"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A0F44-B110-4295-89ED-2FD5C0C074DF}">
  <dimension ref="A1:K1106"/>
  <sheetViews>
    <sheetView topLeftCell="A34" workbookViewId="0">
      <selection activeCell="E1" sqref="E1"/>
    </sheetView>
  </sheetViews>
  <sheetFormatPr defaultRowHeight="14.4" x14ac:dyDescent="0.3"/>
  <cols>
    <col min="1" max="1" width="11.5546875" bestFit="1" customWidth="1"/>
    <col min="2" max="2" width="17.88671875" bestFit="1" customWidth="1"/>
    <col min="3" max="3" width="9.109375" bestFit="1" customWidth="1"/>
    <col min="4" max="4" width="9" bestFit="1" customWidth="1"/>
    <col min="5" max="5" width="22.88671875" bestFit="1" customWidth="1"/>
    <col min="6" max="7" width="14.21875" bestFit="1" customWidth="1"/>
    <col min="8" max="8" width="21.77734375" bestFit="1" customWidth="1"/>
    <col min="9" max="9" width="11" bestFit="1" customWidth="1"/>
    <col min="10" max="10" width="13.21875" bestFit="1" customWidth="1"/>
    <col min="11" max="11" width="18" bestFit="1" customWidth="1"/>
  </cols>
  <sheetData>
    <row r="1" spans="1:11" x14ac:dyDescent="0.3">
      <c r="A1" s="24" t="s">
        <v>41</v>
      </c>
    </row>
    <row r="3" spans="1:11" x14ac:dyDescent="0.3">
      <c r="A3" t="s">
        <v>1</v>
      </c>
      <c r="B3" t="s">
        <v>2</v>
      </c>
      <c r="C3" t="s">
        <v>3</v>
      </c>
      <c r="D3" t="s">
        <v>4</v>
      </c>
      <c r="E3" t="s">
        <v>5</v>
      </c>
      <c r="F3" t="s">
        <v>6</v>
      </c>
      <c r="G3" t="s">
        <v>7</v>
      </c>
      <c r="H3" t="s">
        <v>8</v>
      </c>
      <c r="I3" t="s">
        <v>9</v>
      </c>
      <c r="J3" t="s">
        <v>10</v>
      </c>
      <c r="K3" t="s">
        <v>11</v>
      </c>
    </row>
    <row r="4" spans="1:11" x14ac:dyDescent="0.3">
      <c r="A4">
        <v>5</v>
      </c>
      <c r="B4">
        <v>35937.5</v>
      </c>
      <c r="C4" t="s">
        <v>12</v>
      </c>
      <c r="D4">
        <v>1</v>
      </c>
      <c r="E4">
        <v>0</v>
      </c>
      <c r="F4">
        <v>0</v>
      </c>
      <c r="G4">
        <v>1</v>
      </c>
      <c r="H4">
        <v>0</v>
      </c>
      <c r="I4" t="s">
        <v>13</v>
      </c>
      <c r="J4">
        <v>1</v>
      </c>
      <c r="K4">
        <v>1</v>
      </c>
    </row>
    <row r="5" spans="1:11" x14ac:dyDescent="0.3">
      <c r="A5">
        <v>4197</v>
      </c>
      <c r="B5">
        <v>83333.333329999994</v>
      </c>
      <c r="C5" t="s">
        <v>14</v>
      </c>
      <c r="D5">
        <v>0</v>
      </c>
      <c r="E5">
        <v>0</v>
      </c>
      <c r="F5">
        <v>0</v>
      </c>
      <c r="G5">
        <v>0</v>
      </c>
      <c r="H5">
        <v>1</v>
      </c>
      <c r="I5" t="s">
        <v>15</v>
      </c>
      <c r="J5">
        <v>1</v>
      </c>
      <c r="K5">
        <v>1</v>
      </c>
    </row>
    <row r="6" spans="1:11" x14ac:dyDescent="0.3">
      <c r="A6">
        <v>10</v>
      </c>
      <c r="B6">
        <v>25000</v>
      </c>
      <c r="C6" t="s">
        <v>12</v>
      </c>
      <c r="D6">
        <v>1</v>
      </c>
      <c r="E6">
        <v>1</v>
      </c>
      <c r="F6">
        <v>0</v>
      </c>
      <c r="G6">
        <v>1</v>
      </c>
      <c r="H6">
        <v>0</v>
      </c>
      <c r="I6" t="s">
        <v>13</v>
      </c>
      <c r="J6">
        <v>1</v>
      </c>
      <c r="K6">
        <v>0</v>
      </c>
    </row>
    <row r="7" spans="1:11" x14ac:dyDescent="0.3">
      <c r="A7">
        <v>18</v>
      </c>
      <c r="B7">
        <v>31111.111110000002</v>
      </c>
      <c r="C7" t="s">
        <v>14</v>
      </c>
      <c r="D7">
        <v>0</v>
      </c>
      <c r="E7">
        <v>1</v>
      </c>
      <c r="F7">
        <v>0</v>
      </c>
      <c r="G7">
        <v>0</v>
      </c>
      <c r="H7">
        <v>1</v>
      </c>
      <c r="I7" t="s">
        <v>13</v>
      </c>
      <c r="J7">
        <v>1</v>
      </c>
      <c r="K7">
        <v>1</v>
      </c>
    </row>
    <row r="8" spans="1:11" x14ac:dyDescent="0.3">
      <c r="A8">
        <v>19</v>
      </c>
      <c r="B8">
        <v>20161.29032</v>
      </c>
      <c r="C8" t="s">
        <v>14</v>
      </c>
      <c r="D8">
        <v>0</v>
      </c>
      <c r="E8">
        <v>1</v>
      </c>
      <c r="F8">
        <v>0</v>
      </c>
      <c r="G8">
        <v>1</v>
      </c>
      <c r="H8">
        <v>0</v>
      </c>
      <c r="I8" t="s">
        <v>13</v>
      </c>
      <c r="J8">
        <v>1</v>
      </c>
      <c r="K8">
        <v>0</v>
      </c>
    </row>
    <row r="9" spans="1:11" x14ac:dyDescent="0.3">
      <c r="A9">
        <v>21</v>
      </c>
      <c r="B9">
        <v>24000</v>
      </c>
      <c r="C9" t="s">
        <v>12</v>
      </c>
      <c r="D9">
        <v>1</v>
      </c>
      <c r="E9">
        <v>1</v>
      </c>
      <c r="F9">
        <v>0</v>
      </c>
      <c r="G9">
        <v>1</v>
      </c>
      <c r="H9">
        <v>0</v>
      </c>
      <c r="I9" t="s">
        <v>13</v>
      </c>
      <c r="J9">
        <v>1</v>
      </c>
      <c r="K9">
        <v>1</v>
      </c>
    </row>
    <row r="10" spans="1:11" x14ac:dyDescent="0.3">
      <c r="A10">
        <v>4196</v>
      </c>
      <c r="B10">
        <v>91666.666670000006</v>
      </c>
      <c r="C10" t="s">
        <v>12</v>
      </c>
      <c r="D10">
        <v>1</v>
      </c>
      <c r="E10">
        <v>0</v>
      </c>
      <c r="F10">
        <v>0</v>
      </c>
      <c r="G10">
        <v>0</v>
      </c>
      <c r="H10">
        <v>1</v>
      </c>
      <c r="I10" t="s">
        <v>15</v>
      </c>
      <c r="J10">
        <v>1</v>
      </c>
      <c r="K10">
        <v>1</v>
      </c>
    </row>
    <row r="11" spans="1:11" x14ac:dyDescent="0.3">
      <c r="A11">
        <v>4194</v>
      </c>
      <c r="B11">
        <v>125000</v>
      </c>
      <c r="C11" t="s">
        <v>14</v>
      </c>
      <c r="D11">
        <v>0</v>
      </c>
      <c r="E11">
        <v>0</v>
      </c>
      <c r="F11">
        <v>0</v>
      </c>
      <c r="G11">
        <v>0</v>
      </c>
      <c r="H11">
        <v>1</v>
      </c>
      <c r="I11" t="s">
        <v>15</v>
      </c>
      <c r="J11">
        <v>1</v>
      </c>
      <c r="K11">
        <v>1</v>
      </c>
    </row>
    <row r="12" spans="1:11" x14ac:dyDescent="0.3">
      <c r="A12">
        <v>26</v>
      </c>
      <c r="B12">
        <v>21739.130430000001</v>
      </c>
      <c r="C12" t="s">
        <v>14</v>
      </c>
      <c r="D12">
        <v>0</v>
      </c>
      <c r="E12">
        <v>1</v>
      </c>
      <c r="F12">
        <v>0</v>
      </c>
      <c r="G12">
        <v>1</v>
      </c>
      <c r="H12">
        <v>0</v>
      </c>
      <c r="I12" t="s">
        <v>13</v>
      </c>
      <c r="J12">
        <v>0</v>
      </c>
      <c r="K12">
        <v>1</v>
      </c>
    </row>
    <row r="13" spans="1:11" x14ac:dyDescent="0.3">
      <c r="A13">
        <v>27</v>
      </c>
      <c r="B13">
        <v>15000</v>
      </c>
      <c r="C13" t="s">
        <v>14</v>
      </c>
      <c r="D13">
        <v>0</v>
      </c>
      <c r="E13">
        <v>1</v>
      </c>
      <c r="F13">
        <v>0</v>
      </c>
      <c r="G13">
        <v>1</v>
      </c>
      <c r="H13">
        <v>0</v>
      </c>
      <c r="I13" t="s">
        <v>13</v>
      </c>
      <c r="J13">
        <v>1</v>
      </c>
      <c r="K13">
        <v>1</v>
      </c>
    </row>
    <row r="14" spans="1:11" x14ac:dyDescent="0.3">
      <c r="A14">
        <v>4193</v>
      </c>
      <c r="B14">
        <v>76923.076920000007</v>
      </c>
      <c r="C14" t="s">
        <v>14</v>
      </c>
      <c r="D14">
        <v>0</v>
      </c>
      <c r="E14">
        <v>0</v>
      </c>
      <c r="F14">
        <v>0</v>
      </c>
      <c r="G14">
        <v>0</v>
      </c>
      <c r="H14">
        <v>1</v>
      </c>
      <c r="I14" t="s">
        <v>15</v>
      </c>
      <c r="J14">
        <v>1</v>
      </c>
      <c r="K14">
        <v>1</v>
      </c>
    </row>
    <row r="15" spans="1:11" x14ac:dyDescent="0.3">
      <c r="A15">
        <v>4191</v>
      </c>
      <c r="B15">
        <v>90909.090909999999</v>
      </c>
      <c r="C15" t="s">
        <v>14</v>
      </c>
      <c r="D15">
        <v>0</v>
      </c>
      <c r="E15">
        <v>0</v>
      </c>
      <c r="F15">
        <v>0</v>
      </c>
      <c r="G15">
        <v>0</v>
      </c>
      <c r="H15">
        <v>1</v>
      </c>
      <c r="I15" t="s">
        <v>15</v>
      </c>
      <c r="J15">
        <v>1</v>
      </c>
      <c r="K15">
        <v>1</v>
      </c>
    </row>
    <row r="16" spans="1:11" x14ac:dyDescent="0.3">
      <c r="A16">
        <v>4190</v>
      </c>
      <c r="B16">
        <v>150000</v>
      </c>
      <c r="C16" t="s">
        <v>14</v>
      </c>
      <c r="D16">
        <v>0</v>
      </c>
      <c r="E16">
        <v>0</v>
      </c>
      <c r="F16">
        <v>0</v>
      </c>
      <c r="G16">
        <v>0</v>
      </c>
      <c r="H16">
        <v>1</v>
      </c>
      <c r="I16" t="s">
        <v>15</v>
      </c>
      <c r="J16">
        <v>1</v>
      </c>
      <c r="K16">
        <v>0</v>
      </c>
    </row>
    <row r="17" spans="1:11" x14ac:dyDescent="0.3">
      <c r="A17">
        <v>4188</v>
      </c>
      <c r="B17">
        <v>32786.885249999999</v>
      </c>
      <c r="C17" t="s">
        <v>14</v>
      </c>
      <c r="D17">
        <v>0</v>
      </c>
      <c r="E17">
        <v>0</v>
      </c>
      <c r="F17">
        <v>0</v>
      </c>
      <c r="G17">
        <v>0</v>
      </c>
      <c r="H17">
        <v>1</v>
      </c>
      <c r="I17" t="s">
        <v>15</v>
      </c>
      <c r="J17">
        <v>1</v>
      </c>
      <c r="K17">
        <v>1</v>
      </c>
    </row>
    <row r="18" spans="1:11" x14ac:dyDescent="0.3">
      <c r="A18">
        <v>35</v>
      </c>
      <c r="B18">
        <v>-12500</v>
      </c>
      <c r="C18" t="s">
        <v>14</v>
      </c>
      <c r="D18">
        <v>0</v>
      </c>
      <c r="E18">
        <v>1</v>
      </c>
      <c r="F18">
        <v>0</v>
      </c>
      <c r="G18">
        <v>1</v>
      </c>
      <c r="H18">
        <v>0</v>
      </c>
      <c r="I18" t="s">
        <v>13</v>
      </c>
      <c r="J18">
        <v>0</v>
      </c>
      <c r="K18">
        <v>1</v>
      </c>
    </row>
    <row r="19" spans="1:11" x14ac:dyDescent="0.3">
      <c r="A19">
        <v>38</v>
      </c>
      <c r="B19">
        <v>-833.33333330000005</v>
      </c>
      <c r="C19" t="s">
        <v>14</v>
      </c>
      <c r="D19">
        <v>0</v>
      </c>
      <c r="E19">
        <v>1</v>
      </c>
      <c r="F19">
        <v>0</v>
      </c>
      <c r="G19">
        <v>0</v>
      </c>
      <c r="H19">
        <v>1</v>
      </c>
      <c r="I19" t="s">
        <v>13</v>
      </c>
      <c r="J19">
        <v>1</v>
      </c>
      <c r="K19">
        <v>1</v>
      </c>
    </row>
    <row r="20" spans="1:11" x14ac:dyDescent="0.3">
      <c r="A20">
        <v>58</v>
      </c>
      <c r="B20">
        <v>0</v>
      </c>
      <c r="C20" t="s">
        <v>14</v>
      </c>
      <c r="D20">
        <v>0</v>
      </c>
      <c r="E20">
        <v>1</v>
      </c>
      <c r="F20">
        <v>0</v>
      </c>
      <c r="G20">
        <v>0</v>
      </c>
      <c r="H20">
        <v>1</v>
      </c>
      <c r="I20" t="s">
        <v>13</v>
      </c>
      <c r="J20">
        <v>1</v>
      </c>
      <c r="K20">
        <v>1</v>
      </c>
    </row>
    <row r="21" spans="1:11" x14ac:dyDescent="0.3">
      <c r="A21">
        <v>59</v>
      </c>
      <c r="B21">
        <v>-2500</v>
      </c>
      <c r="C21" t="s">
        <v>14</v>
      </c>
      <c r="D21">
        <v>0</v>
      </c>
      <c r="E21">
        <v>1</v>
      </c>
      <c r="F21">
        <v>0</v>
      </c>
      <c r="G21">
        <v>0</v>
      </c>
      <c r="H21">
        <v>1</v>
      </c>
      <c r="I21" t="s">
        <v>13</v>
      </c>
      <c r="J21">
        <v>1</v>
      </c>
      <c r="K21">
        <v>1</v>
      </c>
    </row>
    <row r="22" spans="1:11" x14ac:dyDescent="0.3">
      <c r="A22">
        <v>60</v>
      </c>
      <c r="B22">
        <v>0</v>
      </c>
      <c r="C22" t="s">
        <v>14</v>
      </c>
      <c r="D22">
        <v>0</v>
      </c>
      <c r="E22">
        <v>0</v>
      </c>
      <c r="F22">
        <v>0</v>
      </c>
      <c r="G22">
        <v>1</v>
      </c>
      <c r="H22">
        <v>0</v>
      </c>
      <c r="I22" t="s">
        <v>13</v>
      </c>
      <c r="J22">
        <v>1</v>
      </c>
      <c r="K22">
        <v>0</v>
      </c>
    </row>
    <row r="23" spans="1:11" x14ac:dyDescent="0.3">
      <c r="A23">
        <v>63</v>
      </c>
      <c r="B23">
        <v>0</v>
      </c>
      <c r="C23" t="s">
        <v>14</v>
      </c>
      <c r="D23">
        <v>0</v>
      </c>
      <c r="E23">
        <v>1</v>
      </c>
      <c r="F23">
        <v>0</v>
      </c>
      <c r="G23">
        <v>1</v>
      </c>
      <c r="H23">
        <v>0</v>
      </c>
      <c r="I23" t="s">
        <v>13</v>
      </c>
      <c r="J23">
        <v>0</v>
      </c>
      <c r="K23">
        <v>1</v>
      </c>
    </row>
    <row r="24" spans="1:11" x14ac:dyDescent="0.3">
      <c r="A24">
        <v>64</v>
      </c>
      <c r="B24">
        <v>-5376.3440860000001</v>
      </c>
      <c r="C24" t="s">
        <v>14</v>
      </c>
      <c r="D24">
        <v>0</v>
      </c>
      <c r="E24">
        <v>0</v>
      </c>
      <c r="F24">
        <v>0</v>
      </c>
      <c r="G24">
        <v>0</v>
      </c>
      <c r="H24">
        <v>1</v>
      </c>
      <c r="I24" t="s">
        <v>13</v>
      </c>
      <c r="J24">
        <v>1</v>
      </c>
      <c r="K24">
        <v>0</v>
      </c>
    </row>
    <row r="25" spans="1:11" x14ac:dyDescent="0.3">
      <c r="A25">
        <v>65</v>
      </c>
      <c r="B25">
        <v>50000</v>
      </c>
      <c r="C25" t="s">
        <v>14</v>
      </c>
      <c r="D25">
        <v>0</v>
      </c>
      <c r="E25">
        <v>0</v>
      </c>
      <c r="F25">
        <v>0</v>
      </c>
      <c r="G25">
        <v>1</v>
      </c>
      <c r="H25">
        <v>0</v>
      </c>
      <c r="I25" t="s">
        <v>13</v>
      </c>
      <c r="J25">
        <v>1</v>
      </c>
      <c r="K25">
        <v>0</v>
      </c>
    </row>
    <row r="26" spans="1:11" x14ac:dyDescent="0.3">
      <c r="A26">
        <v>66</v>
      </c>
      <c r="B26">
        <v>50000</v>
      </c>
      <c r="C26" t="s">
        <v>14</v>
      </c>
      <c r="D26">
        <v>0</v>
      </c>
      <c r="E26">
        <v>0</v>
      </c>
      <c r="F26">
        <v>0</v>
      </c>
      <c r="G26">
        <v>0</v>
      </c>
      <c r="H26">
        <v>1</v>
      </c>
      <c r="I26" t="s">
        <v>13</v>
      </c>
      <c r="J26">
        <v>1</v>
      </c>
      <c r="K26">
        <v>0</v>
      </c>
    </row>
    <row r="27" spans="1:11" x14ac:dyDescent="0.3">
      <c r="A27">
        <v>67</v>
      </c>
      <c r="B27">
        <v>60000</v>
      </c>
      <c r="C27" t="s">
        <v>14</v>
      </c>
      <c r="D27">
        <v>0</v>
      </c>
      <c r="E27">
        <v>0</v>
      </c>
      <c r="F27">
        <v>0</v>
      </c>
      <c r="G27">
        <v>1</v>
      </c>
      <c r="H27">
        <v>0</v>
      </c>
      <c r="I27" t="s">
        <v>13</v>
      </c>
      <c r="J27">
        <v>1</v>
      </c>
      <c r="K27">
        <v>0</v>
      </c>
    </row>
    <row r="28" spans="1:11" x14ac:dyDescent="0.3">
      <c r="A28">
        <v>68</v>
      </c>
      <c r="B28">
        <v>25000</v>
      </c>
      <c r="C28" t="s">
        <v>14</v>
      </c>
      <c r="D28">
        <v>0</v>
      </c>
      <c r="E28">
        <v>0</v>
      </c>
      <c r="F28">
        <v>0</v>
      </c>
      <c r="G28">
        <v>0</v>
      </c>
      <c r="H28">
        <v>1</v>
      </c>
      <c r="I28" t="s">
        <v>13</v>
      </c>
      <c r="J28">
        <v>1</v>
      </c>
      <c r="K28">
        <v>0</v>
      </c>
    </row>
    <row r="29" spans="1:11" x14ac:dyDescent="0.3">
      <c r="A29">
        <v>69</v>
      </c>
      <c r="B29">
        <v>26666.666669999999</v>
      </c>
      <c r="C29" t="s">
        <v>14</v>
      </c>
      <c r="D29">
        <v>0</v>
      </c>
      <c r="E29">
        <v>1</v>
      </c>
      <c r="F29">
        <v>0</v>
      </c>
      <c r="G29">
        <v>1</v>
      </c>
      <c r="H29">
        <v>0</v>
      </c>
      <c r="I29" t="s">
        <v>13</v>
      </c>
      <c r="J29">
        <v>1</v>
      </c>
      <c r="K29">
        <v>1</v>
      </c>
    </row>
    <row r="30" spans="1:11" x14ac:dyDescent="0.3">
      <c r="A30">
        <v>72</v>
      </c>
      <c r="B30">
        <v>13333.333329999999</v>
      </c>
      <c r="C30" t="s">
        <v>12</v>
      </c>
      <c r="D30">
        <v>1</v>
      </c>
      <c r="E30">
        <v>0</v>
      </c>
      <c r="F30">
        <v>0</v>
      </c>
      <c r="G30">
        <v>1</v>
      </c>
      <c r="H30">
        <v>0</v>
      </c>
      <c r="I30" t="s">
        <v>13</v>
      </c>
      <c r="J30">
        <v>1</v>
      </c>
      <c r="K30">
        <v>0</v>
      </c>
    </row>
    <row r="31" spans="1:11" x14ac:dyDescent="0.3">
      <c r="A31">
        <v>75</v>
      </c>
      <c r="B31">
        <v>50000</v>
      </c>
      <c r="C31" t="s">
        <v>14</v>
      </c>
      <c r="D31">
        <v>0</v>
      </c>
      <c r="E31">
        <v>1</v>
      </c>
      <c r="F31">
        <v>0</v>
      </c>
      <c r="G31">
        <v>0</v>
      </c>
      <c r="H31">
        <v>1</v>
      </c>
      <c r="I31" t="s">
        <v>13</v>
      </c>
      <c r="J31">
        <v>1</v>
      </c>
      <c r="K31">
        <v>1</v>
      </c>
    </row>
    <row r="32" spans="1:11" x14ac:dyDescent="0.3">
      <c r="A32">
        <v>76</v>
      </c>
      <c r="B32">
        <v>50000</v>
      </c>
      <c r="C32" t="s">
        <v>14</v>
      </c>
      <c r="D32">
        <v>0</v>
      </c>
      <c r="E32">
        <v>1</v>
      </c>
      <c r="F32">
        <v>0</v>
      </c>
      <c r="G32">
        <v>0</v>
      </c>
      <c r="H32">
        <v>1</v>
      </c>
      <c r="I32" t="s">
        <v>13</v>
      </c>
      <c r="J32">
        <v>1</v>
      </c>
      <c r="K32">
        <v>1</v>
      </c>
    </row>
    <row r="33" spans="1:11" x14ac:dyDescent="0.3">
      <c r="A33">
        <v>77</v>
      </c>
      <c r="B33">
        <v>40000</v>
      </c>
      <c r="C33" t="s">
        <v>14</v>
      </c>
      <c r="D33">
        <v>0</v>
      </c>
      <c r="E33">
        <v>1</v>
      </c>
      <c r="F33">
        <v>0</v>
      </c>
      <c r="G33">
        <v>0</v>
      </c>
      <c r="H33">
        <v>1</v>
      </c>
      <c r="I33" t="s">
        <v>13</v>
      </c>
      <c r="J33">
        <v>1</v>
      </c>
      <c r="K33">
        <v>0</v>
      </c>
    </row>
    <row r="34" spans="1:11" x14ac:dyDescent="0.3">
      <c r="A34">
        <v>79</v>
      </c>
      <c r="B34">
        <v>40000</v>
      </c>
      <c r="C34" t="s">
        <v>14</v>
      </c>
      <c r="D34">
        <v>0</v>
      </c>
      <c r="E34">
        <v>1</v>
      </c>
      <c r="F34">
        <v>0</v>
      </c>
      <c r="G34">
        <v>0</v>
      </c>
      <c r="H34">
        <v>1</v>
      </c>
      <c r="I34" t="s">
        <v>13</v>
      </c>
      <c r="J34">
        <v>1</v>
      </c>
      <c r="K34">
        <v>0</v>
      </c>
    </row>
    <row r="35" spans="1:11" x14ac:dyDescent="0.3">
      <c r="A35">
        <v>80</v>
      </c>
      <c r="B35">
        <v>60000</v>
      </c>
      <c r="C35" t="s">
        <v>14</v>
      </c>
      <c r="D35">
        <v>0</v>
      </c>
      <c r="E35">
        <v>1</v>
      </c>
      <c r="F35">
        <v>0</v>
      </c>
      <c r="G35">
        <v>0</v>
      </c>
      <c r="H35">
        <v>1</v>
      </c>
      <c r="I35" t="s">
        <v>13</v>
      </c>
      <c r="J35">
        <v>1</v>
      </c>
      <c r="K35">
        <v>1</v>
      </c>
    </row>
    <row r="36" spans="1:11" x14ac:dyDescent="0.3">
      <c r="A36">
        <v>81</v>
      </c>
      <c r="B36">
        <v>10000</v>
      </c>
      <c r="C36" t="s">
        <v>14</v>
      </c>
      <c r="D36">
        <v>0</v>
      </c>
      <c r="E36">
        <v>0</v>
      </c>
      <c r="F36">
        <v>0</v>
      </c>
      <c r="G36">
        <v>0</v>
      </c>
      <c r="H36">
        <v>1</v>
      </c>
      <c r="I36" t="s">
        <v>13</v>
      </c>
      <c r="J36">
        <v>1</v>
      </c>
      <c r="K36">
        <v>0</v>
      </c>
    </row>
    <row r="37" spans="1:11" x14ac:dyDescent="0.3">
      <c r="A37">
        <v>82</v>
      </c>
      <c r="B37">
        <v>50000</v>
      </c>
      <c r="C37" t="s">
        <v>14</v>
      </c>
      <c r="D37">
        <v>0</v>
      </c>
      <c r="E37">
        <v>1</v>
      </c>
      <c r="F37">
        <v>0</v>
      </c>
      <c r="G37">
        <v>0</v>
      </c>
      <c r="H37">
        <v>1</v>
      </c>
      <c r="I37" t="s">
        <v>13</v>
      </c>
      <c r="J37">
        <v>1</v>
      </c>
      <c r="K37">
        <v>1</v>
      </c>
    </row>
    <row r="38" spans="1:11" x14ac:dyDescent="0.3">
      <c r="A38">
        <v>84</v>
      </c>
      <c r="B38">
        <v>120000</v>
      </c>
      <c r="C38" t="s">
        <v>14</v>
      </c>
      <c r="D38">
        <v>0</v>
      </c>
      <c r="E38">
        <v>0</v>
      </c>
      <c r="F38">
        <v>0</v>
      </c>
      <c r="G38">
        <v>1</v>
      </c>
      <c r="H38">
        <v>0</v>
      </c>
      <c r="I38" t="s">
        <v>13</v>
      </c>
      <c r="J38">
        <v>1</v>
      </c>
      <c r="K38">
        <v>1</v>
      </c>
    </row>
    <row r="39" spans="1:11" x14ac:dyDescent="0.3">
      <c r="A39">
        <v>86</v>
      </c>
      <c r="B39">
        <v>-20000</v>
      </c>
      <c r="C39" t="s">
        <v>14</v>
      </c>
      <c r="D39">
        <v>0</v>
      </c>
      <c r="E39">
        <v>1</v>
      </c>
      <c r="F39">
        <v>0</v>
      </c>
      <c r="G39">
        <v>0</v>
      </c>
      <c r="H39">
        <v>1</v>
      </c>
      <c r="I39" t="s">
        <v>13</v>
      </c>
      <c r="J39">
        <v>1</v>
      </c>
      <c r="K39">
        <v>0</v>
      </c>
    </row>
    <row r="40" spans="1:11" x14ac:dyDescent="0.3">
      <c r="A40">
        <v>4187</v>
      </c>
      <c r="B40">
        <v>100000</v>
      </c>
      <c r="C40" t="s">
        <v>14</v>
      </c>
      <c r="D40">
        <v>0</v>
      </c>
      <c r="E40">
        <v>0</v>
      </c>
      <c r="F40">
        <v>0</v>
      </c>
      <c r="G40">
        <v>0</v>
      </c>
      <c r="H40">
        <v>1</v>
      </c>
      <c r="I40" t="s">
        <v>15</v>
      </c>
      <c r="J40">
        <v>1</v>
      </c>
      <c r="K40">
        <v>1</v>
      </c>
    </row>
    <row r="41" spans="1:11" x14ac:dyDescent="0.3">
      <c r="A41">
        <v>89</v>
      </c>
      <c r="B41">
        <v>60000</v>
      </c>
      <c r="C41" t="s">
        <v>14</v>
      </c>
      <c r="D41">
        <v>0</v>
      </c>
      <c r="E41">
        <v>1</v>
      </c>
      <c r="F41">
        <v>0</v>
      </c>
      <c r="G41">
        <v>0</v>
      </c>
      <c r="H41">
        <v>1</v>
      </c>
      <c r="I41" t="s">
        <v>13</v>
      </c>
      <c r="J41">
        <v>1</v>
      </c>
      <c r="K41">
        <v>0</v>
      </c>
    </row>
    <row r="42" spans="1:11" x14ac:dyDescent="0.3">
      <c r="A42">
        <v>92</v>
      </c>
      <c r="B42">
        <v>20000</v>
      </c>
      <c r="C42" t="s">
        <v>14</v>
      </c>
      <c r="D42">
        <v>0</v>
      </c>
      <c r="E42">
        <v>0</v>
      </c>
      <c r="F42">
        <v>0</v>
      </c>
      <c r="G42">
        <v>1</v>
      </c>
      <c r="H42">
        <v>0</v>
      </c>
      <c r="I42" t="s">
        <v>13</v>
      </c>
      <c r="J42">
        <v>1</v>
      </c>
      <c r="K42">
        <v>1</v>
      </c>
    </row>
    <row r="43" spans="1:11" x14ac:dyDescent="0.3">
      <c r="A43">
        <v>95</v>
      </c>
      <c r="B43">
        <v>70000</v>
      </c>
      <c r="C43" t="s">
        <v>14</v>
      </c>
      <c r="D43">
        <v>0</v>
      </c>
      <c r="E43">
        <v>1</v>
      </c>
      <c r="F43">
        <v>0</v>
      </c>
      <c r="G43">
        <v>0</v>
      </c>
      <c r="H43">
        <v>1</v>
      </c>
      <c r="I43" t="s">
        <v>13</v>
      </c>
      <c r="J43">
        <v>1</v>
      </c>
      <c r="K43">
        <v>1</v>
      </c>
    </row>
    <row r="44" spans="1:11" x14ac:dyDescent="0.3">
      <c r="A44">
        <v>96</v>
      </c>
      <c r="B44">
        <v>40000</v>
      </c>
      <c r="C44" t="s">
        <v>14</v>
      </c>
      <c r="D44">
        <v>0</v>
      </c>
      <c r="E44">
        <v>0</v>
      </c>
      <c r="F44">
        <v>0</v>
      </c>
      <c r="G44">
        <v>1</v>
      </c>
      <c r="H44">
        <v>0</v>
      </c>
      <c r="I44" t="s">
        <v>13</v>
      </c>
      <c r="J44">
        <v>1</v>
      </c>
      <c r="K44">
        <v>0</v>
      </c>
    </row>
    <row r="45" spans="1:11" x14ac:dyDescent="0.3">
      <c r="A45">
        <v>97</v>
      </c>
      <c r="B45">
        <v>50000</v>
      </c>
      <c r="C45" t="s">
        <v>14</v>
      </c>
      <c r="D45">
        <v>0</v>
      </c>
      <c r="E45">
        <v>1</v>
      </c>
      <c r="F45">
        <v>0</v>
      </c>
      <c r="G45">
        <v>0</v>
      </c>
      <c r="H45">
        <v>1</v>
      </c>
      <c r="I45" t="s">
        <v>13</v>
      </c>
      <c r="J45">
        <v>1</v>
      </c>
      <c r="K45">
        <v>0</v>
      </c>
    </row>
    <row r="46" spans="1:11" x14ac:dyDescent="0.3">
      <c r="A46">
        <v>98</v>
      </c>
      <c r="B46">
        <v>60000</v>
      </c>
      <c r="C46" t="s">
        <v>12</v>
      </c>
      <c r="D46">
        <v>1</v>
      </c>
      <c r="E46">
        <v>0</v>
      </c>
      <c r="F46">
        <v>0</v>
      </c>
      <c r="G46">
        <v>0</v>
      </c>
      <c r="H46">
        <v>1</v>
      </c>
      <c r="I46" t="s">
        <v>13</v>
      </c>
      <c r="J46">
        <v>1</v>
      </c>
      <c r="K46">
        <v>0</v>
      </c>
    </row>
    <row r="47" spans="1:11" x14ac:dyDescent="0.3">
      <c r="A47">
        <v>103</v>
      </c>
      <c r="B47">
        <v>33333.333330000001</v>
      </c>
      <c r="C47" t="s">
        <v>12</v>
      </c>
      <c r="D47">
        <v>1</v>
      </c>
      <c r="E47">
        <v>0</v>
      </c>
      <c r="F47">
        <v>0</v>
      </c>
      <c r="G47">
        <v>1</v>
      </c>
      <c r="H47">
        <v>0</v>
      </c>
      <c r="I47" t="s">
        <v>13</v>
      </c>
      <c r="J47">
        <v>1</v>
      </c>
      <c r="K47">
        <v>0</v>
      </c>
    </row>
    <row r="48" spans="1:11" x14ac:dyDescent="0.3">
      <c r="A48">
        <v>104</v>
      </c>
      <c r="B48">
        <v>40000</v>
      </c>
      <c r="C48" t="s">
        <v>14</v>
      </c>
      <c r="D48">
        <v>0</v>
      </c>
      <c r="E48">
        <v>0</v>
      </c>
      <c r="F48">
        <v>0</v>
      </c>
      <c r="G48">
        <v>1</v>
      </c>
      <c r="H48">
        <v>0</v>
      </c>
      <c r="I48" t="s">
        <v>13</v>
      </c>
      <c r="J48">
        <v>1</v>
      </c>
      <c r="K48">
        <v>0</v>
      </c>
    </row>
    <row r="49" spans="1:11" x14ac:dyDescent="0.3">
      <c r="A49">
        <v>106</v>
      </c>
      <c r="B49">
        <v>36666.666669999999</v>
      </c>
      <c r="C49" t="s">
        <v>14</v>
      </c>
      <c r="D49">
        <v>0</v>
      </c>
      <c r="E49">
        <v>1</v>
      </c>
      <c r="F49">
        <v>0</v>
      </c>
      <c r="G49">
        <v>0</v>
      </c>
      <c r="H49">
        <v>1</v>
      </c>
      <c r="I49" t="s">
        <v>13</v>
      </c>
      <c r="J49">
        <v>1</v>
      </c>
      <c r="K49">
        <v>1</v>
      </c>
    </row>
    <row r="50" spans="1:11" x14ac:dyDescent="0.3">
      <c r="A50">
        <v>107</v>
      </c>
      <c r="B50">
        <v>30000</v>
      </c>
      <c r="C50" t="s">
        <v>14</v>
      </c>
      <c r="D50">
        <v>0</v>
      </c>
      <c r="E50">
        <v>1</v>
      </c>
      <c r="F50">
        <v>0</v>
      </c>
      <c r="G50">
        <v>0</v>
      </c>
      <c r="H50">
        <v>1</v>
      </c>
      <c r="I50" t="s">
        <v>13</v>
      </c>
      <c r="J50">
        <v>1</v>
      </c>
      <c r="K50">
        <v>1</v>
      </c>
    </row>
    <row r="51" spans="1:11" x14ac:dyDescent="0.3">
      <c r="A51">
        <v>111</v>
      </c>
      <c r="B51">
        <v>33333.333330000001</v>
      </c>
      <c r="C51" t="s">
        <v>14</v>
      </c>
      <c r="D51">
        <v>0</v>
      </c>
      <c r="E51">
        <v>0</v>
      </c>
      <c r="F51">
        <v>0</v>
      </c>
      <c r="G51">
        <v>1</v>
      </c>
      <c r="H51">
        <v>0</v>
      </c>
      <c r="I51" t="s">
        <v>13</v>
      </c>
      <c r="J51">
        <v>1</v>
      </c>
      <c r="K51">
        <v>0</v>
      </c>
    </row>
    <row r="52" spans="1:11" x14ac:dyDescent="0.3">
      <c r="A52">
        <v>115</v>
      </c>
      <c r="B52">
        <v>-40000</v>
      </c>
      <c r="C52" t="s">
        <v>14</v>
      </c>
      <c r="D52">
        <v>0</v>
      </c>
      <c r="E52">
        <v>1</v>
      </c>
      <c r="F52">
        <v>0</v>
      </c>
      <c r="G52">
        <v>0</v>
      </c>
      <c r="H52">
        <v>1</v>
      </c>
      <c r="I52" t="s">
        <v>13</v>
      </c>
      <c r="J52">
        <v>1</v>
      </c>
      <c r="K52">
        <v>1</v>
      </c>
    </row>
    <row r="53" spans="1:11" x14ac:dyDescent="0.3">
      <c r="A53">
        <v>116</v>
      </c>
      <c r="B53">
        <v>30000</v>
      </c>
      <c r="C53" t="s">
        <v>14</v>
      </c>
      <c r="D53">
        <v>0</v>
      </c>
      <c r="E53">
        <v>1</v>
      </c>
      <c r="F53">
        <v>0</v>
      </c>
      <c r="G53">
        <v>0</v>
      </c>
      <c r="H53">
        <v>1</v>
      </c>
      <c r="I53" t="s">
        <v>13</v>
      </c>
      <c r="J53">
        <v>1</v>
      </c>
      <c r="K53">
        <v>1</v>
      </c>
    </row>
    <row r="54" spans="1:11" x14ac:dyDescent="0.3">
      <c r="A54">
        <v>120</v>
      </c>
      <c r="B54">
        <v>45000</v>
      </c>
      <c r="C54" t="s">
        <v>14</v>
      </c>
      <c r="D54">
        <v>0</v>
      </c>
      <c r="E54">
        <v>1</v>
      </c>
      <c r="F54">
        <v>0</v>
      </c>
      <c r="G54">
        <v>1</v>
      </c>
      <c r="H54">
        <v>0</v>
      </c>
      <c r="I54" t="s">
        <v>13</v>
      </c>
      <c r="J54">
        <v>1</v>
      </c>
      <c r="K54">
        <v>1</v>
      </c>
    </row>
    <row r="55" spans="1:11" x14ac:dyDescent="0.3">
      <c r="A55">
        <v>124</v>
      </c>
      <c r="B55">
        <v>-20771.513350000001</v>
      </c>
      <c r="C55" t="s">
        <v>14</v>
      </c>
      <c r="D55">
        <v>0</v>
      </c>
      <c r="E55">
        <v>1</v>
      </c>
      <c r="F55">
        <v>0</v>
      </c>
      <c r="G55">
        <v>0</v>
      </c>
      <c r="H55">
        <v>1</v>
      </c>
      <c r="I55" t="s">
        <v>13</v>
      </c>
      <c r="J55">
        <v>0</v>
      </c>
      <c r="K55">
        <v>1</v>
      </c>
    </row>
    <row r="56" spans="1:11" x14ac:dyDescent="0.3">
      <c r="A56">
        <v>4185</v>
      </c>
      <c r="B56">
        <v>153846.1538</v>
      </c>
      <c r="C56" t="s">
        <v>14</v>
      </c>
      <c r="D56">
        <v>0</v>
      </c>
      <c r="E56">
        <v>0</v>
      </c>
      <c r="F56">
        <v>0</v>
      </c>
      <c r="G56">
        <v>0</v>
      </c>
      <c r="H56">
        <v>1</v>
      </c>
      <c r="I56" t="s">
        <v>15</v>
      </c>
      <c r="J56">
        <v>1</v>
      </c>
      <c r="K56">
        <v>1</v>
      </c>
    </row>
    <row r="57" spans="1:11" x14ac:dyDescent="0.3">
      <c r="A57">
        <v>128</v>
      </c>
      <c r="B57">
        <v>-10000</v>
      </c>
      <c r="C57" t="s">
        <v>12</v>
      </c>
      <c r="D57">
        <v>1</v>
      </c>
      <c r="E57">
        <v>0</v>
      </c>
      <c r="F57">
        <v>0</v>
      </c>
      <c r="G57">
        <v>0</v>
      </c>
      <c r="H57">
        <v>1</v>
      </c>
      <c r="I57" t="s">
        <v>13</v>
      </c>
      <c r="J57">
        <v>1</v>
      </c>
      <c r="K57">
        <v>1</v>
      </c>
    </row>
    <row r="58" spans="1:11" x14ac:dyDescent="0.3">
      <c r="A58">
        <v>132</v>
      </c>
      <c r="B58">
        <v>27500</v>
      </c>
      <c r="C58" t="s">
        <v>14</v>
      </c>
      <c r="D58">
        <v>0</v>
      </c>
      <c r="E58">
        <v>1</v>
      </c>
      <c r="F58">
        <v>0</v>
      </c>
      <c r="G58">
        <v>1</v>
      </c>
      <c r="H58">
        <v>0</v>
      </c>
      <c r="I58" t="s">
        <v>13</v>
      </c>
      <c r="J58">
        <v>1</v>
      </c>
      <c r="K58">
        <v>1</v>
      </c>
    </row>
    <row r="59" spans="1:11" x14ac:dyDescent="0.3">
      <c r="A59">
        <v>133</v>
      </c>
      <c r="B59">
        <v>-7692.3076920000003</v>
      </c>
      <c r="C59" t="s">
        <v>12</v>
      </c>
      <c r="D59">
        <v>1</v>
      </c>
      <c r="E59">
        <v>1</v>
      </c>
      <c r="F59">
        <v>0</v>
      </c>
      <c r="G59">
        <v>1</v>
      </c>
      <c r="H59">
        <v>0</v>
      </c>
      <c r="I59" t="s">
        <v>13</v>
      </c>
      <c r="J59">
        <v>1</v>
      </c>
      <c r="K59">
        <v>0</v>
      </c>
    </row>
    <row r="60" spans="1:11" x14ac:dyDescent="0.3">
      <c r="A60">
        <v>4184</v>
      </c>
      <c r="B60">
        <v>100000</v>
      </c>
      <c r="C60" t="s">
        <v>14</v>
      </c>
      <c r="D60">
        <v>0</v>
      </c>
      <c r="E60">
        <v>0</v>
      </c>
      <c r="F60">
        <v>0</v>
      </c>
      <c r="G60">
        <v>0</v>
      </c>
      <c r="H60">
        <v>1</v>
      </c>
      <c r="I60" t="s">
        <v>15</v>
      </c>
      <c r="J60">
        <v>0</v>
      </c>
      <c r="K60">
        <v>1</v>
      </c>
    </row>
    <row r="61" spans="1:11" x14ac:dyDescent="0.3">
      <c r="A61">
        <v>136</v>
      </c>
      <c r="B61">
        <v>72000</v>
      </c>
      <c r="C61" t="s">
        <v>14</v>
      </c>
      <c r="D61">
        <v>0</v>
      </c>
      <c r="E61">
        <v>1</v>
      </c>
      <c r="F61">
        <v>0</v>
      </c>
      <c r="G61">
        <v>1</v>
      </c>
      <c r="H61">
        <v>0</v>
      </c>
      <c r="I61" t="s">
        <v>13</v>
      </c>
      <c r="J61">
        <v>0</v>
      </c>
      <c r="K61">
        <v>0</v>
      </c>
    </row>
    <row r="62" spans="1:11" x14ac:dyDescent="0.3">
      <c r="A62">
        <v>140</v>
      </c>
      <c r="B62">
        <v>73333.333329999994</v>
      </c>
      <c r="C62" t="s">
        <v>14</v>
      </c>
      <c r="D62">
        <v>0</v>
      </c>
      <c r="E62">
        <v>1</v>
      </c>
      <c r="F62">
        <v>0</v>
      </c>
      <c r="G62">
        <v>0</v>
      </c>
      <c r="H62">
        <v>1</v>
      </c>
      <c r="I62" t="s">
        <v>13</v>
      </c>
      <c r="J62">
        <v>1</v>
      </c>
      <c r="K62">
        <v>0</v>
      </c>
    </row>
    <row r="63" spans="1:11" x14ac:dyDescent="0.3">
      <c r="A63">
        <v>143</v>
      </c>
      <c r="B63">
        <v>58823.529410000003</v>
      </c>
      <c r="C63" t="s">
        <v>14</v>
      </c>
      <c r="D63">
        <v>0</v>
      </c>
      <c r="E63">
        <v>0</v>
      </c>
      <c r="F63">
        <v>0</v>
      </c>
      <c r="G63">
        <v>0</v>
      </c>
      <c r="H63">
        <v>1</v>
      </c>
      <c r="I63" t="s">
        <v>13</v>
      </c>
      <c r="J63">
        <v>1</v>
      </c>
      <c r="K63">
        <v>0</v>
      </c>
    </row>
    <row r="64" spans="1:11" x14ac:dyDescent="0.3">
      <c r="A64">
        <v>145</v>
      </c>
      <c r="B64">
        <v>25000</v>
      </c>
      <c r="C64" t="s">
        <v>12</v>
      </c>
      <c r="D64">
        <v>1</v>
      </c>
      <c r="E64">
        <v>1</v>
      </c>
      <c r="F64">
        <v>0</v>
      </c>
      <c r="G64">
        <v>0</v>
      </c>
      <c r="H64">
        <v>1</v>
      </c>
      <c r="I64" t="s">
        <v>13</v>
      </c>
      <c r="J64">
        <v>1</v>
      </c>
      <c r="K64">
        <v>0</v>
      </c>
    </row>
    <row r="65" spans="1:11" x14ac:dyDescent="0.3">
      <c r="A65">
        <v>149</v>
      </c>
      <c r="B65">
        <v>50000</v>
      </c>
      <c r="C65" t="s">
        <v>14</v>
      </c>
      <c r="D65">
        <v>0</v>
      </c>
      <c r="E65">
        <v>0</v>
      </c>
      <c r="F65">
        <v>0</v>
      </c>
      <c r="G65">
        <v>0</v>
      </c>
      <c r="H65">
        <v>1</v>
      </c>
      <c r="I65" t="s">
        <v>13</v>
      </c>
      <c r="J65">
        <v>0</v>
      </c>
      <c r="K65">
        <v>1</v>
      </c>
    </row>
    <row r="66" spans="1:11" x14ac:dyDescent="0.3">
      <c r="A66">
        <v>150</v>
      </c>
      <c r="B66">
        <v>40000</v>
      </c>
      <c r="C66" t="s">
        <v>14</v>
      </c>
      <c r="D66">
        <v>0</v>
      </c>
      <c r="E66">
        <v>1</v>
      </c>
      <c r="F66">
        <v>0</v>
      </c>
      <c r="G66">
        <v>0</v>
      </c>
      <c r="H66">
        <v>1</v>
      </c>
      <c r="I66" t="s">
        <v>13</v>
      </c>
      <c r="J66">
        <v>0</v>
      </c>
      <c r="K66">
        <v>1</v>
      </c>
    </row>
    <row r="67" spans="1:11" x14ac:dyDescent="0.3">
      <c r="A67">
        <v>153</v>
      </c>
      <c r="B67">
        <v>80000</v>
      </c>
      <c r="C67" t="s">
        <v>14</v>
      </c>
      <c r="D67">
        <v>0</v>
      </c>
      <c r="E67">
        <v>0</v>
      </c>
      <c r="F67">
        <v>0</v>
      </c>
      <c r="G67">
        <v>0</v>
      </c>
      <c r="H67">
        <v>1</v>
      </c>
      <c r="I67" t="s">
        <v>13</v>
      </c>
      <c r="J67">
        <v>0</v>
      </c>
      <c r="K67">
        <v>1</v>
      </c>
    </row>
    <row r="68" spans="1:11" x14ac:dyDescent="0.3">
      <c r="A68">
        <v>154</v>
      </c>
      <c r="B68">
        <v>9090.9090909999995</v>
      </c>
      <c r="C68" t="s">
        <v>14</v>
      </c>
      <c r="D68">
        <v>0</v>
      </c>
      <c r="E68">
        <v>0</v>
      </c>
      <c r="F68">
        <v>0</v>
      </c>
      <c r="G68">
        <v>0</v>
      </c>
      <c r="H68">
        <v>1</v>
      </c>
      <c r="I68" t="s">
        <v>13</v>
      </c>
      <c r="J68">
        <v>0</v>
      </c>
      <c r="K68">
        <v>1</v>
      </c>
    </row>
    <row r="69" spans="1:11" x14ac:dyDescent="0.3">
      <c r="A69">
        <v>161</v>
      </c>
      <c r="B69">
        <v>35000</v>
      </c>
      <c r="C69" t="s">
        <v>14</v>
      </c>
      <c r="D69">
        <v>0</v>
      </c>
      <c r="E69">
        <v>1</v>
      </c>
      <c r="F69">
        <v>0</v>
      </c>
      <c r="G69">
        <v>0</v>
      </c>
      <c r="H69">
        <v>1</v>
      </c>
      <c r="I69" t="s">
        <v>13</v>
      </c>
      <c r="J69">
        <v>1</v>
      </c>
      <c r="K69">
        <v>0</v>
      </c>
    </row>
    <row r="70" spans="1:11" x14ac:dyDescent="0.3">
      <c r="A70">
        <v>165</v>
      </c>
      <c r="B70">
        <v>-12000</v>
      </c>
      <c r="C70" t="s">
        <v>14</v>
      </c>
      <c r="D70">
        <v>0</v>
      </c>
      <c r="E70">
        <v>0</v>
      </c>
      <c r="F70">
        <v>0</v>
      </c>
      <c r="G70">
        <v>1</v>
      </c>
      <c r="H70">
        <v>0</v>
      </c>
      <c r="I70" t="s">
        <v>13</v>
      </c>
      <c r="J70">
        <v>1</v>
      </c>
      <c r="K70">
        <v>0</v>
      </c>
    </row>
    <row r="71" spans="1:11" x14ac:dyDescent="0.3">
      <c r="A71">
        <v>4183</v>
      </c>
      <c r="B71">
        <v>100000</v>
      </c>
      <c r="C71" t="s">
        <v>14</v>
      </c>
      <c r="D71">
        <v>0</v>
      </c>
      <c r="E71">
        <v>0</v>
      </c>
      <c r="F71">
        <v>0</v>
      </c>
      <c r="G71">
        <v>0</v>
      </c>
      <c r="H71">
        <v>1</v>
      </c>
      <c r="I71" t="s">
        <v>15</v>
      </c>
      <c r="J71">
        <v>1</v>
      </c>
      <c r="K71">
        <v>1</v>
      </c>
    </row>
    <row r="72" spans="1:11" x14ac:dyDescent="0.3">
      <c r="A72">
        <v>174</v>
      </c>
      <c r="B72">
        <v>40000</v>
      </c>
      <c r="C72" t="s">
        <v>12</v>
      </c>
      <c r="D72">
        <v>1</v>
      </c>
      <c r="E72">
        <v>0</v>
      </c>
      <c r="F72">
        <v>0</v>
      </c>
      <c r="G72">
        <v>0</v>
      </c>
      <c r="H72">
        <v>1</v>
      </c>
      <c r="I72" t="s">
        <v>13</v>
      </c>
      <c r="J72">
        <v>1</v>
      </c>
      <c r="K72">
        <v>1</v>
      </c>
    </row>
    <row r="73" spans="1:11" x14ac:dyDescent="0.3">
      <c r="A73">
        <v>175</v>
      </c>
      <c r="B73">
        <v>50000</v>
      </c>
      <c r="C73" t="s">
        <v>14</v>
      </c>
      <c r="D73">
        <v>0</v>
      </c>
      <c r="E73">
        <v>0</v>
      </c>
      <c r="F73">
        <v>0</v>
      </c>
      <c r="G73">
        <v>0</v>
      </c>
      <c r="H73">
        <v>1</v>
      </c>
      <c r="I73" t="s">
        <v>13</v>
      </c>
      <c r="J73">
        <v>0</v>
      </c>
      <c r="K73">
        <v>0</v>
      </c>
    </row>
    <row r="74" spans="1:11" x14ac:dyDescent="0.3">
      <c r="A74">
        <v>181</v>
      </c>
      <c r="B74">
        <v>66666.666670000006</v>
      </c>
      <c r="C74" t="s">
        <v>14</v>
      </c>
      <c r="D74">
        <v>0</v>
      </c>
      <c r="E74">
        <v>1</v>
      </c>
      <c r="F74">
        <v>0</v>
      </c>
      <c r="G74">
        <v>0</v>
      </c>
      <c r="H74">
        <v>1</v>
      </c>
      <c r="I74" t="s">
        <v>13</v>
      </c>
      <c r="J74">
        <v>1</v>
      </c>
      <c r="K74">
        <v>0</v>
      </c>
    </row>
    <row r="75" spans="1:11" x14ac:dyDescent="0.3">
      <c r="A75">
        <v>183</v>
      </c>
      <c r="B75">
        <v>7777.7777779999997</v>
      </c>
      <c r="C75" t="s">
        <v>14</v>
      </c>
      <c r="D75">
        <v>0</v>
      </c>
      <c r="E75">
        <v>0</v>
      </c>
      <c r="F75">
        <v>0</v>
      </c>
      <c r="G75">
        <v>1</v>
      </c>
      <c r="H75">
        <v>0</v>
      </c>
      <c r="I75" t="s">
        <v>13</v>
      </c>
      <c r="J75">
        <v>0</v>
      </c>
      <c r="K75">
        <v>1</v>
      </c>
    </row>
    <row r="76" spans="1:11" x14ac:dyDescent="0.3">
      <c r="A76">
        <v>184</v>
      </c>
      <c r="B76">
        <v>10000</v>
      </c>
      <c r="C76" t="s">
        <v>14</v>
      </c>
      <c r="D76">
        <v>0</v>
      </c>
      <c r="E76">
        <v>1</v>
      </c>
      <c r="F76">
        <v>0</v>
      </c>
      <c r="G76">
        <v>0</v>
      </c>
      <c r="H76">
        <v>1</v>
      </c>
      <c r="I76" t="s">
        <v>13</v>
      </c>
      <c r="J76">
        <v>0</v>
      </c>
      <c r="K76">
        <v>1</v>
      </c>
    </row>
    <row r="77" spans="1:11" x14ac:dyDescent="0.3">
      <c r="A77">
        <v>185</v>
      </c>
      <c r="B77">
        <v>33333.333330000001</v>
      </c>
      <c r="C77" t="s">
        <v>14</v>
      </c>
      <c r="D77">
        <v>0</v>
      </c>
      <c r="E77">
        <v>0</v>
      </c>
      <c r="F77">
        <v>0</v>
      </c>
      <c r="G77">
        <v>0</v>
      </c>
      <c r="H77">
        <v>1</v>
      </c>
      <c r="I77" t="s">
        <v>13</v>
      </c>
      <c r="J77">
        <v>1</v>
      </c>
      <c r="K77">
        <v>0</v>
      </c>
    </row>
    <row r="78" spans="1:11" x14ac:dyDescent="0.3">
      <c r="A78">
        <v>186</v>
      </c>
      <c r="B78">
        <v>26666.666669999999</v>
      </c>
      <c r="C78" t="s">
        <v>14</v>
      </c>
      <c r="D78">
        <v>0</v>
      </c>
      <c r="E78">
        <v>0</v>
      </c>
      <c r="F78">
        <v>0</v>
      </c>
      <c r="G78">
        <v>1</v>
      </c>
      <c r="H78">
        <v>0</v>
      </c>
      <c r="I78" t="s">
        <v>13</v>
      </c>
      <c r="J78">
        <v>1</v>
      </c>
      <c r="K78">
        <v>0</v>
      </c>
    </row>
    <row r="79" spans="1:11" x14ac:dyDescent="0.3">
      <c r="A79">
        <v>187</v>
      </c>
      <c r="B79">
        <v>14285.71429</v>
      </c>
      <c r="C79" t="s">
        <v>14</v>
      </c>
      <c r="D79">
        <v>0</v>
      </c>
      <c r="E79">
        <v>0</v>
      </c>
      <c r="F79">
        <v>0</v>
      </c>
      <c r="G79">
        <v>0</v>
      </c>
      <c r="H79">
        <v>1</v>
      </c>
      <c r="I79" t="s">
        <v>13</v>
      </c>
      <c r="J79">
        <v>0</v>
      </c>
      <c r="K79">
        <v>0</v>
      </c>
    </row>
    <row r="80" spans="1:11" x14ac:dyDescent="0.3">
      <c r="A80">
        <v>190</v>
      </c>
      <c r="B80">
        <v>40000</v>
      </c>
      <c r="C80" t="s">
        <v>14</v>
      </c>
      <c r="D80">
        <v>0</v>
      </c>
      <c r="E80">
        <v>0</v>
      </c>
      <c r="F80">
        <v>0</v>
      </c>
      <c r="G80">
        <v>1</v>
      </c>
      <c r="H80">
        <v>0</v>
      </c>
      <c r="I80" t="s">
        <v>13</v>
      </c>
      <c r="J80">
        <v>1</v>
      </c>
      <c r="K80">
        <v>1</v>
      </c>
    </row>
    <row r="81" spans="1:11" x14ac:dyDescent="0.3">
      <c r="A81">
        <v>192</v>
      </c>
      <c r="B81">
        <v>-20000</v>
      </c>
      <c r="C81" t="s">
        <v>14</v>
      </c>
      <c r="D81">
        <v>0</v>
      </c>
      <c r="E81">
        <v>0</v>
      </c>
      <c r="F81">
        <v>0</v>
      </c>
      <c r="G81">
        <v>1</v>
      </c>
      <c r="H81">
        <v>0</v>
      </c>
      <c r="I81" t="s">
        <v>13</v>
      </c>
      <c r="J81">
        <v>1</v>
      </c>
      <c r="K81">
        <v>1</v>
      </c>
    </row>
    <row r="82" spans="1:11" x14ac:dyDescent="0.3">
      <c r="A82">
        <v>193</v>
      </c>
      <c r="B82">
        <v>25000</v>
      </c>
      <c r="C82" t="s">
        <v>14</v>
      </c>
      <c r="D82">
        <v>0</v>
      </c>
      <c r="E82">
        <v>0</v>
      </c>
      <c r="F82">
        <v>0</v>
      </c>
      <c r="G82">
        <v>1</v>
      </c>
      <c r="H82">
        <v>0</v>
      </c>
      <c r="I82" t="s">
        <v>13</v>
      </c>
      <c r="J82">
        <v>1</v>
      </c>
      <c r="K82">
        <v>0</v>
      </c>
    </row>
    <row r="83" spans="1:11" x14ac:dyDescent="0.3">
      <c r="A83">
        <v>194</v>
      </c>
      <c r="B83">
        <v>100000</v>
      </c>
      <c r="C83" t="s">
        <v>12</v>
      </c>
      <c r="D83">
        <v>1</v>
      </c>
      <c r="E83">
        <v>0</v>
      </c>
      <c r="F83">
        <v>0</v>
      </c>
      <c r="G83">
        <v>0</v>
      </c>
      <c r="H83">
        <v>1</v>
      </c>
      <c r="I83" t="s">
        <v>13</v>
      </c>
      <c r="J83">
        <v>1</v>
      </c>
      <c r="K83">
        <v>0</v>
      </c>
    </row>
    <row r="84" spans="1:11" x14ac:dyDescent="0.3">
      <c r="A84">
        <v>199</v>
      </c>
      <c r="B84">
        <v>10000</v>
      </c>
      <c r="C84" t="s">
        <v>12</v>
      </c>
      <c r="D84">
        <v>1</v>
      </c>
      <c r="E84">
        <v>0</v>
      </c>
      <c r="F84">
        <v>0</v>
      </c>
      <c r="G84">
        <v>0</v>
      </c>
      <c r="H84">
        <v>1</v>
      </c>
      <c r="I84" t="s">
        <v>13</v>
      </c>
      <c r="J84">
        <v>1</v>
      </c>
      <c r="K84">
        <v>1</v>
      </c>
    </row>
    <row r="85" spans="1:11" x14ac:dyDescent="0.3">
      <c r="A85">
        <v>200</v>
      </c>
      <c r="B85">
        <v>28000</v>
      </c>
      <c r="C85" t="s">
        <v>14</v>
      </c>
      <c r="D85">
        <v>0</v>
      </c>
      <c r="E85">
        <v>0</v>
      </c>
      <c r="F85">
        <v>0</v>
      </c>
      <c r="G85">
        <v>0</v>
      </c>
      <c r="H85">
        <v>1</v>
      </c>
      <c r="I85" t="s">
        <v>13</v>
      </c>
      <c r="J85">
        <v>1</v>
      </c>
      <c r="K85">
        <v>1</v>
      </c>
    </row>
    <row r="86" spans="1:11" x14ac:dyDescent="0.3">
      <c r="A86">
        <v>201</v>
      </c>
      <c r="B86">
        <v>60000</v>
      </c>
      <c r="C86" t="s">
        <v>14</v>
      </c>
      <c r="D86">
        <v>0</v>
      </c>
      <c r="E86">
        <v>0</v>
      </c>
      <c r="F86">
        <v>0</v>
      </c>
      <c r="G86">
        <v>0</v>
      </c>
      <c r="H86">
        <v>1</v>
      </c>
      <c r="I86" t="s">
        <v>13</v>
      </c>
      <c r="J86">
        <v>1</v>
      </c>
      <c r="K86">
        <v>1</v>
      </c>
    </row>
    <row r="87" spans="1:11" x14ac:dyDescent="0.3">
      <c r="A87">
        <v>202</v>
      </c>
      <c r="B87">
        <v>28000</v>
      </c>
      <c r="C87" t="s">
        <v>14</v>
      </c>
      <c r="D87">
        <v>0</v>
      </c>
      <c r="E87">
        <v>0</v>
      </c>
      <c r="F87">
        <v>0</v>
      </c>
      <c r="G87">
        <v>0</v>
      </c>
      <c r="H87">
        <v>1</v>
      </c>
      <c r="I87" t="s">
        <v>13</v>
      </c>
      <c r="J87">
        <v>1</v>
      </c>
      <c r="K87">
        <v>0</v>
      </c>
    </row>
    <row r="88" spans="1:11" x14ac:dyDescent="0.3">
      <c r="A88">
        <v>205</v>
      </c>
      <c r="B88">
        <v>50000</v>
      </c>
      <c r="C88" t="s">
        <v>14</v>
      </c>
      <c r="D88">
        <v>0</v>
      </c>
      <c r="E88">
        <v>0</v>
      </c>
      <c r="F88">
        <v>0</v>
      </c>
      <c r="G88">
        <v>0</v>
      </c>
      <c r="H88">
        <v>1</v>
      </c>
      <c r="I88" t="s">
        <v>13</v>
      </c>
      <c r="J88">
        <v>1</v>
      </c>
      <c r="K88">
        <v>1</v>
      </c>
    </row>
    <row r="89" spans="1:11" x14ac:dyDescent="0.3">
      <c r="A89">
        <v>208</v>
      </c>
      <c r="B89">
        <v>40000</v>
      </c>
      <c r="C89" t="s">
        <v>14</v>
      </c>
      <c r="D89">
        <v>0</v>
      </c>
      <c r="E89">
        <v>1</v>
      </c>
      <c r="F89">
        <v>0</v>
      </c>
      <c r="G89">
        <v>0</v>
      </c>
      <c r="H89">
        <v>1</v>
      </c>
      <c r="I89" t="s">
        <v>13</v>
      </c>
      <c r="J89">
        <v>1</v>
      </c>
      <c r="K89">
        <v>0</v>
      </c>
    </row>
    <row r="90" spans="1:11" x14ac:dyDescent="0.3">
      <c r="A90">
        <v>209</v>
      </c>
      <c r="B90">
        <v>50000</v>
      </c>
      <c r="C90" t="s">
        <v>14</v>
      </c>
      <c r="D90">
        <v>0</v>
      </c>
      <c r="E90">
        <v>0</v>
      </c>
      <c r="F90">
        <v>0</v>
      </c>
      <c r="G90">
        <v>1</v>
      </c>
      <c r="H90">
        <v>0</v>
      </c>
      <c r="I90" t="s">
        <v>13</v>
      </c>
      <c r="J90">
        <v>1</v>
      </c>
      <c r="K90">
        <v>0</v>
      </c>
    </row>
    <row r="91" spans="1:11" x14ac:dyDescent="0.3">
      <c r="A91">
        <v>210</v>
      </c>
      <c r="B91">
        <v>8571.4285710000004</v>
      </c>
      <c r="C91" t="s">
        <v>14</v>
      </c>
      <c r="D91">
        <v>0</v>
      </c>
      <c r="E91">
        <v>0</v>
      </c>
      <c r="F91">
        <v>0</v>
      </c>
      <c r="G91">
        <v>0</v>
      </c>
      <c r="H91">
        <v>1</v>
      </c>
      <c r="I91" t="s">
        <v>13</v>
      </c>
      <c r="J91">
        <v>0</v>
      </c>
      <c r="K91">
        <v>1</v>
      </c>
    </row>
    <row r="92" spans="1:11" x14ac:dyDescent="0.3">
      <c r="A92">
        <v>212</v>
      </c>
      <c r="B92">
        <v>33333.333330000001</v>
      </c>
      <c r="C92" t="s">
        <v>14</v>
      </c>
      <c r="D92">
        <v>0</v>
      </c>
      <c r="E92">
        <v>1</v>
      </c>
      <c r="F92">
        <v>0</v>
      </c>
      <c r="G92">
        <v>0</v>
      </c>
      <c r="H92">
        <v>1</v>
      </c>
      <c r="I92" t="s">
        <v>13</v>
      </c>
      <c r="J92">
        <v>1</v>
      </c>
      <c r="K92">
        <v>0</v>
      </c>
    </row>
    <row r="93" spans="1:11" x14ac:dyDescent="0.3">
      <c r="A93">
        <v>213</v>
      </c>
      <c r="B93">
        <v>33333.333330000001</v>
      </c>
      <c r="C93" t="s">
        <v>14</v>
      </c>
      <c r="D93">
        <v>0</v>
      </c>
      <c r="E93">
        <v>1</v>
      </c>
      <c r="F93">
        <v>0</v>
      </c>
      <c r="G93">
        <v>1</v>
      </c>
      <c r="H93">
        <v>0</v>
      </c>
      <c r="I93" t="s">
        <v>13</v>
      </c>
      <c r="J93">
        <v>0</v>
      </c>
      <c r="K93">
        <v>0</v>
      </c>
    </row>
    <row r="94" spans="1:11" x14ac:dyDescent="0.3">
      <c r="A94">
        <v>214</v>
      </c>
      <c r="B94">
        <v>40000</v>
      </c>
      <c r="C94" t="s">
        <v>14</v>
      </c>
      <c r="D94">
        <v>0</v>
      </c>
      <c r="E94">
        <v>0</v>
      </c>
      <c r="F94">
        <v>0</v>
      </c>
      <c r="G94">
        <v>0</v>
      </c>
      <c r="H94">
        <v>1</v>
      </c>
      <c r="I94" t="s">
        <v>13</v>
      </c>
      <c r="J94">
        <v>1</v>
      </c>
      <c r="K94">
        <v>0</v>
      </c>
    </row>
    <row r="95" spans="1:11" x14ac:dyDescent="0.3">
      <c r="A95">
        <v>215</v>
      </c>
      <c r="B95">
        <v>25000</v>
      </c>
      <c r="C95" t="s">
        <v>14</v>
      </c>
      <c r="D95">
        <v>0</v>
      </c>
      <c r="E95">
        <v>0</v>
      </c>
      <c r="F95">
        <v>0</v>
      </c>
      <c r="G95">
        <v>1</v>
      </c>
      <c r="H95">
        <v>0</v>
      </c>
      <c r="I95" t="s">
        <v>13</v>
      </c>
      <c r="J95">
        <v>1</v>
      </c>
      <c r="K95">
        <v>0</v>
      </c>
    </row>
    <row r="96" spans="1:11" x14ac:dyDescent="0.3">
      <c r="A96">
        <v>216</v>
      </c>
      <c r="B96">
        <v>26666.666669999999</v>
      </c>
      <c r="C96" t="s">
        <v>14</v>
      </c>
      <c r="D96">
        <v>0</v>
      </c>
      <c r="E96">
        <v>0</v>
      </c>
      <c r="F96">
        <v>0</v>
      </c>
      <c r="G96">
        <v>1</v>
      </c>
      <c r="H96">
        <v>0</v>
      </c>
      <c r="I96" t="s">
        <v>13</v>
      </c>
      <c r="J96">
        <v>1</v>
      </c>
      <c r="K96">
        <v>0</v>
      </c>
    </row>
    <row r="97" spans="1:11" x14ac:dyDescent="0.3">
      <c r="A97">
        <v>217</v>
      </c>
      <c r="B97">
        <v>5000</v>
      </c>
      <c r="C97" t="s">
        <v>14</v>
      </c>
      <c r="D97">
        <v>0</v>
      </c>
      <c r="E97">
        <v>1</v>
      </c>
      <c r="F97">
        <v>0</v>
      </c>
      <c r="G97">
        <v>0</v>
      </c>
      <c r="H97">
        <v>1</v>
      </c>
      <c r="I97" t="s">
        <v>13</v>
      </c>
      <c r="J97">
        <v>1</v>
      </c>
      <c r="K97">
        <v>1</v>
      </c>
    </row>
    <row r="98" spans="1:11" x14ac:dyDescent="0.3">
      <c r="A98">
        <v>218</v>
      </c>
      <c r="B98">
        <v>100000</v>
      </c>
      <c r="C98" t="s">
        <v>14</v>
      </c>
      <c r="D98">
        <v>0</v>
      </c>
      <c r="E98">
        <v>0</v>
      </c>
      <c r="F98">
        <v>0</v>
      </c>
      <c r="G98">
        <v>1</v>
      </c>
      <c r="H98">
        <v>0</v>
      </c>
      <c r="I98" t="s">
        <v>13</v>
      </c>
      <c r="J98">
        <v>1</v>
      </c>
      <c r="K98">
        <v>0</v>
      </c>
    </row>
    <row r="99" spans="1:11" x14ac:dyDescent="0.3">
      <c r="A99">
        <v>219</v>
      </c>
      <c r="B99">
        <v>50000</v>
      </c>
      <c r="C99" t="s">
        <v>12</v>
      </c>
      <c r="D99">
        <v>1</v>
      </c>
      <c r="E99">
        <v>0</v>
      </c>
      <c r="F99">
        <v>0</v>
      </c>
      <c r="G99">
        <v>0</v>
      </c>
      <c r="H99">
        <v>1</v>
      </c>
      <c r="I99" t="s">
        <v>13</v>
      </c>
      <c r="J99">
        <v>1</v>
      </c>
      <c r="K99">
        <v>0</v>
      </c>
    </row>
    <row r="100" spans="1:11" x14ac:dyDescent="0.3">
      <c r="A100">
        <v>220</v>
      </c>
      <c r="B100">
        <v>25000</v>
      </c>
      <c r="C100" t="s">
        <v>14</v>
      </c>
      <c r="D100">
        <v>0</v>
      </c>
      <c r="E100">
        <v>0</v>
      </c>
      <c r="F100">
        <v>0</v>
      </c>
      <c r="G100">
        <v>1</v>
      </c>
      <c r="H100">
        <v>0</v>
      </c>
      <c r="I100" t="s">
        <v>13</v>
      </c>
      <c r="J100">
        <v>1</v>
      </c>
      <c r="K100">
        <v>0</v>
      </c>
    </row>
    <row r="101" spans="1:11" x14ac:dyDescent="0.3">
      <c r="A101">
        <v>221</v>
      </c>
      <c r="B101">
        <v>10000</v>
      </c>
      <c r="C101" t="s">
        <v>14</v>
      </c>
      <c r="D101">
        <v>0</v>
      </c>
      <c r="E101">
        <v>1</v>
      </c>
      <c r="F101">
        <v>0</v>
      </c>
      <c r="G101">
        <v>1</v>
      </c>
      <c r="H101">
        <v>0</v>
      </c>
      <c r="I101" t="s">
        <v>13</v>
      </c>
      <c r="J101">
        <v>1</v>
      </c>
      <c r="K101">
        <v>0</v>
      </c>
    </row>
    <row r="102" spans="1:11" x14ac:dyDescent="0.3">
      <c r="A102">
        <v>223</v>
      </c>
      <c r="B102">
        <v>40000</v>
      </c>
      <c r="C102" t="s">
        <v>14</v>
      </c>
      <c r="D102">
        <v>0</v>
      </c>
      <c r="E102">
        <v>0</v>
      </c>
      <c r="F102">
        <v>0</v>
      </c>
      <c r="G102">
        <v>1</v>
      </c>
      <c r="H102">
        <v>0</v>
      </c>
      <c r="I102" t="s">
        <v>13</v>
      </c>
      <c r="J102">
        <v>1</v>
      </c>
      <c r="K102">
        <v>0</v>
      </c>
    </row>
    <row r="103" spans="1:11" x14ac:dyDescent="0.3">
      <c r="A103">
        <v>224</v>
      </c>
      <c r="B103">
        <v>50000</v>
      </c>
      <c r="C103" t="s">
        <v>14</v>
      </c>
      <c r="D103">
        <v>0</v>
      </c>
      <c r="E103">
        <v>0</v>
      </c>
      <c r="F103">
        <v>0</v>
      </c>
      <c r="G103">
        <v>1</v>
      </c>
      <c r="H103">
        <v>0</v>
      </c>
      <c r="I103" t="s">
        <v>13</v>
      </c>
      <c r="J103">
        <v>1</v>
      </c>
      <c r="K103">
        <v>0</v>
      </c>
    </row>
    <row r="104" spans="1:11" x14ac:dyDescent="0.3">
      <c r="A104">
        <v>226</v>
      </c>
      <c r="B104">
        <v>70000</v>
      </c>
      <c r="C104" t="s">
        <v>14</v>
      </c>
      <c r="D104">
        <v>0</v>
      </c>
      <c r="E104">
        <v>0</v>
      </c>
      <c r="F104">
        <v>0</v>
      </c>
      <c r="G104">
        <v>0</v>
      </c>
      <c r="H104">
        <v>1</v>
      </c>
      <c r="I104" t="s">
        <v>13</v>
      </c>
      <c r="J104">
        <v>1</v>
      </c>
      <c r="K104">
        <v>0</v>
      </c>
    </row>
    <row r="105" spans="1:11" x14ac:dyDescent="0.3">
      <c r="A105">
        <v>227</v>
      </c>
      <c r="B105">
        <v>33333.333330000001</v>
      </c>
      <c r="C105" t="s">
        <v>12</v>
      </c>
      <c r="D105">
        <v>1</v>
      </c>
      <c r="E105">
        <v>1</v>
      </c>
      <c r="F105">
        <v>0</v>
      </c>
      <c r="G105">
        <v>0</v>
      </c>
      <c r="H105">
        <v>1</v>
      </c>
      <c r="I105" t="s">
        <v>13</v>
      </c>
      <c r="J105">
        <v>1</v>
      </c>
      <c r="K105">
        <v>1</v>
      </c>
    </row>
    <row r="106" spans="1:11" x14ac:dyDescent="0.3">
      <c r="A106">
        <v>229</v>
      </c>
      <c r="B106">
        <v>60000</v>
      </c>
      <c r="C106" t="s">
        <v>14</v>
      </c>
      <c r="D106">
        <v>0</v>
      </c>
      <c r="E106">
        <v>1</v>
      </c>
      <c r="F106">
        <v>0</v>
      </c>
      <c r="G106">
        <v>0</v>
      </c>
      <c r="H106">
        <v>1</v>
      </c>
      <c r="I106" t="s">
        <v>13</v>
      </c>
      <c r="J106">
        <v>1</v>
      </c>
      <c r="K106">
        <v>0</v>
      </c>
    </row>
    <row r="107" spans="1:11" x14ac:dyDescent="0.3">
      <c r="A107">
        <v>233</v>
      </c>
      <c r="B107">
        <v>50000</v>
      </c>
      <c r="C107" t="s">
        <v>12</v>
      </c>
      <c r="D107">
        <v>1</v>
      </c>
      <c r="E107">
        <v>1</v>
      </c>
      <c r="F107">
        <v>0</v>
      </c>
      <c r="G107">
        <v>1</v>
      </c>
      <c r="H107">
        <v>0</v>
      </c>
      <c r="I107" t="s">
        <v>13</v>
      </c>
      <c r="J107">
        <v>1</v>
      </c>
      <c r="K107">
        <v>0</v>
      </c>
    </row>
    <row r="108" spans="1:11" x14ac:dyDescent="0.3">
      <c r="A108">
        <v>234</v>
      </c>
      <c r="B108">
        <v>32500</v>
      </c>
      <c r="C108" t="s">
        <v>12</v>
      </c>
      <c r="D108">
        <v>1</v>
      </c>
      <c r="E108">
        <v>0</v>
      </c>
      <c r="F108">
        <v>0</v>
      </c>
      <c r="G108">
        <v>0</v>
      </c>
      <c r="H108">
        <v>1</v>
      </c>
      <c r="I108" t="s">
        <v>13</v>
      </c>
      <c r="J108">
        <v>1</v>
      </c>
      <c r="K108">
        <v>0</v>
      </c>
    </row>
    <row r="109" spans="1:11" x14ac:dyDescent="0.3">
      <c r="A109">
        <v>235</v>
      </c>
      <c r="B109">
        <v>25000</v>
      </c>
      <c r="C109" t="s">
        <v>14</v>
      </c>
      <c r="D109">
        <v>0</v>
      </c>
      <c r="E109">
        <v>1</v>
      </c>
      <c r="F109">
        <v>0</v>
      </c>
      <c r="G109">
        <v>1</v>
      </c>
      <c r="H109">
        <v>0</v>
      </c>
      <c r="I109" t="s">
        <v>13</v>
      </c>
      <c r="J109">
        <v>0</v>
      </c>
      <c r="K109">
        <v>0</v>
      </c>
    </row>
    <row r="110" spans="1:11" x14ac:dyDescent="0.3">
      <c r="A110">
        <v>236</v>
      </c>
      <c r="B110">
        <v>25000</v>
      </c>
      <c r="C110" t="s">
        <v>14</v>
      </c>
      <c r="D110">
        <v>0</v>
      </c>
      <c r="E110">
        <v>1</v>
      </c>
      <c r="F110">
        <v>0</v>
      </c>
      <c r="G110">
        <v>0</v>
      </c>
      <c r="H110">
        <v>1</v>
      </c>
      <c r="I110" t="s">
        <v>13</v>
      </c>
      <c r="J110">
        <v>1</v>
      </c>
      <c r="K110">
        <v>0</v>
      </c>
    </row>
    <row r="111" spans="1:11" x14ac:dyDescent="0.3">
      <c r="A111">
        <v>238</v>
      </c>
      <c r="B111">
        <v>33333.333330000001</v>
      </c>
      <c r="C111" t="s">
        <v>12</v>
      </c>
      <c r="D111">
        <v>1</v>
      </c>
      <c r="E111">
        <v>0</v>
      </c>
      <c r="F111">
        <v>0</v>
      </c>
      <c r="G111">
        <v>0</v>
      </c>
      <c r="H111">
        <v>1</v>
      </c>
      <c r="I111" t="s">
        <v>13</v>
      </c>
      <c r="J111">
        <v>1</v>
      </c>
      <c r="K111">
        <v>0</v>
      </c>
    </row>
    <row r="112" spans="1:11" x14ac:dyDescent="0.3">
      <c r="A112">
        <v>239</v>
      </c>
      <c r="B112">
        <v>150000</v>
      </c>
      <c r="C112" t="s">
        <v>12</v>
      </c>
      <c r="D112">
        <v>1</v>
      </c>
      <c r="E112">
        <v>0</v>
      </c>
      <c r="F112">
        <v>0</v>
      </c>
      <c r="G112">
        <v>0</v>
      </c>
      <c r="H112">
        <v>1</v>
      </c>
      <c r="I112" t="s">
        <v>13</v>
      </c>
      <c r="J112">
        <v>1</v>
      </c>
      <c r="K112">
        <v>0</v>
      </c>
    </row>
    <row r="113" spans="1:11" x14ac:dyDescent="0.3">
      <c r="A113">
        <v>240</v>
      </c>
      <c r="B113">
        <v>30000</v>
      </c>
      <c r="C113" t="s">
        <v>14</v>
      </c>
      <c r="D113">
        <v>0</v>
      </c>
      <c r="E113">
        <v>0</v>
      </c>
      <c r="F113">
        <v>0</v>
      </c>
      <c r="G113">
        <v>0</v>
      </c>
      <c r="H113">
        <v>1</v>
      </c>
      <c r="I113" t="s">
        <v>13</v>
      </c>
      <c r="J113">
        <v>1</v>
      </c>
      <c r="K113">
        <v>0</v>
      </c>
    </row>
    <row r="114" spans="1:11" x14ac:dyDescent="0.3">
      <c r="A114">
        <v>241</v>
      </c>
      <c r="B114">
        <v>50000</v>
      </c>
      <c r="C114" t="s">
        <v>14</v>
      </c>
      <c r="D114">
        <v>0</v>
      </c>
      <c r="E114">
        <v>0</v>
      </c>
      <c r="F114">
        <v>0</v>
      </c>
      <c r="G114">
        <v>1</v>
      </c>
      <c r="H114">
        <v>0</v>
      </c>
      <c r="I114" t="s">
        <v>13</v>
      </c>
      <c r="J114">
        <v>1</v>
      </c>
      <c r="K114">
        <v>1</v>
      </c>
    </row>
    <row r="115" spans="1:11" x14ac:dyDescent="0.3">
      <c r="A115">
        <v>242</v>
      </c>
      <c r="B115">
        <v>50000</v>
      </c>
      <c r="C115" t="s">
        <v>12</v>
      </c>
      <c r="D115">
        <v>1</v>
      </c>
      <c r="E115">
        <v>1</v>
      </c>
      <c r="F115">
        <v>0</v>
      </c>
      <c r="G115">
        <v>0</v>
      </c>
      <c r="H115">
        <v>1</v>
      </c>
      <c r="I115" t="s">
        <v>13</v>
      </c>
      <c r="J115">
        <v>0</v>
      </c>
      <c r="K115">
        <v>1</v>
      </c>
    </row>
    <row r="116" spans="1:11" x14ac:dyDescent="0.3">
      <c r="A116">
        <v>243</v>
      </c>
      <c r="B116">
        <v>16000</v>
      </c>
      <c r="C116" t="s">
        <v>14</v>
      </c>
      <c r="D116">
        <v>0</v>
      </c>
      <c r="E116">
        <v>1</v>
      </c>
      <c r="F116">
        <v>0</v>
      </c>
      <c r="G116">
        <v>1</v>
      </c>
      <c r="H116">
        <v>0</v>
      </c>
      <c r="I116" t="s">
        <v>13</v>
      </c>
      <c r="J116">
        <v>1</v>
      </c>
      <c r="K116">
        <v>0</v>
      </c>
    </row>
    <row r="117" spans="1:11" x14ac:dyDescent="0.3">
      <c r="A117">
        <v>244</v>
      </c>
      <c r="B117">
        <v>20000</v>
      </c>
      <c r="C117" t="s">
        <v>14</v>
      </c>
      <c r="D117">
        <v>0</v>
      </c>
      <c r="E117">
        <v>0</v>
      </c>
      <c r="F117">
        <v>0</v>
      </c>
      <c r="G117">
        <v>1</v>
      </c>
      <c r="H117">
        <v>0</v>
      </c>
      <c r="I117" t="s">
        <v>13</v>
      </c>
      <c r="J117">
        <v>1</v>
      </c>
      <c r="K117">
        <v>0</v>
      </c>
    </row>
    <row r="118" spans="1:11" x14ac:dyDescent="0.3">
      <c r="A118">
        <v>245</v>
      </c>
      <c r="B118">
        <v>60000</v>
      </c>
      <c r="C118" t="s">
        <v>14</v>
      </c>
      <c r="D118">
        <v>0</v>
      </c>
      <c r="E118">
        <v>0</v>
      </c>
      <c r="F118">
        <v>0</v>
      </c>
      <c r="G118">
        <v>0</v>
      </c>
      <c r="H118">
        <v>1</v>
      </c>
      <c r="I118" t="s">
        <v>13</v>
      </c>
      <c r="J118">
        <v>1</v>
      </c>
      <c r="K118">
        <v>1</v>
      </c>
    </row>
    <row r="119" spans="1:11" x14ac:dyDescent="0.3">
      <c r="A119">
        <v>248</v>
      </c>
      <c r="B119">
        <v>25000</v>
      </c>
      <c r="C119" t="s">
        <v>14</v>
      </c>
      <c r="D119">
        <v>0</v>
      </c>
      <c r="E119">
        <v>0</v>
      </c>
      <c r="F119">
        <v>0</v>
      </c>
      <c r="G119">
        <v>0</v>
      </c>
      <c r="H119">
        <v>1</v>
      </c>
      <c r="I119" t="s">
        <v>13</v>
      </c>
      <c r="J119">
        <v>1</v>
      </c>
      <c r="K119">
        <v>1</v>
      </c>
    </row>
    <row r="120" spans="1:11" x14ac:dyDescent="0.3">
      <c r="A120">
        <v>252</v>
      </c>
      <c r="B120">
        <v>4000</v>
      </c>
      <c r="C120" t="s">
        <v>12</v>
      </c>
      <c r="D120">
        <v>1</v>
      </c>
      <c r="E120">
        <v>1</v>
      </c>
      <c r="F120">
        <v>0</v>
      </c>
      <c r="G120">
        <v>0</v>
      </c>
      <c r="H120">
        <v>1</v>
      </c>
      <c r="I120" t="s">
        <v>13</v>
      </c>
      <c r="J120">
        <v>0</v>
      </c>
      <c r="K120">
        <v>1</v>
      </c>
    </row>
    <row r="121" spans="1:11" x14ac:dyDescent="0.3">
      <c r="A121">
        <v>259</v>
      </c>
      <c r="B121">
        <v>100000</v>
      </c>
      <c r="C121" t="s">
        <v>12</v>
      </c>
      <c r="D121">
        <v>1</v>
      </c>
      <c r="E121">
        <v>0</v>
      </c>
      <c r="F121">
        <v>0</v>
      </c>
      <c r="G121">
        <v>0</v>
      </c>
      <c r="H121">
        <v>1</v>
      </c>
      <c r="I121" t="s">
        <v>13</v>
      </c>
      <c r="J121">
        <v>1</v>
      </c>
      <c r="K121">
        <v>0</v>
      </c>
    </row>
    <row r="122" spans="1:11" x14ac:dyDescent="0.3">
      <c r="A122">
        <v>261</v>
      </c>
      <c r="B122">
        <v>17500</v>
      </c>
      <c r="C122" t="s">
        <v>14</v>
      </c>
      <c r="D122">
        <v>0</v>
      </c>
      <c r="E122">
        <v>0</v>
      </c>
      <c r="F122">
        <v>0</v>
      </c>
      <c r="G122">
        <v>0</v>
      </c>
      <c r="H122">
        <v>1</v>
      </c>
      <c r="I122" t="s">
        <v>13</v>
      </c>
      <c r="J122">
        <v>1</v>
      </c>
      <c r="K122">
        <v>1</v>
      </c>
    </row>
    <row r="123" spans="1:11" x14ac:dyDescent="0.3">
      <c r="A123">
        <v>262</v>
      </c>
      <c r="B123">
        <v>11818.18182</v>
      </c>
      <c r="C123" t="s">
        <v>14</v>
      </c>
      <c r="D123">
        <v>0</v>
      </c>
      <c r="E123">
        <v>0</v>
      </c>
      <c r="F123">
        <v>0</v>
      </c>
      <c r="G123">
        <v>0</v>
      </c>
      <c r="H123">
        <v>1</v>
      </c>
      <c r="I123" t="s">
        <v>13</v>
      </c>
      <c r="J123">
        <v>0</v>
      </c>
      <c r="K123">
        <v>1</v>
      </c>
    </row>
    <row r="124" spans="1:11" x14ac:dyDescent="0.3">
      <c r="A124">
        <v>263</v>
      </c>
      <c r="B124">
        <v>5000</v>
      </c>
      <c r="C124" t="s">
        <v>14</v>
      </c>
      <c r="D124">
        <v>0</v>
      </c>
      <c r="E124">
        <v>0</v>
      </c>
      <c r="F124">
        <v>0</v>
      </c>
      <c r="G124">
        <v>0</v>
      </c>
      <c r="H124">
        <v>1</v>
      </c>
      <c r="I124" t="s">
        <v>13</v>
      </c>
      <c r="J124">
        <v>1</v>
      </c>
      <c r="K124">
        <v>1</v>
      </c>
    </row>
    <row r="125" spans="1:11" x14ac:dyDescent="0.3">
      <c r="A125">
        <v>264</v>
      </c>
      <c r="B125">
        <v>15000</v>
      </c>
      <c r="C125" t="s">
        <v>14</v>
      </c>
      <c r="D125">
        <v>0</v>
      </c>
      <c r="E125">
        <v>0</v>
      </c>
      <c r="F125">
        <v>0</v>
      </c>
      <c r="G125">
        <v>0</v>
      </c>
      <c r="H125">
        <v>1</v>
      </c>
      <c r="I125" t="s">
        <v>13</v>
      </c>
      <c r="J125">
        <v>1</v>
      </c>
      <c r="K125">
        <v>1</v>
      </c>
    </row>
    <row r="126" spans="1:11" x14ac:dyDescent="0.3">
      <c r="A126">
        <v>266</v>
      </c>
      <c r="B126">
        <v>10769.23077</v>
      </c>
      <c r="C126" t="s">
        <v>14</v>
      </c>
      <c r="D126">
        <v>0</v>
      </c>
      <c r="E126">
        <v>0</v>
      </c>
      <c r="F126">
        <v>0</v>
      </c>
      <c r="G126">
        <v>0</v>
      </c>
      <c r="H126">
        <v>1</v>
      </c>
      <c r="I126" t="s">
        <v>13</v>
      </c>
      <c r="J126">
        <v>0</v>
      </c>
      <c r="K126">
        <v>1</v>
      </c>
    </row>
    <row r="127" spans="1:11" x14ac:dyDescent="0.3">
      <c r="A127">
        <v>270</v>
      </c>
      <c r="B127">
        <v>16000</v>
      </c>
      <c r="C127" t="s">
        <v>14</v>
      </c>
      <c r="D127">
        <v>0</v>
      </c>
      <c r="E127">
        <v>0</v>
      </c>
      <c r="F127">
        <v>0</v>
      </c>
      <c r="G127">
        <v>0</v>
      </c>
      <c r="H127">
        <v>1</v>
      </c>
      <c r="I127" t="s">
        <v>13</v>
      </c>
      <c r="J127">
        <v>0</v>
      </c>
      <c r="K127">
        <v>1</v>
      </c>
    </row>
    <row r="128" spans="1:11" x14ac:dyDescent="0.3">
      <c r="A128">
        <v>278</v>
      </c>
      <c r="B128">
        <v>24444.444439999999</v>
      </c>
      <c r="C128" t="s">
        <v>14</v>
      </c>
      <c r="D128">
        <v>0</v>
      </c>
      <c r="E128">
        <v>0</v>
      </c>
      <c r="F128">
        <v>0</v>
      </c>
      <c r="G128">
        <v>0</v>
      </c>
      <c r="H128">
        <v>1</v>
      </c>
      <c r="I128" t="s">
        <v>13</v>
      </c>
      <c r="J128">
        <v>0</v>
      </c>
      <c r="K128">
        <v>0</v>
      </c>
    </row>
    <row r="129" spans="1:11" x14ac:dyDescent="0.3">
      <c r="A129">
        <v>283</v>
      </c>
      <c r="B129">
        <v>30000</v>
      </c>
      <c r="C129" t="s">
        <v>14</v>
      </c>
      <c r="D129">
        <v>0</v>
      </c>
      <c r="E129">
        <v>0</v>
      </c>
      <c r="F129">
        <v>0</v>
      </c>
      <c r="G129">
        <v>0</v>
      </c>
      <c r="H129">
        <v>1</v>
      </c>
      <c r="I129" t="s">
        <v>13</v>
      </c>
      <c r="J129">
        <v>1</v>
      </c>
      <c r="K129">
        <v>0</v>
      </c>
    </row>
    <row r="130" spans="1:11" x14ac:dyDescent="0.3">
      <c r="A130">
        <v>291</v>
      </c>
      <c r="B130">
        <v>-16666.666669999999</v>
      </c>
      <c r="C130" t="s">
        <v>14</v>
      </c>
      <c r="D130">
        <v>0</v>
      </c>
      <c r="E130">
        <v>1</v>
      </c>
      <c r="F130">
        <v>0</v>
      </c>
      <c r="G130">
        <v>0</v>
      </c>
      <c r="H130">
        <v>1</v>
      </c>
      <c r="I130" t="s">
        <v>13</v>
      </c>
      <c r="J130">
        <v>1</v>
      </c>
      <c r="K130">
        <v>1</v>
      </c>
    </row>
    <row r="131" spans="1:11" x14ac:dyDescent="0.3">
      <c r="A131">
        <v>292</v>
      </c>
      <c r="B131">
        <v>14285.71429</v>
      </c>
      <c r="C131" t="s">
        <v>14</v>
      </c>
      <c r="D131">
        <v>0</v>
      </c>
      <c r="E131">
        <v>1</v>
      </c>
      <c r="F131">
        <v>0</v>
      </c>
      <c r="G131">
        <v>0</v>
      </c>
      <c r="H131">
        <v>1</v>
      </c>
      <c r="I131" t="s">
        <v>13</v>
      </c>
      <c r="J131">
        <v>1</v>
      </c>
      <c r="K131">
        <v>1</v>
      </c>
    </row>
    <row r="132" spans="1:11" x14ac:dyDescent="0.3">
      <c r="A132">
        <v>293</v>
      </c>
      <c r="B132">
        <v>-6172.8395060000003</v>
      </c>
      <c r="C132" t="s">
        <v>14</v>
      </c>
      <c r="D132">
        <v>0</v>
      </c>
      <c r="E132">
        <v>1</v>
      </c>
      <c r="F132">
        <v>0</v>
      </c>
      <c r="G132">
        <v>0</v>
      </c>
      <c r="H132">
        <v>1</v>
      </c>
      <c r="I132" t="s">
        <v>13</v>
      </c>
      <c r="J132">
        <v>1</v>
      </c>
      <c r="K132">
        <v>1</v>
      </c>
    </row>
    <row r="133" spans="1:11" x14ac:dyDescent="0.3">
      <c r="A133">
        <v>294</v>
      </c>
      <c r="B133">
        <v>-50000</v>
      </c>
      <c r="C133" t="s">
        <v>14</v>
      </c>
      <c r="D133">
        <v>0</v>
      </c>
      <c r="E133">
        <v>1</v>
      </c>
      <c r="F133">
        <v>0</v>
      </c>
      <c r="G133">
        <v>0</v>
      </c>
      <c r="H133">
        <v>1</v>
      </c>
      <c r="I133" t="s">
        <v>13</v>
      </c>
      <c r="J133">
        <v>1</v>
      </c>
      <c r="K133">
        <v>1</v>
      </c>
    </row>
    <row r="134" spans="1:11" x14ac:dyDescent="0.3">
      <c r="A134">
        <v>298</v>
      </c>
      <c r="B134">
        <v>-15625</v>
      </c>
      <c r="C134" t="s">
        <v>14</v>
      </c>
      <c r="D134">
        <v>0</v>
      </c>
      <c r="E134">
        <v>1</v>
      </c>
      <c r="F134">
        <v>0</v>
      </c>
      <c r="G134">
        <v>0</v>
      </c>
      <c r="H134">
        <v>1</v>
      </c>
      <c r="I134" t="s">
        <v>13</v>
      </c>
      <c r="J134">
        <v>1</v>
      </c>
      <c r="K134">
        <v>0</v>
      </c>
    </row>
    <row r="135" spans="1:11" x14ac:dyDescent="0.3">
      <c r="A135">
        <v>301</v>
      </c>
      <c r="B135">
        <v>33591.731269999997</v>
      </c>
      <c r="C135" t="s">
        <v>14</v>
      </c>
      <c r="D135">
        <v>0</v>
      </c>
      <c r="E135">
        <v>1</v>
      </c>
      <c r="F135">
        <v>0</v>
      </c>
      <c r="G135">
        <v>0</v>
      </c>
      <c r="H135">
        <v>1</v>
      </c>
      <c r="I135" t="s">
        <v>13</v>
      </c>
      <c r="J135">
        <v>1</v>
      </c>
      <c r="K135">
        <v>1</v>
      </c>
    </row>
    <row r="136" spans="1:11" x14ac:dyDescent="0.3">
      <c r="A136">
        <v>302</v>
      </c>
      <c r="B136">
        <v>48000</v>
      </c>
      <c r="C136" t="s">
        <v>14</v>
      </c>
      <c r="D136">
        <v>0</v>
      </c>
      <c r="E136">
        <v>1</v>
      </c>
      <c r="F136">
        <v>0</v>
      </c>
      <c r="G136">
        <v>0</v>
      </c>
      <c r="H136">
        <v>1</v>
      </c>
      <c r="I136" t="s">
        <v>13</v>
      </c>
      <c r="J136">
        <v>1</v>
      </c>
      <c r="K136">
        <v>0</v>
      </c>
    </row>
    <row r="137" spans="1:11" x14ac:dyDescent="0.3">
      <c r="A137">
        <v>307</v>
      </c>
      <c r="B137">
        <v>25000</v>
      </c>
      <c r="C137" t="s">
        <v>12</v>
      </c>
      <c r="D137">
        <v>1</v>
      </c>
      <c r="E137">
        <v>0</v>
      </c>
      <c r="F137">
        <v>0</v>
      </c>
      <c r="G137">
        <v>0</v>
      </c>
      <c r="H137">
        <v>1</v>
      </c>
      <c r="I137" t="s">
        <v>13</v>
      </c>
      <c r="J137">
        <v>0</v>
      </c>
      <c r="K137">
        <v>1</v>
      </c>
    </row>
    <row r="138" spans="1:11" x14ac:dyDescent="0.3">
      <c r="A138">
        <v>308</v>
      </c>
      <c r="B138">
        <v>15000</v>
      </c>
      <c r="C138" t="s">
        <v>14</v>
      </c>
      <c r="D138">
        <v>0</v>
      </c>
      <c r="E138">
        <v>0</v>
      </c>
      <c r="F138">
        <v>0</v>
      </c>
      <c r="G138">
        <v>0</v>
      </c>
      <c r="H138">
        <v>1</v>
      </c>
      <c r="I138" t="s">
        <v>13</v>
      </c>
      <c r="J138">
        <v>0</v>
      </c>
      <c r="K138">
        <v>1</v>
      </c>
    </row>
    <row r="139" spans="1:11" x14ac:dyDescent="0.3">
      <c r="A139">
        <v>309</v>
      </c>
      <c r="B139">
        <v>20000</v>
      </c>
      <c r="C139" t="s">
        <v>14</v>
      </c>
      <c r="D139">
        <v>0</v>
      </c>
      <c r="E139">
        <v>1</v>
      </c>
      <c r="F139">
        <v>0</v>
      </c>
      <c r="G139">
        <v>0</v>
      </c>
      <c r="H139">
        <v>1</v>
      </c>
      <c r="I139" t="s">
        <v>13</v>
      </c>
      <c r="J139">
        <v>0</v>
      </c>
      <c r="K139">
        <v>1</v>
      </c>
    </row>
    <row r="140" spans="1:11" x14ac:dyDescent="0.3">
      <c r="A140">
        <v>310</v>
      </c>
      <c r="B140">
        <v>41428.571430000004</v>
      </c>
      <c r="C140" t="s">
        <v>14</v>
      </c>
      <c r="D140">
        <v>0</v>
      </c>
      <c r="E140">
        <v>1</v>
      </c>
      <c r="F140">
        <v>0</v>
      </c>
      <c r="G140">
        <v>0</v>
      </c>
      <c r="H140">
        <v>1</v>
      </c>
      <c r="I140" t="s">
        <v>13</v>
      </c>
      <c r="J140">
        <v>0</v>
      </c>
      <c r="K140">
        <v>0</v>
      </c>
    </row>
    <row r="141" spans="1:11" x14ac:dyDescent="0.3">
      <c r="A141">
        <v>311</v>
      </c>
      <c r="B141">
        <v>10000</v>
      </c>
      <c r="C141" t="s">
        <v>14</v>
      </c>
      <c r="D141">
        <v>0</v>
      </c>
      <c r="E141">
        <v>1</v>
      </c>
      <c r="F141">
        <v>0</v>
      </c>
      <c r="G141">
        <v>0</v>
      </c>
      <c r="H141">
        <v>1</v>
      </c>
      <c r="I141" t="s">
        <v>13</v>
      </c>
      <c r="J141">
        <v>0</v>
      </c>
      <c r="K141">
        <v>1</v>
      </c>
    </row>
    <row r="142" spans="1:11" x14ac:dyDescent="0.3">
      <c r="A142">
        <v>313</v>
      </c>
      <c r="B142">
        <v>3717.472119</v>
      </c>
      <c r="C142" t="s">
        <v>14</v>
      </c>
      <c r="D142">
        <v>0</v>
      </c>
      <c r="E142">
        <v>1</v>
      </c>
      <c r="F142">
        <v>0</v>
      </c>
      <c r="G142">
        <v>0</v>
      </c>
      <c r="H142">
        <v>1</v>
      </c>
      <c r="I142" t="s">
        <v>13</v>
      </c>
      <c r="J142">
        <v>0</v>
      </c>
      <c r="K142">
        <v>1</v>
      </c>
    </row>
    <row r="143" spans="1:11" x14ac:dyDescent="0.3">
      <c r="A143">
        <v>314</v>
      </c>
      <c r="B143">
        <v>27014.28571</v>
      </c>
      <c r="C143" t="s">
        <v>14</v>
      </c>
      <c r="D143">
        <v>0</v>
      </c>
      <c r="E143">
        <v>0</v>
      </c>
      <c r="F143">
        <v>0</v>
      </c>
      <c r="G143">
        <v>0</v>
      </c>
      <c r="H143">
        <v>1</v>
      </c>
      <c r="I143" t="s">
        <v>13</v>
      </c>
      <c r="J143">
        <v>1</v>
      </c>
      <c r="K143">
        <v>1</v>
      </c>
    </row>
    <row r="144" spans="1:11" x14ac:dyDescent="0.3">
      <c r="A144">
        <v>316</v>
      </c>
      <c r="B144">
        <v>10000</v>
      </c>
      <c r="C144" t="s">
        <v>14</v>
      </c>
      <c r="D144">
        <v>0</v>
      </c>
      <c r="E144">
        <v>1</v>
      </c>
      <c r="F144">
        <v>0</v>
      </c>
      <c r="G144">
        <v>0</v>
      </c>
      <c r="H144">
        <v>1</v>
      </c>
      <c r="I144" t="s">
        <v>13</v>
      </c>
      <c r="J144">
        <v>0</v>
      </c>
      <c r="K144">
        <v>1</v>
      </c>
    </row>
    <row r="145" spans="1:11" x14ac:dyDescent="0.3">
      <c r="A145">
        <v>319</v>
      </c>
      <c r="B145">
        <v>15000</v>
      </c>
      <c r="C145" t="s">
        <v>14</v>
      </c>
      <c r="D145">
        <v>0</v>
      </c>
      <c r="E145">
        <v>0</v>
      </c>
      <c r="F145">
        <v>0</v>
      </c>
      <c r="G145">
        <v>0</v>
      </c>
      <c r="H145">
        <v>1</v>
      </c>
      <c r="I145" t="s">
        <v>13</v>
      </c>
      <c r="J145">
        <v>0</v>
      </c>
      <c r="K145">
        <v>1</v>
      </c>
    </row>
    <row r="146" spans="1:11" x14ac:dyDescent="0.3">
      <c r="A146">
        <v>322</v>
      </c>
      <c r="B146">
        <v>8510.6382979999998</v>
      </c>
      <c r="C146" t="s">
        <v>14</v>
      </c>
      <c r="D146">
        <v>0</v>
      </c>
      <c r="E146">
        <v>1</v>
      </c>
      <c r="F146">
        <v>0</v>
      </c>
      <c r="G146">
        <v>0</v>
      </c>
      <c r="H146">
        <v>1</v>
      </c>
      <c r="I146" t="s">
        <v>13</v>
      </c>
      <c r="J146">
        <v>0</v>
      </c>
      <c r="K146">
        <v>1</v>
      </c>
    </row>
    <row r="147" spans="1:11" x14ac:dyDescent="0.3">
      <c r="A147">
        <v>323</v>
      </c>
      <c r="B147">
        <v>6250</v>
      </c>
      <c r="C147" t="s">
        <v>14</v>
      </c>
      <c r="D147">
        <v>0</v>
      </c>
      <c r="E147">
        <v>0</v>
      </c>
      <c r="F147">
        <v>0</v>
      </c>
      <c r="G147">
        <v>0</v>
      </c>
      <c r="H147">
        <v>1</v>
      </c>
      <c r="I147" t="s">
        <v>13</v>
      </c>
      <c r="J147">
        <v>1</v>
      </c>
      <c r="K147">
        <v>1</v>
      </c>
    </row>
    <row r="148" spans="1:11" x14ac:dyDescent="0.3">
      <c r="A148">
        <v>324</v>
      </c>
      <c r="B148">
        <v>14516.12903</v>
      </c>
      <c r="C148" t="s">
        <v>14</v>
      </c>
      <c r="D148">
        <v>0</v>
      </c>
      <c r="E148">
        <v>0</v>
      </c>
      <c r="F148">
        <v>0</v>
      </c>
      <c r="G148">
        <v>0</v>
      </c>
      <c r="H148">
        <v>1</v>
      </c>
      <c r="I148" t="s">
        <v>13</v>
      </c>
      <c r="J148">
        <v>1</v>
      </c>
      <c r="K148">
        <v>1</v>
      </c>
    </row>
    <row r="149" spans="1:11" x14ac:dyDescent="0.3">
      <c r="A149">
        <v>325</v>
      </c>
      <c r="B149">
        <v>17500</v>
      </c>
      <c r="C149" t="s">
        <v>14</v>
      </c>
      <c r="D149">
        <v>0</v>
      </c>
      <c r="E149">
        <v>0</v>
      </c>
      <c r="F149">
        <v>0</v>
      </c>
      <c r="G149">
        <v>0</v>
      </c>
      <c r="H149">
        <v>1</v>
      </c>
      <c r="I149" t="s">
        <v>13</v>
      </c>
      <c r="J149">
        <v>1</v>
      </c>
      <c r="K149">
        <v>0</v>
      </c>
    </row>
    <row r="150" spans="1:11" x14ac:dyDescent="0.3">
      <c r="A150">
        <v>326</v>
      </c>
      <c r="B150">
        <v>4615.3846149999999</v>
      </c>
      <c r="C150" t="s">
        <v>12</v>
      </c>
      <c r="D150">
        <v>1</v>
      </c>
      <c r="E150">
        <v>1</v>
      </c>
      <c r="F150">
        <v>0</v>
      </c>
      <c r="G150">
        <v>0</v>
      </c>
      <c r="H150">
        <v>1</v>
      </c>
      <c r="I150" t="s">
        <v>13</v>
      </c>
      <c r="J150">
        <v>0</v>
      </c>
      <c r="K150">
        <v>1</v>
      </c>
    </row>
    <row r="151" spans="1:11" x14ac:dyDescent="0.3">
      <c r="A151">
        <v>327</v>
      </c>
      <c r="B151">
        <v>18437.5</v>
      </c>
      <c r="C151" t="s">
        <v>14</v>
      </c>
      <c r="D151">
        <v>0</v>
      </c>
      <c r="E151">
        <v>1</v>
      </c>
      <c r="F151">
        <v>0</v>
      </c>
      <c r="G151">
        <v>0</v>
      </c>
      <c r="H151">
        <v>1</v>
      </c>
      <c r="I151" t="s">
        <v>13</v>
      </c>
      <c r="J151">
        <v>0</v>
      </c>
      <c r="K151">
        <v>1</v>
      </c>
    </row>
    <row r="152" spans="1:11" x14ac:dyDescent="0.3">
      <c r="A152">
        <v>328</v>
      </c>
      <c r="B152">
        <v>80000</v>
      </c>
      <c r="C152" t="s">
        <v>14</v>
      </c>
      <c r="D152">
        <v>0</v>
      </c>
      <c r="E152">
        <v>0</v>
      </c>
      <c r="F152">
        <v>0</v>
      </c>
      <c r="G152">
        <v>0</v>
      </c>
      <c r="H152">
        <v>1</v>
      </c>
      <c r="I152" t="s">
        <v>13</v>
      </c>
      <c r="J152">
        <v>0</v>
      </c>
      <c r="K152">
        <v>1</v>
      </c>
    </row>
    <row r="153" spans="1:11" x14ac:dyDescent="0.3">
      <c r="A153">
        <v>331</v>
      </c>
      <c r="B153">
        <v>7272.7272730000004</v>
      </c>
      <c r="C153" t="s">
        <v>14</v>
      </c>
      <c r="D153">
        <v>0</v>
      </c>
      <c r="E153">
        <v>1</v>
      </c>
      <c r="F153">
        <v>0</v>
      </c>
      <c r="G153">
        <v>0</v>
      </c>
      <c r="H153">
        <v>1</v>
      </c>
      <c r="I153" t="s">
        <v>13</v>
      </c>
      <c r="J153">
        <v>0</v>
      </c>
      <c r="K153">
        <v>1</v>
      </c>
    </row>
    <row r="154" spans="1:11" x14ac:dyDescent="0.3">
      <c r="A154">
        <v>332</v>
      </c>
      <c r="B154">
        <v>66666.666670000006</v>
      </c>
      <c r="C154" t="s">
        <v>14</v>
      </c>
      <c r="D154">
        <v>0</v>
      </c>
      <c r="E154">
        <v>0</v>
      </c>
      <c r="F154">
        <v>0</v>
      </c>
      <c r="G154">
        <v>0</v>
      </c>
      <c r="H154">
        <v>1</v>
      </c>
      <c r="I154" t="s">
        <v>13</v>
      </c>
      <c r="J154">
        <v>0</v>
      </c>
      <c r="K154">
        <v>1</v>
      </c>
    </row>
    <row r="155" spans="1:11" x14ac:dyDescent="0.3">
      <c r="A155">
        <v>333</v>
      </c>
      <c r="B155">
        <v>23076.92308</v>
      </c>
      <c r="C155" t="s">
        <v>14</v>
      </c>
      <c r="D155">
        <v>0</v>
      </c>
      <c r="E155">
        <v>0</v>
      </c>
      <c r="F155">
        <v>0</v>
      </c>
      <c r="G155">
        <v>0</v>
      </c>
      <c r="H155">
        <v>1</v>
      </c>
      <c r="I155" t="s">
        <v>13</v>
      </c>
      <c r="J155">
        <v>0</v>
      </c>
      <c r="K155">
        <v>1</v>
      </c>
    </row>
    <row r="156" spans="1:11" x14ac:dyDescent="0.3">
      <c r="A156">
        <v>334</v>
      </c>
      <c r="B156">
        <v>23750</v>
      </c>
      <c r="C156" t="s">
        <v>14</v>
      </c>
      <c r="D156">
        <v>0</v>
      </c>
      <c r="E156">
        <v>0</v>
      </c>
      <c r="F156">
        <v>0</v>
      </c>
      <c r="G156">
        <v>0</v>
      </c>
      <c r="H156">
        <v>1</v>
      </c>
      <c r="I156" t="s">
        <v>13</v>
      </c>
      <c r="J156">
        <v>1</v>
      </c>
      <c r="K156">
        <v>1</v>
      </c>
    </row>
    <row r="157" spans="1:11" x14ac:dyDescent="0.3">
      <c r="A157">
        <v>336</v>
      </c>
      <c r="B157">
        <v>42500</v>
      </c>
      <c r="C157" t="s">
        <v>14</v>
      </c>
      <c r="D157">
        <v>0</v>
      </c>
      <c r="E157">
        <v>1</v>
      </c>
      <c r="F157">
        <v>0</v>
      </c>
      <c r="G157">
        <v>0</v>
      </c>
      <c r="H157">
        <v>1</v>
      </c>
      <c r="I157" t="s">
        <v>13</v>
      </c>
      <c r="J157">
        <v>1</v>
      </c>
      <c r="K157">
        <v>1</v>
      </c>
    </row>
    <row r="158" spans="1:11" x14ac:dyDescent="0.3">
      <c r="A158">
        <v>337</v>
      </c>
      <c r="B158">
        <v>16666.666669999999</v>
      </c>
      <c r="C158" t="s">
        <v>12</v>
      </c>
      <c r="D158">
        <v>1</v>
      </c>
      <c r="E158">
        <v>0</v>
      </c>
      <c r="F158">
        <v>0</v>
      </c>
      <c r="G158">
        <v>0</v>
      </c>
      <c r="H158">
        <v>1</v>
      </c>
      <c r="I158" t="s">
        <v>13</v>
      </c>
      <c r="J158">
        <v>0</v>
      </c>
      <c r="K158">
        <v>1</v>
      </c>
    </row>
    <row r="159" spans="1:11" x14ac:dyDescent="0.3">
      <c r="A159">
        <v>340</v>
      </c>
      <c r="B159">
        <v>-12500</v>
      </c>
      <c r="C159" t="s">
        <v>14</v>
      </c>
      <c r="D159">
        <v>0</v>
      </c>
      <c r="E159">
        <v>1</v>
      </c>
      <c r="F159">
        <v>0</v>
      </c>
      <c r="G159">
        <v>0</v>
      </c>
      <c r="H159">
        <v>1</v>
      </c>
      <c r="I159" t="s">
        <v>13</v>
      </c>
      <c r="J159">
        <v>1</v>
      </c>
      <c r="K159">
        <v>1</v>
      </c>
    </row>
    <row r="160" spans="1:11" x14ac:dyDescent="0.3">
      <c r="A160">
        <v>344</v>
      </c>
      <c r="B160">
        <v>43478.260869999998</v>
      </c>
      <c r="C160" t="s">
        <v>14</v>
      </c>
      <c r="D160">
        <v>0</v>
      </c>
      <c r="E160">
        <v>1</v>
      </c>
      <c r="F160">
        <v>0</v>
      </c>
      <c r="G160">
        <v>0</v>
      </c>
      <c r="H160">
        <v>1</v>
      </c>
      <c r="I160" t="s">
        <v>13</v>
      </c>
      <c r="J160">
        <v>1</v>
      </c>
      <c r="K160">
        <v>0</v>
      </c>
    </row>
    <row r="161" spans="1:11" x14ac:dyDescent="0.3">
      <c r="A161">
        <v>345</v>
      </c>
      <c r="B161">
        <v>8695.6521740000007</v>
      </c>
      <c r="C161" t="s">
        <v>14</v>
      </c>
      <c r="D161">
        <v>0</v>
      </c>
      <c r="E161">
        <v>1</v>
      </c>
      <c r="F161">
        <v>0</v>
      </c>
      <c r="G161">
        <v>0</v>
      </c>
      <c r="H161">
        <v>1</v>
      </c>
      <c r="I161" t="s">
        <v>13</v>
      </c>
      <c r="J161">
        <v>1</v>
      </c>
      <c r="K161">
        <v>0</v>
      </c>
    </row>
    <row r="162" spans="1:11" x14ac:dyDescent="0.3">
      <c r="A162">
        <v>346</v>
      </c>
      <c r="B162">
        <v>103174.6032</v>
      </c>
      <c r="C162" t="s">
        <v>14</v>
      </c>
      <c r="D162">
        <v>0</v>
      </c>
      <c r="E162">
        <v>1</v>
      </c>
      <c r="F162">
        <v>0</v>
      </c>
      <c r="G162">
        <v>0</v>
      </c>
      <c r="H162">
        <v>1</v>
      </c>
      <c r="I162" t="s">
        <v>13</v>
      </c>
      <c r="J162">
        <v>1</v>
      </c>
      <c r="K162">
        <v>0</v>
      </c>
    </row>
    <row r="163" spans="1:11" x14ac:dyDescent="0.3">
      <c r="A163">
        <v>351</v>
      </c>
      <c r="B163">
        <v>18333.333330000001</v>
      </c>
      <c r="C163" t="s">
        <v>14</v>
      </c>
      <c r="D163">
        <v>0</v>
      </c>
      <c r="E163">
        <v>1</v>
      </c>
      <c r="F163">
        <v>0</v>
      </c>
      <c r="G163">
        <v>0</v>
      </c>
      <c r="H163">
        <v>1</v>
      </c>
      <c r="I163" t="s">
        <v>13</v>
      </c>
      <c r="J163">
        <v>1</v>
      </c>
      <c r="K163">
        <v>1</v>
      </c>
    </row>
    <row r="164" spans="1:11" x14ac:dyDescent="0.3">
      <c r="A164">
        <v>352</v>
      </c>
      <c r="B164">
        <v>28000</v>
      </c>
      <c r="C164" t="s">
        <v>14</v>
      </c>
      <c r="D164">
        <v>0</v>
      </c>
      <c r="E164">
        <v>0</v>
      </c>
      <c r="F164">
        <v>0</v>
      </c>
      <c r="G164">
        <v>0</v>
      </c>
      <c r="H164">
        <v>1</v>
      </c>
      <c r="I164" t="s">
        <v>13</v>
      </c>
      <c r="J164">
        <v>1</v>
      </c>
      <c r="K164">
        <v>1</v>
      </c>
    </row>
    <row r="165" spans="1:11" x14ac:dyDescent="0.3">
      <c r="A165">
        <v>353</v>
      </c>
      <c r="B165">
        <v>30000</v>
      </c>
      <c r="C165" t="s">
        <v>14</v>
      </c>
      <c r="D165">
        <v>0</v>
      </c>
      <c r="E165">
        <v>1</v>
      </c>
      <c r="F165">
        <v>0</v>
      </c>
      <c r="G165">
        <v>0</v>
      </c>
      <c r="H165">
        <v>1</v>
      </c>
      <c r="I165" t="s">
        <v>13</v>
      </c>
      <c r="J165">
        <v>0</v>
      </c>
      <c r="K165">
        <v>1</v>
      </c>
    </row>
    <row r="166" spans="1:11" x14ac:dyDescent="0.3">
      <c r="A166">
        <v>354</v>
      </c>
      <c r="B166">
        <v>21666.666669999999</v>
      </c>
      <c r="C166" t="s">
        <v>14</v>
      </c>
      <c r="D166">
        <v>0</v>
      </c>
      <c r="E166">
        <v>0</v>
      </c>
      <c r="F166">
        <v>0</v>
      </c>
      <c r="G166">
        <v>0</v>
      </c>
      <c r="H166">
        <v>1</v>
      </c>
      <c r="I166" t="s">
        <v>13</v>
      </c>
      <c r="J166">
        <v>0</v>
      </c>
      <c r="K166">
        <v>1</v>
      </c>
    </row>
    <row r="167" spans="1:11" x14ac:dyDescent="0.3">
      <c r="A167">
        <v>356</v>
      </c>
      <c r="B167">
        <v>66666.666670000006</v>
      </c>
      <c r="C167" t="s">
        <v>14</v>
      </c>
      <c r="D167">
        <v>0</v>
      </c>
      <c r="E167">
        <v>0</v>
      </c>
      <c r="F167">
        <v>0</v>
      </c>
      <c r="G167">
        <v>0</v>
      </c>
      <c r="H167">
        <v>1</v>
      </c>
      <c r="I167" t="s">
        <v>13</v>
      </c>
      <c r="J167">
        <v>1</v>
      </c>
      <c r="K167">
        <v>1</v>
      </c>
    </row>
    <row r="168" spans="1:11" x14ac:dyDescent="0.3">
      <c r="A168">
        <v>357</v>
      </c>
      <c r="B168">
        <v>5000</v>
      </c>
      <c r="C168" t="s">
        <v>14</v>
      </c>
      <c r="D168">
        <v>0</v>
      </c>
      <c r="E168">
        <v>0</v>
      </c>
      <c r="F168">
        <v>0</v>
      </c>
      <c r="G168">
        <v>0</v>
      </c>
      <c r="H168">
        <v>1</v>
      </c>
      <c r="I168" t="s">
        <v>13</v>
      </c>
      <c r="J168">
        <v>0</v>
      </c>
      <c r="K168">
        <v>1</v>
      </c>
    </row>
    <row r="169" spans="1:11" x14ac:dyDescent="0.3">
      <c r="A169">
        <v>359</v>
      </c>
      <c r="B169">
        <v>12727.272730000001</v>
      </c>
      <c r="C169" t="s">
        <v>14</v>
      </c>
      <c r="D169">
        <v>0</v>
      </c>
      <c r="E169">
        <v>0</v>
      </c>
      <c r="F169">
        <v>0</v>
      </c>
      <c r="G169">
        <v>0</v>
      </c>
      <c r="H169">
        <v>1</v>
      </c>
      <c r="I169" t="s">
        <v>13</v>
      </c>
      <c r="J169">
        <v>0</v>
      </c>
      <c r="K169">
        <v>1</v>
      </c>
    </row>
    <row r="170" spans="1:11" x14ac:dyDescent="0.3">
      <c r="A170">
        <v>361</v>
      </c>
      <c r="B170">
        <v>22000</v>
      </c>
      <c r="C170" t="s">
        <v>14</v>
      </c>
      <c r="D170">
        <v>0</v>
      </c>
      <c r="E170">
        <v>1</v>
      </c>
      <c r="F170">
        <v>0</v>
      </c>
      <c r="G170">
        <v>0</v>
      </c>
      <c r="H170">
        <v>1</v>
      </c>
      <c r="I170" t="s">
        <v>13</v>
      </c>
      <c r="J170">
        <v>1</v>
      </c>
      <c r="K170">
        <v>1</v>
      </c>
    </row>
    <row r="171" spans="1:11" x14ac:dyDescent="0.3">
      <c r="A171">
        <v>363</v>
      </c>
      <c r="B171">
        <v>30000</v>
      </c>
      <c r="C171" t="s">
        <v>12</v>
      </c>
      <c r="D171">
        <v>1</v>
      </c>
      <c r="E171">
        <v>0</v>
      </c>
      <c r="F171">
        <v>0</v>
      </c>
      <c r="G171">
        <v>0</v>
      </c>
      <c r="H171">
        <v>1</v>
      </c>
      <c r="I171" t="s">
        <v>13</v>
      </c>
      <c r="J171">
        <v>0</v>
      </c>
      <c r="K171">
        <v>1</v>
      </c>
    </row>
    <row r="172" spans="1:11" x14ac:dyDescent="0.3">
      <c r="A172">
        <v>364</v>
      </c>
      <c r="B172">
        <v>8571.4285710000004</v>
      </c>
      <c r="C172" t="s">
        <v>14</v>
      </c>
      <c r="D172">
        <v>0</v>
      </c>
      <c r="E172">
        <v>0</v>
      </c>
      <c r="F172">
        <v>0</v>
      </c>
      <c r="G172">
        <v>0</v>
      </c>
      <c r="H172">
        <v>1</v>
      </c>
      <c r="I172" t="s">
        <v>13</v>
      </c>
      <c r="J172">
        <v>1</v>
      </c>
      <c r="K172">
        <v>1</v>
      </c>
    </row>
    <row r="173" spans="1:11" x14ac:dyDescent="0.3">
      <c r="A173">
        <v>365</v>
      </c>
      <c r="B173">
        <v>25000</v>
      </c>
      <c r="C173" t="s">
        <v>14</v>
      </c>
      <c r="D173">
        <v>0</v>
      </c>
      <c r="E173">
        <v>0</v>
      </c>
      <c r="F173">
        <v>0</v>
      </c>
      <c r="G173">
        <v>0</v>
      </c>
      <c r="H173">
        <v>1</v>
      </c>
      <c r="I173" t="s">
        <v>13</v>
      </c>
      <c r="J173">
        <v>1</v>
      </c>
      <c r="K173">
        <v>1</v>
      </c>
    </row>
    <row r="174" spans="1:11" x14ac:dyDescent="0.3">
      <c r="A174">
        <v>371</v>
      </c>
      <c r="B174">
        <v>12500</v>
      </c>
      <c r="C174" t="s">
        <v>14</v>
      </c>
      <c r="D174">
        <v>0</v>
      </c>
      <c r="E174">
        <v>1</v>
      </c>
      <c r="F174">
        <v>0</v>
      </c>
      <c r="G174">
        <v>1</v>
      </c>
      <c r="H174">
        <v>0</v>
      </c>
      <c r="I174" t="s">
        <v>13</v>
      </c>
      <c r="J174">
        <v>1</v>
      </c>
      <c r="K174">
        <v>0</v>
      </c>
    </row>
    <row r="175" spans="1:11" x14ac:dyDescent="0.3">
      <c r="A175">
        <v>373</v>
      </c>
      <c r="B175">
        <v>-8333.3333330000005</v>
      </c>
      <c r="C175" t="s">
        <v>14</v>
      </c>
      <c r="D175">
        <v>0</v>
      </c>
      <c r="E175">
        <v>1</v>
      </c>
      <c r="F175">
        <v>0</v>
      </c>
      <c r="G175">
        <v>1</v>
      </c>
      <c r="H175">
        <v>0</v>
      </c>
      <c r="I175" t="s">
        <v>13</v>
      </c>
      <c r="J175">
        <v>1</v>
      </c>
      <c r="K175">
        <v>1</v>
      </c>
    </row>
    <row r="176" spans="1:11" x14ac:dyDescent="0.3">
      <c r="A176">
        <v>378</v>
      </c>
      <c r="B176">
        <v>47500</v>
      </c>
      <c r="C176" t="s">
        <v>14</v>
      </c>
      <c r="D176">
        <v>0</v>
      </c>
      <c r="E176">
        <v>1</v>
      </c>
      <c r="F176">
        <v>0</v>
      </c>
      <c r="G176">
        <v>1</v>
      </c>
      <c r="H176">
        <v>0</v>
      </c>
      <c r="I176" t="s">
        <v>13</v>
      </c>
      <c r="J176">
        <v>1</v>
      </c>
      <c r="K176">
        <v>0</v>
      </c>
    </row>
    <row r="177" spans="1:11" x14ac:dyDescent="0.3">
      <c r="A177">
        <v>379</v>
      </c>
      <c r="B177">
        <v>11666.666670000001</v>
      </c>
      <c r="C177" t="s">
        <v>12</v>
      </c>
      <c r="D177">
        <v>1</v>
      </c>
      <c r="E177">
        <v>0</v>
      </c>
      <c r="F177">
        <v>0</v>
      </c>
      <c r="G177">
        <v>0</v>
      </c>
      <c r="H177">
        <v>1</v>
      </c>
      <c r="I177" t="s">
        <v>13</v>
      </c>
      <c r="J177">
        <v>1</v>
      </c>
      <c r="K177">
        <v>0</v>
      </c>
    </row>
    <row r="178" spans="1:11" x14ac:dyDescent="0.3">
      <c r="A178">
        <v>4182</v>
      </c>
      <c r="B178">
        <v>150000</v>
      </c>
      <c r="C178" t="s">
        <v>14</v>
      </c>
      <c r="D178">
        <v>0</v>
      </c>
      <c r="E178">
        <v>0</v>
      </c>
      <c r="F178">
        <v>0</v>
      </c>
      <c r="G178">
        <v>0</v>
      </c>
      <c r="H178">
        <v>1</v>
      </c>
      <c r="I178" t="s">
        <v>15</v>
      </c>
      <c r="J178">
        <v>1</v>
      </c>
      <c r="K178">
        <v>0</v>
      </c>
    </row>
    <row r="179" spans="1:11" x14ac:dyDescent="0.3">
      <c r="A179">
        <v>390</v>
      </c>
      <c r="B179">
        <v>8333.3333330000005</v>
      </c>
      <c r="C179" t="s">
        <v>14</v>
      </c>
      <c r="D179">
        <v>0</v>
      </c>
      <c r="E179">
        <v>1</v>
      </c>
      <c r="F179">
        <v>0</v>
      </c>
      <c r="G179">
        <v>0</v>
      </c>
      <c r="H179">
        <v>1</v>
      </c>
      <c r="I179" t="s">
        <v>13</v>
      </c>
      <c r="J179">
        <v>1</v>
      </c>
      <c r="K179">
        <v>1</v>
      </c>
    </row>
    <row r="180" spans="1:11" x14ac:dyDescent="0.3">
      <c r="A180">
        <v>391</v>
      </c>
      <c r="B180">
        <v>18181.818179999998</v>
      </c>
      <c r="C180" t="s">
        <v>14</v>
      </c>
      <c r="D180">
        <v>0</v>
      </c>
      <c r="E180">
        <v>0</v>
      </c>
      <c r="F180">
        <v>0</v>
      </c>
      <c r="G180">
        <v>0</v>
      </c>
      <c r="H180">
        <v>1</v>
      </c>
      <c r="I180" t="s">
        <v>13</v>
      </c>
      <c r="J180">
        <v>0</v>
      </c>
      <c r="K180">
        <v>0</v>
      </c>
    </row>
    <row r="181" spans="1:11" x14ac:dyDescent="0.3">
      <c r="A181">
        <v>393</v>
      </c>
      <c r="B181">
        <v>-12195.121950000001</v>
      </c>
      <c r="C181" t="s">
        <v>14</v>
      </c>
      <c r="D181">
        <v>0</v>
      </c>
      <c r="E181">
        <v>0</v>
      </c>
      <c r="F181">
        <v>0</v>
      </c>
      <c r="G181">
        <v>0</v>
      </c>
      <c r="H181">
        <v>1</v>
      </c>
      <c r="I181" t="s">
        <v>13</v>
      </c>
      <c r="J181">
        <v>1</v>
      </c>
      <c r="K181">
        <v>1</v>
      </c>
    </row>
    <row r="182" spans="1:11" x14ac:dyDescent="0.3">
      <c r="A182">
        <v>396</v>
      </c>
      <c r="B182">
        <v>-11111.11111</v>
      </c>
      <c r="C182" t="s">
        <v>14</v>
      </c>
      <c r="D182">
        <v>0</v>
      </c>
      <c r="E182">
        <v>1</v>
      </c>
      <c r="F182">
        <v>0</v>
      </c>
      <c r="G182">
        <v>0</v>
      </c>
      <c r="H182">
        <v>1</v>
      </c>
      <c r="I182" t="s">
        <v>13</v>
      </c>
      <c r="J182">
        <v>1</v>
      </c>
      <c r="K182">
        <v>1</v>
      </c>
    </row>
    <row r="183" spans="1:11" x14ac:dyDescent="0.3">
      <c r="A183">
        <v>397</v>
      </c>
      <c r="B183">
        <v>8333.3333330000005</v>
      </c>
      <c r="C183" t="s">
        <v>14</v>
      </c>
      <c r="D183">
        <v>0</v>
      </c>
      <c r="E183">
        <v>0</v>
      </c>
      <c r="F183">
        <v>0</v>
      </c>
      <c r="G183">
        <v>0</v>
      </c>
      <c r="H183">
        <v>1</v>
      </c>
      <c r="I183" t="s">
        <v>13</v>
      </c>
      <c r="J183">
        <v>1</v>
      </c>
      <c r="K183">
        <v>1</v>
      </c>
    </row>
    <row r="184" spans="1:11" x14ac:dyDescent="0.3">
      <c r="A184">
        <v>399</v>
      </c>
      <c r="B184">
        <v>0</v>
      </c>
      <c r="C184" t="s">
        <v>14</v>
      </c>
      <c r="D184">
        <v>0</v>
      </c>
      <c r="E184">
        <v>1</v>
      </c>
      <c r="F184">
        <v>0</v>
      </c>
      <c r="G184">
        <v>0</v>
      </c>
      <c r="H184">
        <v>1</v>
      </c>
      <c r="I184" t="s">
        <v>13</v>
      </c>
      <c r="J184">
        <v>1</v>
      </c>
      <c r="K184">
        <v>1</v>
      </c>
    </row>
    <row r="185" spans="1:11" x14ac:dyDescent="0.3">
      <c r="A185">
        <v>400</v>
      </c>
      <c r="B185">
        <v>25000</v>
      </c>
      <c r="C185" t="s">
        <v>14</v>
      </c>
      <c r="D185">
        <v>0</v>
      </c>
      <c r="E185">
        <v>1</v>
      </c>
      <c r="F185">
        <v>0</v>
      </c>
      <c r="G185">
        <v>0</v>
      </c>
      <c r="H185">
        <v>1</v>
      </c>
      <c r="I185" t="s">
        <v>13</v>
      </c>
      <c r="J185">
        <v>1</v>
      </c>
      <c r="K185">
        <v>1</v>
      </c>
    </row>
    <row r="186" spans="1:11" x14ac:dyDescent="0.3">
      <c r="A186">
        <v>401</v>
      </c>
      <c r="B186">
        <v>0</v>
      </c>
      <c r="C186" t="s">
        <v>14</v>
      </c>
      <c r="D186">
        <v>0</v>
      </c>
      <c r="E186">
        <v>1</v>
      </c>
      <c r="F186">
        <v>0</v>
      </c>
      <c r="G186">
        <v>0</v>
      </c>
      <c r="H186">
        <v>1</v>
      </c>
      <c r="I186" t="s">
        <v>13</v>
      </c>
      <c r="J186">
        <v>1</v>
      </c>
      <c r="K186">
        <v>1</v>
      </c>
    </row>
    <row r="187" spans="1:11" x14ac:dyDescent="0.3">
      <c r="A187">
        <v>405</v>
      </c>
      <c r="B187">
        <v>-6250</v>
      </c>
      <c r="C187" t="s">
        <v>14</v>
      </c>
      <c r="D187">
        <v>0</v>
      </c>
      <c r="E187">
        <v>1</v>
      </c>
      <c r="F187">
        <v>0</v>
      </c>
      <c r="G187">
        <v>0</v>
      </c>
      <c r="H187">
        <v>1</v>
      </c>
      <c r="I187" t="s">
        <v>13</v>
      </c>
      <c r="J187">
        <v>1</v>
      </c>
      <c r="K187">
        <v>1</v>
      </c>
    </row>
    <row r="188" spans="1:11" x14ac:dyDescent="0.3">
      <c r="A188">
        <v>406</v>
      </c>
      <c r="B188">
        <v>14285.71429</v>
      </c>
      <c r="C188" t="s">
        <v>14</v>
      </c>
      <c r="D188">
        <v>0</v>
      </c>
      <c r="E188">
        <v>0</v>
      </c>
      <c r="F188">
        <v>0</v>
      </c>
      <c r="G188">
        <v>1</v>
      </c>
      <c r="H188">
        <v>0</v>
      </c>
      <c r="I188" t="s">
        <v>13</v>
      </c>
      <c r="J188">
        <v>1</v>
      </c>
      <c r="K188">
        <v>1</v>
      </c>
    </row>
    <row r="189" spans="1:11" x14ac:dyDescent="0.3">
      <c r="A189">
        <v>407</v>
      </c>
      <c r="B189">
        <v>-10000</v>
      </c>
      <c r="C189" t="s">
        <v>14</v>
      </c>
      <c r="D189">
        <v>0</v>
      </c>
      <c r="E189">
        <v>0</v>
      </c>
      <c r="F189">
        <v>0</v>
      </c>
      <c r="G189">
        <v>1</v>
      </c>
      <c r="H189">
        <v>0</v>
      </c>
      <c r="I189" t="s">
        <v>13</v>
      </c>
      <c r="J189">
        <v>1</v>
      </c>
      <c r="K189">
        <v>0</v>
      </c>
    </row>
    <row r="190" spans="1:11" x14ac:dyDescent="0.3">
      <c r="A190">
        <v>4180</v>
      </c>
      <c r="B190">
        <v>100000</v>
      </c>
      <c r="C190" t="s">
        <v>14</v>
      </c>
      <c r="D190">
        <v>0</v>
      </c>
      <c r="E190">
        <v>0</v>
      </c>
      <c r="F190">
        <v>0</v>
      </c>
      <c r="G190">
        <v>0</v>
      </c>
      <c r="H190">
        <v>1</v>
      </c>
      <c r="I190" t="s">
        <v>15</v>
      </c>
      <c r="J190">
        <v>1</v>
      </c>
      <c r="K190">
        <v>0</v>
      </c>
    </row>
    <row r="191" spans="1:11" x14ac:dyDescent="0.3">
      <c r="A191">
        <v>4179</v>
      </c>
      <c r="B191">
        <v>80645.161290000004</v>
      </c>
      <c r="C191" t="s">
        <v>14</v>
      </c>
      <c r="D191">
        <v>0</v>
      </c>
      <c r="E191">
        <v>0</v>
      </c>
      <c r="F191">
        <v>0</v>
      </c>
      <c r="G191">
        <v>0</v>
      </c>
      <c r="H191">
        <v>1</v>
      </c>
      <c r="I191" t="s">
        <v>15</v>
      </c>
      <c r="J191">
        <v>1</v>
      </c>
      <c r="K191">
        <v>0</v>
      </c>
    </row>
    <row r="192" spans="1:11" x14ac:dyDescent="0.3">
      <c r="A192">
        <v>4178</v>
      </c>
      <c r="B192">
        <v>64516.129029999996</v>
      </c>
      <c r="C192" t="s">
        <v>14</v>
      </c>
      <c r="D192">
        <v>0</v>
      </c>
      <c r="E192">
        <v>0</v>
      </c>
      <c r="F192">
        <v>0</v>
      </c>
      <c r="G192">
        <v>0</v>
      </c>
      <c r="H192">
        <v>1</v>
      </c>
      <c r="I192" t="s">
        <v>15</v>
      </c>
      <c r="J192">
        <v>1</v>
      </c>
      <c r="K192">
        <v>0</v>
      </c>
    </row>
    <row r="193" spans="1:11" x14ac:dyDescent="0.3">
      <c r="A193">
        <v>4177</v>
      </c>
      <c r="B193">
        <v>60000</v>
      </c>
      <c r="C193" t="s">
        <v>14</v>
      </c>
      <c r="D193">
        <v>0</v>
      </c>
      <c r="E193">
        <v>0</v>
      </c>
      <c r="F193">
        <v>0</v>
      </c>
      <c r="G193">
        <v>0</v>
      </c>
      <c r="H193">
        <v>1</v>
      </c>
      <c r="I193" t="s">
        <v>15</v>
      </c>
      <c r="J193">
        <v>1</v>
      </c>
      <c r="K193">
        <v>0</v>
      </c>
    </row>
    <row r="194" spans="1:11" x14ac:dyDescent="0.3">
      <c r="A194">
        <v>422</v>
      </c>
      <c r="B194">
        <v>25000</v>
      </c>
      <c r="C194" t="s">
        <v>14</v>
      </c>
      <c r="D194">
        <v>0</v>
      </c>
      <c r="E194">
        <v>1</v>
      </c>
      <c r="F194">
        <v>0</v>
      </c>
      <c r="G194">
        <v>0</v>
      </c>
      <c r="H194">
        <v>1</v>
      </c>
      <c r="I194" t="s">
        <v>13</v>
      </c>
      <c r="J194">
        <v>1</v>
      </c>
      <c r="K194">
        <v>0</v>
      </c>
    </row>
    <row r="195" spans="1:11" x14ac:dyDescent="0.3">
      <c r="A195">
        <v>424</v>
      </c>
      <c r="B195">
        <v>0</v>
      </c>
      <c r="C195" t="s">
        <v>14</v>
      </c>
      <c r="D195">
        <v>0</v>
      </c>
      <c r="E195">
        <v>1</v>
      </c>
      <c r="F195">
        <v>0</v>
      </c>
      <c r="G195">
        <v>0</v>
      </c>
      <c r="H195">
        <v>1</v>
      </c>
      <c r="I195" t="s">
        <v>13</v>
      </c>
      <c r="J195">
        <v>1</v>
      </c>
      <c r="K195">
        <v>1</v>
      </c>
    </row>
    <row r="196" spans="1:11" x14ac:dyDescent="0.3">
      <c r="A196">
        <v>426</v>
      </c>
      <c r="B196">
        <v>-8333.3333330000005</v>
      </c>
      <c r="C196" t="s">
        <v>14</v>
      </c>
      <c r="D196">
        <v>0</v>
      </c>
      <c r="E196">
        <v>1</v>
      </c>
      <c r="F196">
        <v>0</v>
      </c>
      <c r="G196">
        <v>0</v>
      </c>
      <c r="H196">
        <v>1</v>
      </c>
      <c r="I196" t="s">
        <v>13</v>
      </c>
      <c r="J196">
        <v>1</v>
      </c>
      <c r="K196">
        <v>1</v>
      </c>
    </row>
    <row r="197" spans="1:11" x14ac:dyDescent="0.3">
      <c r="A197">
        <v>427</v>
      </c>
      <c r="B197">
        <v>50000</v>
      </c>
      <c r="C197" t="s">
        <v>14</v>
      </c>
      <c r="D197">
        <v>0</v>
      </c>
      <c r="E197">
        <v>1</v>
      </c>
      <c r="F197">
        <v>0</v>
      </c>
      <c r="G197">
        <v>0</v>
      </c>
      <c r="H197">
        <v>1</v>
      </c>
      <c r="I197" t="s">
        <v>13</v>
      </c>
      <c r="J197">
        <v>1</v>
      </c>
      <c r="K197">
        <v>1</v>
      </c>
    </row>
    <row r="198" spans="1:11" x14ac:dyDescent="0.3">
      <c r="A198">
        <v>437</v>
      </c>
      <c r="B198">
        <v>0</v>
      </c>
      <c r="C198" t="s">
        <v>14</v>
      </c>
      <c r="D198">
        <v>0</v>
      </c>
      <c r="E198">
        <v>1</v>
      </c>
      <c r="F198">
        <v>0</v>
      </c>
      <c r="G198">
        <v>0</v>
      </c>
      <c r="H198">
        <v>1</v>
      </c>
      <c r="I198" t="s">
        <v>13</v>
      </c>
      <c r="J198">
        <v>1</v>
      </c>
      <c r="K198">
        <v>1</v>
      </c>
    </row>
    <row r="199" spans="1:11" x14ac:dyDescent="0.3">
      <c r="A199">
        <v>438</v>
      </c>
      <c r="B199">
        <v>0</v>
      </c>
      <c r="C199" t="s">
        <v>14</v>
      </c>
      <c r="D199">
        <v>0</v>
      </c>
      <c r="E199">
        <v>1</v>
      </c>
      <c r="F199">
        <v>0</v>
      </c>
      <c r="G199">
        <v>0</v>
      </c>
      <c r="H199">
        <v>1</v>
      </c>
      <c r="I199" t="s">
        <v>13</v>
      </c>
      <c r="J199">
        <v>1</v>
      </c>
      <c r="K199">
        <v>1</v>
      </c>
    </row>
    <row r="200" spans="1:11" x14ac:dyDescent="0.3">
      <c r="A200">
        <v>439</v>
      </c>
      <c r="B200">
        <v>25000</v>
      </c>
      <c r="C200" t="s">
        <v>14</v>
      </c>
      <c r="D200">
        <v>0</v>
      </c>
      <c r="E200">
        <v>1</v>
      </c>
      <c r="F200">
        <v>0</v>
      </c>
      <c r="G200">
        <v>0</v>
      </c>
      <c r="H200">
        <v>1</v>
      </c>
      <c r="I200" t="s">
        <v>13</v>
      </c>
      <c r="J200">
        <v>1</v>
      </c>
      <c r="K200">
        <v>1</v>
      </c>
    </row>
    <row r="201" spans="1:11" x14ac:dyDescent="0.3">
      <c r="A201">
        <v>440</v>
      </c>
      <c r="B201">
        <v>2500</v>
      </c>
      <c r="C201" t="s">
        <v>14</v>
      </c>
      <c r="D201">
        <v>0</v>
      </c>
      <c r="E201">
        <v>1</v>
      </c>
      <c r="F201">
        <v>0</v>
      </c>
      <c r="G201">
        <v>0</v>
      </c>
      <c r="H201">
        <v>1</v>
      </c>
      <c r="I201" t="s">
        <v>13</v>
      </c>
      <c r="J201">
        <v>1</v>
      </c>
      <c r="K201">
        <v>1</v>
      </c>
    </row>
    <row r="202" spans="1:11" x14ac:dyDescent="0.3">
      <c r="A202">
        <v>441</v>
      </c>
      <c r="B202">
        <v>25000</v>
      </c>
      <c r="C202" t="s">
        <v>14</v>
      </c>
      <c r="D202">
        <v>0</v>
      </c>
      <c r="E202">
        <v>1</v>
      </c>
      <c r="F202">
        <v>0</v>
      </c>
      <c r="G202">
        <v>0</v>
      </c>
      <c r="H202">
        <v>1</v>
      </c>
      <c r="I202" t="s">
        <v>13</v>
      </c>
      <c r="J202">
        <v>1</v>
      </c>
      <c r="K202">
        <v>1</v>
      </c>
    </row>
    <row r="203" spans="1:11" x14ac:dyDescent="0.3">
      <c r="A203">
        <v>442</v>
      </c>
      <c r="B203">
        <v>50000</v>
      </c>
      <c r="C203" t="s">
        <v>14</v>
      </c>
      <c r="D203">
        <v>0</v>
      </c>
      <c r="E203">
        <v>0</v>
      </c>
      <c r="F203">
        <v>0</v>
      </c>
      <c r="G203">
        <v>0</v>
      </c>
      <c r="H203">
        <v>1</v>
      </c>
      <c r="I203" t="s">
        <v>13</v>
      </c>
      <c r="J203">
        <v>1</v>
      </c>
      <c r="K203">
        <v>0</v>
      </c>
    </row>
    <row r="204" spans="1:11" x14ac:dyDescent="0.3">
      <c r="A204">
        <v>445</v>
      </c>
      <c r="B204">
        <v>13986.013989999999</v>
      </c>
      <c r="C204" t="s">
        <v>14</v>
      </c>
      <c r="D204">
        <v>0</v>
      </c>
      <c r="E204">
        <v>1</v>
      </c>
      <c r="F204">
        <v>0</v>
      </c>
      <c r="G204">
        <v>0</v>
      </c>
      <c r="H204">
        <v>1</v>
      </c>
      <c r="I204" t="s">
        <v>13</v>
      </c>
      <c r="J204">
        <v>1</v>
      </c>
      <c r="K204">
        <v>1</v>
      </c>
    </row>
    <row r="205" spans="1:11" x14ac:dyDescent="0.3">
      <c r="A205">
        <v>447</v>
      </c>
      <c r="B205">
        <v>-12500</v>
      </c>
      <c r="C205" t="s">
        <v>14</v>
      </c>
      <c r="D205">
        <v>0</v>
      </c>
      <c r="E205">
        <v>1</v>
      </c>
      <c r="F205">
        <v>0</v>
      </c>
      <c r="G205">
        <v>0</v>
      </c>
      <c r="H205">
        <v>1</v>
      </c>
      <c r="I205" t="s">
        <v>13</v>
      </c>
      <c r="J205">
        <v>1</v>
      </c>
      <c r="K205">
        <v>1</v>
      </c>
    </row>
    <row r="206" spans="1:11" x14ac:dyDescent="0.3">
      <c r="A206">
        <v>450</v>
      </c>
      <c r="B206">
        <v>-12500</v>
      </c>
      <c r="C206" t="s">
        <v>14</v>
      </c>
      <c r="D206">
        <v>0</v>
      </c>
      <c r="E206">
        <v>1</v>
      </c>
      <c r="F206">
        <v>0</v>
      </c>
      <c r="G206">
        <v>0</v>
      </c>
      <c r="H206">
        <v>1</v>
      </c>
      <c r="I206" t="s">
        <v>13</v>
      </c>
      <c r="J206">
        <v>1</v>
      </c>
      <c r="K206">
        <v>1</v>
      </c>
    </row>
    <row r="207" spans="1:11" x14ac:dyDescent="0.3">
      <c r="A207">
        <v>451</v>
      </c>
      <c r="B207">
        <v>12500</v>
      </c>
      <c r="C207" t="s">
        <v>14</v>
      </c>
      <c r="D207">
        <v>0</v>
      </c>
      <c r="E207">
        <v>1</v>
      </c>
      <c r="F207">
        <v>0</v>
      </c>
      <c r="G207">
        <v>0</v>
      </c>
      <c r="H207">
        <v>1</v>
      </c>
      <c r="I207" t="s">
        <v>13</v>
      </c>
      <c r="J207">
        <v>1</v>
      </c>
      <c r="K207">
        <v>1</v>
      </c>
    </row>
    <row r="208" spans="1:11" x14ac:dyDescent="0.3">
      <c r="A208">
        <v>455</v>
      </c>
      <c r="B208">
        <v>10000</v>
      </c>
      <c r="C208" t="s">
        <v>14</v>
      </c>
      <c r="D208">
        <v>0</v>
      </c>
      <c r="E208">
        <v>1</v>
      </c>
      <c r="F208">
        <v>0</v>
      </c>
      <c r="G208">
        <v>0</v>
      </c>
      <c r="H208">
        <v>1</v>
      </c>
      <c r="I208" t="s">
        <v>13</v>
      </c>
      <c r="J208">
        <v>1</v>
      </c>
      <c r="K208">
        <v>1</v>
      </c>
    </row>
    <row r="209" spans="1:11" x14ac:dyDescent="0.3">
      <c r="A209">
        <v>456</v>
      </c>
      <c r="B209">
        <v>50000</v>
      </c>
      <c r="C209" t="s">
        <v>14</v>
      </c>
      <c r="D209">
        <v>0</v>
      </c>
      <c r="E209">
        <v>1</v>
      </c>
      <c r="F209">
        <v>0</v>
      </c>
      <c r="G209">
        <v>1</v>
      </c>
      <c r="H209">
        <v>0</v>
      </c>
      <c r="I209" t="s">
        <v>13</v>
      </c>
      <c r="J209">
        <v>1</v>
      </c>
      <c r="K209">
        <v>0</v>
      </c>
    </row>
    <row r="210" spans="1:11" x14ac:dyDescent="0.3">
      <c r="A210">
        <v>457</v>
      </c>
      <c r="B210">
        <v>14285.71429</v>
      </c>
      <c r="C210" t="s">
        <v>14</v>
      </c>
      <c r="D210">
        <v>0</v>
      </c>
      <c r="E210">
        <v>1</v>
      </c>
      <c r="F210">
        <v>0</v>
      </c>
      <c r="G210">
        <v>1</v>
      </c>
      <c r="H210">
        <v>0</v>
      </c>
      <c r="I210" t="s">
        <v>13</v>
      </c>
      <c r="J210">
        <v>1</v>
      </c>
      <c r="K210">
        <v>0</v>
      </c>
    </row>
    <row r="211" spans="1:11" x14ac:dyDescent="0.3">
      <c r="A211">
        <v>458</v>
      </c>
      <c r="B211">
        <v>20000</v>
      </c>
      <c r="C211" t="s">
        <v>14</v>
      </c>
      <c r="D211">
        <v>0</v>
      </c>
      <c r="E211">
        <v>0</v>
      </c>
      <c r="F211">
        <v>0</v>
      </c>
      <c r="G211">
        <v>1</v>
      </c>
      <c r="H211">
        <v>0</v>
      </c>
      <c r="I211" t="s">
        <v>13</v>
      </c>
      <c r="J211">
        <v>1</v>
      </c>
      <c r="K211">
        <v>0</v>
      </c>
    </row>
    <row r="212" spans="1:11" x14ac:dyDescent="0.3">
      <c r="A212">
        <v>459</v>
      </c>
      <c r="B212">
        <v>36250</v>
      </c>
      <c r="C212" t="s">
        <v>14</v>
      </c>
      <c r="D212">
        <v>0</v>
      </c>
      <c r="E212">
        <v>0</v>
      </c>
      <c r="F212">
        <v>0</v>
      </c>
      <c r="G212">
        <v>1</v>
      </c>
      <c r="H212">
        <v>0</v>
      </c>
      <c r="I212" t="s">
        <v>13</v>
      </c>
      <c r="J212">
        <v>1</v>
      </c>
      <c r="K212">
        <v>0</v>
      </c>
    </row>
    <row r="213" spans="1:11" x14ac:dyDescent="0.3">
      <c r="A213">
        <v>460</v>
      </c>
      <c r="B213">
        <v>6000</v>
      </c>
      <c r="C213" t="s">
        <v>14</v>
      </c>
      <c r="D213">
        <v>0</v>
      </c>
      <c r="E213">
        <v>1</v>
      </c>
      <c r="F213">
        <v>0</v>
      </c>
      <c r="G213">
        <v>1</v>
      </c>
      <c r="H213">
        <v>0</v>
      </c>
      <c r="I213" t="s">
        <v>13</v>
      </c>
      <c r="J213">
        <v>1</v>
      </c>
      <c r="K213">
        <v>1</v>
      </c>
    </row>
    <row r="214" spans="1:11" x14ac:dyDescent="0.3">
      <c r="A214">
        <v>461</v>
      </c>
      <c r="B214">
        <v>2777.7777780000001</v>
      </c>
      <c r="C214" t="s">
        <v>14</v>
      </c>
      <c r="D214">
        <v>0</v>
      </c>
      <c r="E214">
        <v>0</v>
      </c>
      <c r="F214">
        <v>0</v>
      </c>
      <c r="G214">
        <v>1</v>
      </c>
      <c r="H214">
        <v>0</v>
      </c>
      <c r="I214" t="s">
        <v>13</v>
      </c>
      <c r="J214">
        <v>1</v>
      </c>
      <c r="K214">
        <v>0</v>
      </c>
    </row>
    <row r="215" spans="1:11" x14ac:dyDescent="0.3">
      <c r="A215">
        <v>464</v>
      </c>
      <c r="B215">
        <v>100000</v>
      </c>
      <c r="C215" t="s">
        <v>14</v>
      </c>
      <c r="D215">
        <v>0</v>
      </c>
      <c r="E215">
        <v>1</v>
      </c>
      <c r="F215">
        <v>0</v>
      </c>
      <c r="G215">
        <v>1</v>
      </c>
      <c r="H215">
        <v>0</v>
      </c>
      <c r="I215" t="s">
        <v>13</v>
      </c>
      <c r="J215">
        <v>1</v>
      </c>
      <c r="K215">
        <v>0</v>
      </c>
    </row>
    <row r="216" spans="1:11" x14ac:dyDescent="0.3">
      <c r="A216">
        <v>469</v>
      </c>
      <c r="B216">
        <v>8333.3333330000005</v>
      </c>
      <c r="C216" t="s">
        <v>14</v>
      </c>
      <c r="D216">
        <v>0</v>
      </c>
      <c r="E216">
        <v>1</v>
      </c>
      <c r="F216">
        <v>0</v>
      </c>
      <c r="G216">
        <v>1</v>
      </c>
      <c r="H216">
        <v>0</v>
      </c>
      <c r="I216" t="s">
        <v>13</v>
      </c>
      <c r="J216">
        <v>1</v>
      </c>
      <c r="K216">
        <v>1</v>
      </c>
    </row>
    <row r="217" spans="1:11" x14ac:dyDescent="0.3">
      <c r="A217">
        <v>472</v>
      </c>
      <c r="B217">
        <v>-10365.853660000001</v>
      </c>
      <c r="C217" t="s">
        <v>14</v>
      </c>
      <c r="D217">
        <v>0</v>
      </c>
      <c r="E217">
        <v>1</v>
      </c>
      <c r="F217">
        <v>0</v>
      </c>
      <c r="G217">
        <v>0</v>
      </c>
      <c r="H217">
        <v>1</v>
      </c>
      <c r="I217" t="s">
        <v>13</v>
      </c>
      <c r="J217">
        <v>1</v>
      </c>
      <c r="K217">
        <v>1</v>
      </c>
    </row>
    <row r="218" spans="1:11" x14ac:dyDescent="0.3">
      <c r="A218">
        <v>473</v>
      </c>
      <c r="B218">
        <v>-6172.8395060000003</v>
      </c>
      <c r="C218" t="s">
        <v>14</v>
      </c>
      <c r="D218">
        <v>0</v>
      </c>
      <c r="E218">
        <v>1</v>
      </c>
      <c r="F218">
        <v>0</v>
      </c>
      <c r="G218">
        <v>0</v>
      </c>
      <c r="H218">
        <v>1</v>
      </c>
      <c r="I218" t="s">
        <v>13</v>
      </c>
      <c r="J218">
        <v>1</v>
      </c>
      <c r="K218">
        <v>1</v>
      </c>
    </row>
    <row r="219" spans="1:11" x14ac:dyDescent="0.3">
      <c r="A219">
        <v>474</v>
      </c>
      <c r="B219">
        <v>4166.6666670000004</v>
      </c>
      <c r="C219" t="s">
        <v>14</v>
      </c>
      <c r="D219">
        <v>0</v>
      </c>
      <c r="E219">
        <v>1</v>
      </c>
      <c r="F219">
        <v>0</v>
      </c>
      <c r="G219">
        <v>0</v>
      </c>
      <c r="H219">
        <v>1</v>
      </c>
      <c r="I219" t="s">
        <v>13</v>
      </c>
      <c r="J219">
        <v>0</v>
      </c>
      <c r="K219">
        <v>1</v>
      </c>
    </row>
    <row r="220" spans="1:11" x14ac:dyDescent="0.3">
      <c r="A220">
        <v>477</v>
      </c>
      <c r="B220">
        <v>-15625</v>
      </c>
      <c r="C220" t="s">
        <v>14</v>
      </c>
      <c r="D220">
        <v>0</v>
      </c>
      <c r="E220">
        <v>1</v>
      </c>
      <c r="F220">
        <v>0</v>
      </c>
      <c r="G220">
        <v>1</v>
      </c>
      <c r="H220">
        <v>0</v>
      </c>
      <c r="I220" t="s">
        <v>13</v>
      </c>
      <c r="J220">
        <v>0</v>
      </c>
      <c r="K220">
        <v>0</v>
      </c>
    </row>
    <row r="221" spans="1:11" x14ac:dyDescent="0.3">
      <c r="A221">
        <v>478</v>
      </c>
      <c r="B221">
        <v>-19450.800920000001</v>
      </c>
      <c r="C221" t="s">
        <v>14</v>
      </c>
      <c r="D221">
        <v>0</v>
      </c>
      <c r="E221">
        <v>1</v>
      </c>
      <c r="F221">
        <v>0</v>
      </c>
      <c r="G221">
        <v>1</v>
      </c>
      <c r="H221">
        <v>0</v>
      </c>
      <c r="I221" t="s">
        <v>13</v>
      </c>
      <c r="J221">
        <v>0</v>
      </c>
      <c r="K221">
        <v>0</v>
      </c>
    </row>
    <row r="222" spans="1:11" x14ac:dyDescent="0.3">
      <c r="A222">
        <v>479</v>
      </c>
      <c r="B222">
        <v>-17000</v>
      </c>
      <c r="C222" t="s">
        <v>14</v>
      </c>
      <c r="D222">
        <v>0</v>
      </c>
      <c r="E222">
        <v>1</v>
      </c>
      <c r="F222">
        <v>0</v>
      </c>
      <c r="G222">
        <v>1</v>
      </c>
      <c r="H222">
        <v>0</v>
      </c>
      <c r="I222" t="s">
        <v>13</v>
      </c>
      <c r="J222">
        <v>1</v>
      </c>
      <c r="K222">
        <v>0</v>
      </c>
    </row>
    <row r="223" spans="1:11" x14ac:dyDescent="0.3">
      <c r="A223">
        <v>481</v>
      </c>
      <c r="B223">
        <v>16666.666669999999</v>
      </c>
      <c r="C223" t="s">
        <v>14</v>
      </c>
      <c r="D223">
        <v>0</v>
      </c>
      <c r="E223">
        <v>0</v>
      </c>
      <c r="F223">
        <v>0</v>
      </c>
      <c r="G223">
        <v>0</v>
      </c>
      <c r="H223">
        <v>1</v>
      </c>
      <c r="I223" t="s">
        <v>13</v>
      </c>
      <c r="J223">
        <v>1</v>
      </c>
      <c r="K223">
        <v>1</v>
      </c>
    </row>
    <row r="224" spans="1:11" x14ac:dyDescent="0.3">
      <c r="A224">
        <v>482</v>
      </c>
      <c r="B224">
        <v>22500</v>
      </c>
      <c r="C224" t="s">
        <v>12</v>
      </c>
      <c r="D224">
        <v>1</v>
      </c>
      <c r="E224">
        <v>0</v>
      </c>
      <c r="F224">
        <v>0</v>
      </c>
      <c r="G224">
        <v>0</v>
      </c>
      <c r="H224">
        <v>1</v>
      </c>
      <c r="I224" t="s">
        <v>13</v>
      </c>
      <c r="J224">
        <v>0</v>
      </c>
      <c r="K224">
        <v>1</v>
      </c>
    </row>
    <row r="225" spans="1:11" x14ac:dyDescent="0.3">
      <c r="A225">
        <v>484</v>
      </c>
      <c r="B225">
        <v>31428.57143</v>
      </c>
      <c r="C225" t="s">
        <v>12</v>
      </c>
      <c r="D225">
        <v>1</v>
      </c>
      <c r="E225">
        <v>0</v>
      </c>
      <c r="F225">
        <v>0</v>
      </c>
      <c r="G225">
        <v>0</v>
      </c>
      <c r="H225">
        <v>1</v>
      </c>
      <c r="I225" t="s">
        <v>13</v>
      </c>
      <c r="J225">
        <v>0</v>
      </c>
      <c r="K225">
        <v>1</v>
      </c>
    </row>
    <row r="226" spans="1:11" x14ac:dyDescent="0.3">
      <c r="A226">
        <v>486</v>
      </c>
      <c r="B226">
        <v>20000</v>
      </c>
      <c r="C226" t="s">
        <v>14</v>
      </c>
      <c r="D226">
        <v>0</v>
      </c>
      <c r="E226">
        <v>0</v>
      </c>
      <c r="F226">
        <v>0</v>
      </c>
      <c r="G226">
        <v>0</v>
      </c>
      <c r="H226">
        <v>1</v>
      </c>
      <c r="I226" t="s">
        <v>13</v>
      </c>
      <c r="J226">
        <v>1</v>
      </c>
      <c r="K226">
        <v>1</v>
      </c>
    </row>
    <row r="227" spans="1:11" x14ac:dyDescent="0.3">
      <c r="A227">
        <v>488</v>
      </c>
      <c r="B227">
        <v>100000</v>
      </c>
      <c r="C227" t="s">
        <v>12</v>
      </c>
      <c r="D227">
        <v>1</v>
      </c>
      <c r="E227">
        <v>0</v>
      </c>
      <c r="F227">
        <v>0</v>
      </c>
      <c r="G227">
        <v>0</v>
      </c>
      <c r="H227">
        <v>1</v>
      </c>
      <c r="I227" t="s">
        <v>13</v>
      </c>
      <c r="J227">
        <v>0</v>
      </c>
      <c r="K227">
        <v>1</v>
      </c>
    </row>
    <row r="228" spans="1:11" x14ac:dyDescent="0.3">
      <c r="A228">
        <v>492</v>
      </c>
      <c r="B228">
        <v>64516.129029999996</v>
      </c>
      <c r="C228" t="s">
        <v>14</v>
      </c>
      <c r="D228">
        <v>0</v>
      </c>
      <c r="E228">
        <v>1</v>
      </c>
      <c r="F228">
        <v>0</v>
      </c>
      <c r="G228">
        <v>1</v>
      </c>
      <c r="H228">
        <v>0</v>
      </c>
      <c r="I228" t="s">
        <v>13</v>
      </c>
      <c r="J228">
        <v>1</v>
      </c>
      <c r="K228">
        <v>0</v>
      </c>
    </row>
    <row r="229" spans="1:11" x14ac:dyDescent="0.3">
      <c r="A229">
        <v>494</v>
      </c>
      <c r="B229">
        <v>51666.666669999999</v>
      </c>
      <c r="C229" t="s">
        <v>14</v>
      </c>
      <c r="D229">
        <v>0</v>
      </c>
      <c r="E229">
        <v>1</v>
      </c>
      <c r="F229">
        <v>0</v>
      </c>
      <c r="G229">
        <v>1</v>
      </c>
      <c r="H229">
        <v>0</v>
      </c>
      <c r="I229" t="s">
        <v>13</v>
      </c>
      <c r="J229">
        <v>0</v>
      </c>
      <c r="K229">
        <v>0</v>
      </c>
    </row>
    <row r="230" spans="1:11" x14ac:dyDescent="0.3">
      <c r="A230">
        <v>498</v>
      </c>
      <c r="B230">
        <v>14000</v>
      </c>
      <c r="C230" t="s">
        <v>14</v>
      </c>
      <c r="D230">
        <v>0</v>
      </c>
      <c r="E230">
        <v>0</v>
      </c>
      <c r="F230">
        <v>0</v>
      </c>
      <c r="G230">
        <v>0</v>
      </c>
      <c r="H230">
        <v>1</v>
      </c>
      <c r="I230" t="s">
        <v>13</v>
      </c>
      <c r="J230">
        <v>0</v>
      </c>
      <c r="K230">
        <v>1</v>
      </c>
    </row>
    <row r="231" spans="1:11" x14ac:dyDescent="0.3">
      <c r="A231">
        <v>499</v>
      </c>
      <c r="B231">
        <v>10000</v>
      </c>
      <c r="C231" t="s">
        <v>14</v>
      </c>
      <c r="D231">
        <v>0</v>
      </c>
      <c r="E231">
        <v>0</v>
      </c>
      <c r="F231">
        <v>0</v>
      </c>
      <c r="G231">
        <v>0</v>
      </c>
      <c r="H231">
        <v>1</v>
      </c>
      <c r="I231" t="s">
        <v>13</v>
      </c>
      <c r="J231">
        <v>0</v>
      </c>
      <c r="K231">
        <v>1</v>
      </c>
    </row>
    <row r="232" spans="1:11" x14ac:dyDescent="0.3">
      <c r="A232">
        <v>500</v>
      </c>
      <c r="B232">
        <v>10000</v>
      </c>
      <c r="C232" t="s">
        <v>14</v>
      </c>
      <c r="D232">
        <v>0</v>
      </c>
      <c r="E232">
        <v>0</v>
      </c>
      <c r="F232">
        <v>0</v>
      </c>
      <c r="G232">
        <v>0</v>
      </c>
      <c r="H232">
        <v>1</v>
      </c>
      <c r="I232" t="s">
        <v>13</v>
      </c>
      <c r="J232">
        <v>0</v>
      </c>
      <c r="K232">
        <v>1</v>
      </c>
    </row>
    <row r="233" spans="1:11" x14ac:dyDescent="0.3">
      <c r="A233">
        <v>501</v>
      </c>
      <c r="B233">
        <v>16666.666669999999</v>
      </c>
      <c r="C233" t="s">
        <v>14</v>
      </c>
      <c r="D233">
        <v>0</v>
      </c>
      <c r="E233">
        <v>0</v>
      </c>
      <c r="F233">
        <v>0</v>
      </c>
      <c r="G233">
        <v>0</v>
      </c>
      <c r="H233">
        <v>1</v>
      </c>
      <c r="I233" t="s">
        <v>13</v>
      </c>
      <c r="J233">
        <v>1</v>
      </c>
      <c r="K233">
        <v>1</v>
      </c>
    </row>
    <row r="234" spans="1:11" x14ac:dyDescent="0.3">
      <c r="A234">
        <v>502</v>
      </c>
      <c r="B234">
        <v>73333.333329999994</v>
      </c>
      <c r="C234" t="s">
        <v>12</v>
      </c>
      <c r="D234">
        <v>1</v>
      </c>
      <c r="E234">
        <v>0</v>
      </c>
      <c r="F234">
        <v>0</v>
      </c>
      <c r="G234">
        <v>0</v>
      </c>
      <c r="H234">
        <v>1</v>
      </c>
      <c r="I234" t="s">
        <v>13</v>
      </c>
      <c r="J234">
        <v>1</v>
      </c>
      <c r="K234">
        <v>1</v>
      </c>
    </row>
    <row r="235" spans="1:11" x14ac:dyDescent="0.3">
      <c r="A235">
        <v>503</v>
      </c>
      <c r="B235">
        <v>107500</v>
      </c>
      <c r="C235" t="s">
        <v>14</v>
      </c>
      <c r="D235">
        <v>0</v>
      </c>
      <c r="E235">
        <v>0</v>
      </c>
      <c r="F235">
        <v>0</v>
      </c>
      <c r="G235">
        <v>0</v>
      </c>
      <c r="H235">
        <v>1</v>
      </c>
      <c r="I235" t="s">
        <v>13</v>
      </c>
      <c r="J235">
        <v>0</v>
      </c>
      <c r="K235">
        <v>1</v>
      </c>
    </row>
    <row r="236" spans="1:11" x14ac:dyDescent="0.3">
      <c r="A236">
        <v>504</v>
      </c>
      <c r="B236">
        <v>20000</v>
      </c>
      <c r="C236" t="s">
        <v>12</v>
      </c>
      <c r="D236">
        <v>1</v>
      </c>
      <c r="E236">
        <v>0</v>
      </c>
      <c r="F236">
        <v>0</v>
      </c>
      <c r="G236">
        <v>0</v>
      </c>
      <c r="H236">
        <v>1</v>
      </c>
      <c r="I236" t="s">
        <v>13</v>
      </c>
      <c r="J236">
        <v>1</v>
      </c>
      <c r="K236">
        <v>0</v>
      </c>
    </row>
    <row r="237" spans="1:11" x14ac:dyDescent="0.3">
      <c r="A237">
        <v>507</v>
      </c>
      <c r="B237">
        <v>60000</v>
      </c>
      <c r="C237" t="s">
        <v>14</v>
      </c>
      <c r="D237">
        <v>0</v>
      </c>
      <c r="E237">
        <v>0</v>
      </c>
      <c r="F237">
        <v>0</v>
      </c>
      <c r="G237">
        <v>1</v>
      </c>
      <c r="H237">
        <v>0</v>
      </c>
      <c r="I237" t="s">
        <v>13</v>
      </c>
      <c r="J237">
        <v>1</v>
      </c>
      <c r="K237">
        <v>1</v>
      </c>
    </row>
    <row r="238" spans="1:11" x14ac:dyDescent="0.3">
      <c r="A238">
        <v>508</v>
      </c>
      <c r="B238">
        <v>80000</v>
      </c>
      <c r="C238" t="s">
        <v>14</v>
      </c>
      <c r="D238">
        <v>0</v>
      </c>
      <c r="E238">
        <v>0</v>
      </c>
      <c r="F238">
        <v>0</v>
      </c>
      <c r="G238">
        <v>0</v>
      </c>
      <c r="H238">
        <v>1</v>
      </c>
      <c r="I238" t="s">
        <v>13</v>
      </c>
      <c r="J238">
        <v>1</v>
      </c>
      <c r="K238">
        <v>1</v>
      </c>
    </row>
    <row r="239" spans="1:11" x14ac:dyDescent="0.3">
      <c r="A239">
        <v>510</v>
      </c>
      <c r="B239">
        <v>60000</v>
      </c>
      <c r="C239" t="s">
        <v>14</v>
      </c>
      <c r="D239">
        <v>0</v>
      </c>
      <c r="E239">
        <v>0</v>
      </c>
      <c r="F239">
        <v>0</v>
      </c>
      <c r="G239">
        <v>0</v>
      </c>
      <c r="H239">
        <v>1</v>
      </c>
      <c r="I239" t="s">
        <v>13</v>
      </c>
      <c r="J239">
        <v>0</v>
      </c>
      <c r="K239">
        <v>1</v>
      </c>
    </row>
    <row r="240" spans="1:11" x14ac:dyDescent="0.3">
      <c r="A240">
        <v>511</v>
      </c>
      <c r="B240">
        <v>120000</v>
      </c>
      <c r="C240" t="s">
        <v>14</v>
      </c>
      <c r="D240">
        <v>0</v>
      </c>
      <c r="E240">
        <v>0</v>
      </c>
      <c r="F240">
        <v>0</v>
      </c>
      <c r="G240">
        <v>0</v>
      </c>
      <c r="H240">
        <v>1</v>
      </c>
      <c r="I240" t="s">
        <v>13</v>
      </c>
      <c r="J240">
        <v>0</v>
      </c>
      <c r="K240">
        <v>1</v>
      </c>
    </row>
    <row r="241" spans="1:11" x14ac:dyDescent="0.3">
      <c r="A241">
        <v>512</v>
      </c>
      <c r="B241">
        <v>73333.333329999994</v>
      </c>
      <c r="C241" t="s">
        <v>12</v>
      </c>
      <c r="D241">
        <v>1</v>
      </c>
      <c r="E241">
        <v>0</v>
      </c>
      <c r="F241">
        <v>0</v>
      </c>
      <c r="G241">
        <v>0</v>
      </c>
      <c r="H241">
        <v>1</v>
      </c>
      <c r="I241" t="s">
        <v>13</v>
      </c>
      <c r="J241">
        <v>0</v>
      </c>
      <c r="K241">
        <v>1</v>
      </c>
    </row>
    <row r="242" spans="1:11" x14ac:dyDescent="0.3">
      <c r="A242">
        <v>513</v>
      </c>
      <c r="B242">
        <v>48500</v>
      </c>
      <c r="C242" t="s">
        <v>14</v>
      </c>
      <c r="D242">
        <v>0</v>
      </c>
      <c r="E242">
        <v>0</v>
      </c>
      <c r="F242">
        <v>0</v>
      </c>
      <c r="G242">
        <v>0</v>
      </c>
      <c r="H242">
        <v>1</v>
      </c>
      <c r="I242" t="s">
        <v>13</v>
      </c>
      <c r="J242">
        <v>0</v>
      </c>
      <c r="K242">
        <v>1</v>
      </c>
    </row>
    <row r="243" spans="1:11" x14ac:dyDescent="0.3">
      <c r="A243">
        <v>515</v>
      </c>
      <c r="B243">
        <v>17500</v>
      </c>
      <c r="C243" t="s">
        <v>14</v>
      </c>
      <c r="D243">
        <v>0</v>
      </c>
      <c r="E243">
        <v>0</v>
      </c>
      <c r="F243">
        <v>0</v>
      </c>
      <c r="G243">
        <v>1</v>
      </c>
      <c r="H243">
        <v>0</v>
      </c>
      <c r="I243" t="s">
        <v>13</v>
      </c>
      <c r="J243">
        <v>0</v>
      </c>
      <c r="K243">
        <v>1</v>
      </c>
    </row>
    <row r="244" spans="1:11" x14ac:dyDescent="0.3">
      <c r="A244">
        <v>517</v>
      </c>
      <c r="B244">
        <v>83333.333329999994</v>
      </c>
      <c r="C244" t="s">
        <v>12</v>
      </c>
      <c r="D244">
        <v>1</v>
      </c>
      <c r="E244">
        <v>0</v>
      </c>
      <c r="F244">
        <v>0</v>
      </c>
      <c r="G244">
        <v>0</v>
      </c>
      <c r="H244">
        <v>1</v>
      </c>
      <c r="I244" t="s">
        <v>13</v>
      </c>
      <c r="J244">
        <v>0</v>
      </c>
      <c r="K244">
        <v>1</v>
      </c>
    </row>
    <row r="245" spans="1:11" x14ac:dyDescent="0.3">
      <c r="A245">
        <v>518</v>
      </c>
      <c r="B245">
        <v>31666.666669999999</v>
      </c>
      <c r="C245" t="s">
        <v>12</v>
      </c>
      <c r="D245">
        <v>1</v>
      </c>
      <c r="E245">
        <v>0</v>
      </c>
      <c r="F245">
        <v>0</v>
      </c>
      <c r="G245">
        <v>0</v>
      </c>
      <c r="H245">
        <v>1</v>
      </c>
      <c r="I245" t="s">
        <v>13</v>
      </c>
      <c r="J245">
        <v>0</v>
      </c>
      <c r="K245">
        <v>1</v>
      </c>
    </row>
    <row r="246" spans="1:11" x14ac:dyDescent="0.3">
      <c r="A246">
        <v>523</v>
      </c>
      <c r="B246">
        <v>41666.666669999999</v>
      </c>
      <c r="C246" t="s">
        <v>14</v>
      </c>
      <c r="D246">
        <v>0</v>
      </c>
      <c r="E246">
        <v>0</v>
      </c>
      <c r="F246">
        <v>0</v>
      </c>
      <c r="G246">
        <v>0</v>
      </c>
      <c r="H246">
        <v>1</v>
      </c>
      <c r="I246" t="s">
        <v>13</v>
      </c>
      <c r="J246">
        <v>0</v>
      </c>
      <c r="K246">
        <v>1</v>
      </c>
    </row>
    <row r="247" spans="1:11" x14ac:dyDescent="0.3">
      <c r="A247">
        <v>525</v>
      </c>
      <c r="B247">
        <v>75000</v>
      </c>
      <c r="C247" t="s">
        <v>14</v>
      </c>
      <c r="D247">
        <v>0</v>
      </c>
      <c r="E247">
        <v>0</v>
      </c>
      <c r="F247">
        <v>0</v>
      </c>
      <c r="G247">
        <v>0</v>
      </c>
      <c r="H247">
        <v>1</v>
      </c>
      <c r="I247" t="s">
        <v>13</v>
      </c>
      <c r="J247">
        <v>1</v>
      </c>
      <c r="K247">
        <v>1</v>
      </c>
    </row>
    <row r="248" spans="1:11" x14ac:dyDescent="0.3">
      <c r="A248">
        <v>526</v>
      </c>
      <c r="B248">
        <v>14000</v>
      </c>
      <c r="C248" t="s">
        <v>14</v>
      </c>
      <c r="D248">
        <v>0</v>
      </c>
      <c r="E248">
        <v>0</v>
      </c>
      <c r="F248">
        <v>0</v>
      </c>
      <c r="G248">
        <v>1</v>
      </c>
      <c r="H248">
        <v>0</v>
      </c>
      <c r="I248" t="s">
        <v>13</v>
      </c>
      <c r="J248">
        <v>0</v>
      </c>
      <c r="K248">
        <v>1</v>
      </c>
    </row>
    <row r="249" spans="1:11" x14ac:dyDescent="0.3">
      <c r="A249">
        <v>527</v>
      </c>
      <c r="B249">
        <v>10000</v>
      </c>
      <c r="C249" t="s">
        <v>14</v>
      </c>
      <c r="D249">
        <v>0</v>
      </c>
      <c r="E249">
        <v>0</v>
      </c>
      <c r="F249">
        <v>0</v>
      </c>
      <c r="G249">
        <v>1</v>
      </c>
      <c r="H249">
        <v>0</v>
      </c>
      <c r="I249" t="s">
        <v>13</v>
      </c>
      <c r="J249">
        <v>0</v>
      </c>
      <c r="K249">
        <v>1</v>
      </c>
    </row>
    <row r="250" spans="1:11" x14ac:dyDescent="0.3">
      <c r="A250">
        <v>529</v>
      </c>
      <c r="B250">
        <v>18750</v>
      </c>
      <c r="C250" t="s">
        <v>14</v>
      </c>
      <c r="D250">
        <v>0</v>
      </c>
      <c r="E250">
        <v>1</v>
      </c>
      <c r="F250">
        <v>0</v>
      </c>
      <c r="G250">
        <v>1</v>
      </c>
      <c r="H250">
        <v>0</v>
      </c>
      <c r="I250" t="s">
        <v>13</v>
      </c>
      <c r="J250">
        <v>1</v>
      </c>
      <c r="K250">
        <v>0</v>
      </c>
    </row>
    <row r="251" spans="1:11" x14ac:dyDescent="0.3">
      <c r="A251">
        <v>533</v>
      </c>
      <c r="B251">
        <v>5000</v>
      </c>
      <c r="C251" t="s">
        <v>14</v>
      </c>
      <c r="D251">
        <v>0</v>
      </c>
      <c r="E251">
        <v>0</v>
      </c>
      <c r="F251">
        <v>0</v>
      </c>
      <c r="G251">
        <v>1</v>
      </c>
      <c r="H251">
        <v>0</v>
      </c>
      <c r="I251" t="s">
        <v>13</v>
      </c>
      <c r="J251">
        <v>0</v>
      </c>
      <c r="K251">
        <v>1</v>
      </c>
    </row>
    <row r="252" spans="1:11" x14ac:dyDescent="0.3">
      <c r="A252">
        <v>534</v>
      </c>
      <c r="B252">
        <v>25000</v>
      </c>
      <c r="C252" t="s">
        <v>14</v>
      </c>
      <c r="D252">
        <v>0</v>
      </c>
      <c r="E252">
        <v>1</v>
      </c>
      <c r="F252">
        <v>0</v>
      </c>
      <c r="G252">
        <v>1</v>
      </c>
      <c r="H252">
        <v>0</v>
      </c>
      <c r="I252" t="s">
        <v>13</v>
      </c>
      <c r="J252">
        <v>1</v>
      </c>
      <c r="K252">
        <v>1</v>
      </c>
    </row>
    <row r="253" spans="1:11" x14ac:dyDescent="0.3">
      <c r="A253">
        <v>535</v>
      </c>
      <c r="B253">
        <v>-5833.3333329999996</v>
      </c>
      <c r="C253" t="s">
        <v>14</v>
      </c>
      <c r="D253">
        <v>0</v>
      </c>
      <c r="E253">
        <v>1</v>
      </c>
      <c r="F253">
        <v>0</v>
      </c>
      <c r="G253">
        <v>0</v>
      </c>
      <c r="H253">
        <v>1</v>
      </c>
      <c r="I253" t="s">
        <v>13</v>
      </c>
      <c r="J253">
        <v>1</v>
      </c>
      <c r="K253">
        <v>1</v>
      </c>
    </row>
    <row r="254" spans="1:11" x14ac:dyDescent="0.3">
      <c r="A254">
        <v>537</v>
      </c>
      <c r="B254">
        <v>133333.3333</v>
      </c>
      <c r="C254" t="s">
        <v>14</v>
      </c>
      <c r="D254">
        <v>0</v>
      </c>
      <c r="E254">
        <v>0</v>
      </c>
      <c r="F254">
        <v>0</v>
      </c>
      <c r="G254">
        <v>1</v>
      </c>
      <c r="H254">
        <v>0</v>
      </c>
      <c r="I254" t="s">
        <v>13</v>
      </c>
      <c r="J254">
        <v>1</v>
      </c>
      <c r="K254">
        <v>0</v>
      </c>
    </row>
    <row r="255" spans="1:11" x14ac:dyDescent="0.3">
      <c r="A255">
        <v>538</v>
      </c>
      <c r="B255">
        <v>-25000</v>
      </c>
      <c r="C255" t="s">
        <v>14</v>
      </c>
      <c r="D255">
        <v>0</v>
      </c>
      <c r="E255">
        <v>1</v>
      </c>
      <c r="F255">
        <v>0</v>
      </c>
      <c r="G255">
        <v>1</v>
      </c>
      <c r="H255">
        <v>0</v>
      </c>
      <c r="I255" t="s">
        <v>13</v>
      </c>
      <c r="J255">
        <v>1</v>
      </c>
      <c r="K255">
        <v>1</v>
      </c>
    </row>
    <row r="256" spans="1:11" x14ac:dyDescent="0.3">
      <c r="A256">
        <v>539</v>
      </c>
      <c r="B256">
        <v>25000</v>
      </c>
      <c r="C256" t="s">
        <v>14</v>
      </c>
      <c r="D256">
        <v>0</v>
      </c>
      <c r="E256">
        <v>0</v>
      </c>
      <c r="F256">
        <v>0</v>
      </c>
      <c r="G256">
        <v>0</v>
      </c>
      <c r="H256">
        <v>1</v>
      </c>
      <c r="I256" t="s">
        <v>13</v>
      </c>
      <c r="J256">
        <v>1</v>
      </c>
      <c r="K256">
        <v>1</v>
      </c>
    </row>
    <row r="257" spans="1:11" x14ac:dyDescent="0.3">
      <c r="A257">
        <v>540</v>
      </c>
      <c r="B257">
        <v>26666.666669999999</v>
      </c>
      <c r="C257" t="s">
        <v>12</v>
      </c>
      <c r="D257">
        <v>1</v>
      </c>
      <c r="E257">
        <v>1</v>
      </c>
      <c r="F257">
        <v>0</v>
      </c>
      <c r="G257">
        <v>1</v>
      </c>
      <c r="H257">
        <v>0</v>
      </c>
      <c r="I257" t="s">
        <v>13</v>
      </c>
      <c r="J257">
        <v>1</v>
      </c>
      <c r="K257">
        <v>0</v>
      </c>
    </row>
    <row r="258" spans="1:11" x14ac:dyDescent="0.3">
      <c r="A258">
        <v>542</v>
      </c>
      <c r="B258">
        <v>33333.333330000001</v>
      </c>
      <c r="C258" t="s">
        <v>14</v>
      </c>
      <c r="D258">
        <v>0</v>
      </c>
      <c r="E258">
        <v>1</v>
      </c>
      <c r="F258">
        <v>0</v>
      </c>
      <c r="G258">
        <v>1</v>
      </c>
      <c r="H258">
        <v>0</v>
      </c>
      <c r="I258" t="s">
        <v>13</v>
      </c>
      <c r="J258">
        <v>1</v>
      </c>
      <c r="K258">
        <v>0</v>
      </c>
    </row>
    <row r="259" spans="1:11" x14ac:dyDescent="0.3">
      <c r="A259">
        <v>543</v>
      </c>
      <c r="B259">
        <v>15066.666670000001</v>
      </c>
      <c r="C259" t="s">
        <v>14</v>
      </c>
      <c r="D259">
        <v>0</v>
      </c>
      <c r="E259">
        <v>1</v>
      </c>
      <c r="F259">
        <v>0</v>
      </c>
      <c r="G259">
        <v>1</v>
      </c>
      <c r="H259">
        <v>0</v>
      </c>
      <c r="I259" t="s">
        <v>13</v>
      </c>
      <c r="J259">
        <v>1</v>
      </c>
      <c r="K259">
        <v>1</v>
      </c>
    </row>
    <row r="260" spans="1:11" x14ac:dyDescent="0.3">
      <c r="A260">
        <v>4172</v>
      </c>
      <c r="B260">
        <v>66666.666670000006</v>
      </c>
      <c r="C260" t="s">
        <v>14</v>
      </c>
      <c r="D260">
        <v>0</v>
      </c>
      <c r="E260">
        <v>0</v>
      </c>
      <c r="F260">
        <v>0</v>
      </c>
      <c r="G260">
        <v>0</v>
      </c>
      <c r="H260">
        <v>1</v>
      </c>
      <c r="I260" t="s">
        <v>15</v>
      </c>
      <c r="J260">
        <v>1</v>
      </c>
      <c r="K260">
        <v>0</v>
      </c>
    </row>
    <row r="261" spans="1:11" x14ac:dyDescent="0.3">
      <c r="A261">
        <v>547</v>
      </c>
      <c r="B261">
        <v>50000</v>
      </c>
      <c r="C261" t="s">
        <v>14</v>
      </c>
      <c r="D261">
        <v>0</v>
      </c>
      <c r="E261">
        <v>0</v>
      </c>
      <c r="F261">
        <v>0</v>
      </c>
      <c r="G261">
        <v>1</v>
      </c>
      <c r="H261">
        <v>0</v>
      </c>
      <c r="I261" t="s">
        <v>13</v>
      </c>
      <c r="J261">
        <v>1</v>
      </c>
      <c r="K261">
        <v>1</v>
      </c>
    </row>
    <row r="262" spans="1:11" x14ac:dyDescent="0.3">
      <c r="A262">
        <v>556</v>
      </c>
      <c r="B262">
        <v>20000</v>
      </c>
      <c r="C262" t="s">
        <v>14</v>
      </c>
      <c r="D262">
        <v>0</v>
      </c>
      <c r="E262">
        <v>1</v>
      </c>
      <c r="F262">
        <v>0</v>
      </c>
      <c r="G262">
        <v>1</v>
      </c>
      <c r="H262">
        <v>0</v>
      </c>
      <c r="I262" t="s">
        <v>13</v>
      </c>
      <c r="J262">
        <v>1</v>
      </c>
      <c r="K262">
        <v>0</v>
      </c>
    </row>
    <row r="263" spans="1:11" x14ac:dyDescent="0.3">
      <c r="A263">
        <v>4171</v>
      </c>
      <c r="B263">
        <v>95238.095239999995</v>
      </c>
      <c r="C263" t="s">
        <v>12</v>
      </c>
      <c r="D263">
        <v>1</v>
      </c>
      <c r="E263">
        <v>0</v>
      </c>
      <c r="F263">
        <v>0</v>
      </c>
      <c r="G263">
        <v>0</v>
      </c>
      <c r="H263">
        <v>1</v>
      </c>
      <c r="I263" t="s">
        <v>15</v>
      </c>
      <c r="J263">
        <v>1</v>
      </c>
      <c r="K263">
        <v>0</v>
      </c>
    </row>
    <row r="264" spans="1:11" x14ac:dyDescent="0.3">
      <c r="A264">
        <v>4164</v>
      </c>
      <c r="B264">
        <v>96774.193549999996</v>
      </c>
      <c r="C264" t="s">
        <v>12</v>
      </c>
      <c r="D264">
        <v>1</v>
      </c>
      <c r="E264">
        <v>0</v>
      </c>
      <c r="F264">
        <v>0</v>
      </c>
      <c r="G264">
        <v>0</v>
      </c>
      <c r="H264">
        <v>1</v>
      </c>
      <c r="I264" t="s">
        <v>15</v>
      </c>
      <c r="J264">
        <v>1</v>
      </c>
      <c r="K264">
        <v>0</v>
      </c>
    </row>
    <row r="265" spans="1:11" x14ac:dyDescent="0.3">
      <c r="A265">
        <v>560</v>
      </c>
      <c r="B265">
        <v>21538.46154</v>
      </c>
      <c r="C265" t="s">
        <v>14</v>
      </c>
      <c r="D265">
        <v>0</v>
      </c>
      <c r="E265">
        <v>1</v>
      </c>
      <c r="F265">
        <v>0</v>
      </c>
      <c r="G265">
        <v>1</v>
      </c>
      <c r="H265">
        <v>0</v>
      </c>
      <c r="I265" t="s">
        <v>13</v>
      </c>
      <c r="J265">
        <v>1</v>
      </c>
      <c r="K265">
        <v>1</v>
      </c>
    </row>
    <row r="266" spans="1:11" x14ac:dyDescent="0.3">
      <c r="A266">
        <v>561</v>
      </c>
      <c r="B266">
        <v>31250</v>
      </c>
      <c r="C266" t="s">
        <v>14</v>
      </c>
      <c r="D266">
        <v>0</v>
      </c>
      <c r="E266">
        <v>1</v>
      </c>
      <c r="F266">
        <v>0</v>
      </c>
      <c r="G266">
        <v>1</v>
      </c>
      <c r="H266">
        <v>0</v>
      </c>
      <c r="I266" t="s">
        <v>13</v>
      </c>
      <c r="J266">
        <v>1</v>
      </c>
      <c r="K266">
        <v>0</v>
      </c>
    </row>
    <row r="267" spans="1:11" x14ac:dyDescent="0.3">
      <c r="A267">
        <v>562</v>
      </c>
      <c r="B267">
        <v>30000</v>
      </c>
      <c r="C267" t="s">
        <v>14</v>
      </c>
      <c r="D267">
        <v>0</v>
      </c>
      <c r="E267">
        <v>1</v>
      </c>
      <c r="F267">
        <v>0</v>
      </c>
      <c r="G267">
        <v>1</v>
      </c>
      <c r="H267">
        <v>0</v>
      </c>
      <c r="I267" t="s">
        <v>13</v>
      </c>
      <c r="J267">
        <v>1</v>
      </c>
      <c r="K267">
        <v>0</v>
      </c>
    </row>
    <row r="268" spans="1:11" x14ac:dyDescent="0.3">
      <c r="A268">
        <v>4163</v>
      </c>
      <c r="B268">
        <v>142857.14290000001</v>
      </c>
      <c r="C268" t="s">
        <v>14</v>
      </c>
      <c r="D268">
        <v>0</v>
      </c>
      <c r="E268">
        <v>0</v>
      </c>
      <c r="F268">
        <v>0</v>
      </c>
      <c r="G268">
        <v>0</v>
      </c>
      <c r="H268">
        <v>1</v>
      </c>
      <c r="I268" t="s">
        <v>15</v>
      </c>
      <c r="J268">
        <v>1</v>
      </c>
      <c r="K268">
        <v>0</v>
      </c>
    </row>
    <row r="269" spans="1:11" x14ac:dyDescent="0.3">
      <c r="A269">
        <v>4162</v>
      </c>
      <c r="B269">
        <v>86363.636360000004</v>
      </c>
      <c r="C269" t="s">
        <v>14</v>
      </c>
      <c r="D269">
        <v>0</v>
      </c>
      <c r="E269">
        <v>0</v>
      </c>
      <c r="F269">
        <v>0</v>
      </c>
      <c r="G269">
        <v>0</v>
      </c>
      <c r="H269">
        <v>1</v>
      </c>
      <c r="I269" t="s">
        <v>15</v>
      </c>
      <c r="J269">
        <v>1</v>
      </c>
      <c r="K269">
        <v>1</v>
      </c>
    </row>
    <row r="270" spans="1:11" x14ac:dyDescent="0.3">
      <c r="A270">
        <v>4159</v>
      </c>
      <c r="B270">
        <v>76923.076920000007</v>
      </c>
      <c r="C270" t="s">
        <v>14</v>
      </c>
      <c r="D270">
        <v>0</v>
      </c>
      <c r="E270">
        <v>0</v>
      </c>
      <c r="F270">
        <v>0</v>
      </c>
      <c r="G270">
        <v>0</v>
      </c>
      <c r="H270">
        <v>1</v>
      </c>
      <c r="I270" t="s">
        <v>15</v>
      </c>
      <c r="J270">
        <v>1</v>
      </c>
      <c r="K270">
        <v>0</v>
      </c>
    </row>
    <row r="271" spans="1:11" x14ac:dyDescent="0.3">
      <c r="A271">
        <v>4156</v>
      </c>
      <c r="B271">
        <v>150000</v>
      </c>
      <c r="C271" t="s">
        <v>14</v>
      </c>
      <c r="D271">
        <v>0</v>
      </c>
      <c r="E271">
        <v>0</v>
      </c>
      <c r="F271">
        <v>0</v>
      </c>
      <c r="G271">
        <v>0</v>
      </c>
      <c r="H271">
        <v>1</v>
      </c>
      <c r="I271" t="s">
        <v>15</v>
      </c>
      <c r="J271">
        <v>1</v>
      </c>
      <c r="K271">
        <v>0</v>
      </c>
    </row>
    <row r="272" spans="1:11" x14ac:dyDescent="0.3">
      <c r="A272">
        <v>4151</v>
      </c>
      <c r="B272">
        <v>45454.545449999998</v>
      </c>
      <c r="C272" t="s">
        <v>14</v>
      </c>
      <c r="D272">
        <v>0</v>
      </c>
      <c r="E272">
        <v>0</v>
      </c>
      <c r="F272">
        <v>0</v>
      </c>
      <c r="G272">
        <v>0</v>
      </c>
      <c r="H272">
        <v>1</v>
      </c>
      <c r="I272" t="s">
        <v>15</v>
      </c>
      <c r="J272">
        <v>1</v>
      </c>
      <c r="K272">
        <v>0</v>
      </c>
    </row>
    <row r="273" spans="1:11" x14ac:dyDescent="0.3">
      <c r="A273">
        <v>4150</v>
      </c>
      <c r="B273">
        <v>47761.194029999999</v>
      </c>
      <c r="C273" t="s">
        <v>14</v>
      </c>
      <c r="D273">
        <v>0</v>
      </c>
      <c r="E273">
        <v>0</v>
      </c>
      <c r="F273">
        <v>0</v>
      </c>
      <c r="G273">
        <v>0</v>
      </c>
      <c r="H273">
        <v>1</v>
      </c>
      <c r="I273" t="s">
        <v>15</v>
      </c>
      <c r="J273">
        <v>1</v>
      </c>
      <c r="K273">
        <v>1</v>
      </c>
    </row>
    <row r="274" spans="1:11" x14ac:dyDescent="0.3">
      <c r="A274">
        <v>574</v>
      </c>
      <c r="B274">
        <v>21818.181820000002</v>
      </c>
      <c r="C274" t="s">
        <v>14</v>
      </c>
      <c r="D274">
        <v>0</v>
      </c>
      <c r="E274">
        <v>1</v>
      </c>
      <c r="F274">
        <v>0</v>
      </c>
      <c r="G274">
        <v>1</v>
      </c>
      <c r="H274">
        <v>0</v>
      </c>
      <c r="I274" t="s">
        <v>13</v>
      </c>
      <c r="J274">
        <v>0</v>
      </c>
      <c r="K274">
        <v>1</v>
      </c>
    </row>
    <row r="275" spans="1:11" x14ac:dyDescent="0.3">
      <c r="A275">
        <v>4142</v>
      </c>
      <c r="B275">
        <v>7073.954984</v>
      </c>
      <c r="C275" t="s">
        <v>14</v>
      </c>
      <c r="D275">
        <v>0</v>
      </c>
      <c r="E275">
        <v>1</v>
      </c>
      <c r="F275">
        <v>0</v>
      </c>
      <c r="G275">
        <v>1</v>
      </c>
      <c r="H275">
        <v>0</v>
      </c>
      <c r="I275" t="s">
        <v>17</v>
      </c>
      <c r="J275">
        <v>1</v>
      </c>
      <c r="K275">
        <v>0</v>
      </c>
    </row>
    <row r="276" spans="1:11" x14ac:dyDescent="0.3">
      <c r="A276">
        <v>576</v>
      </c>
      <c r="B276">
        <v>28750</v>
      </c>
      <c r="C276" t="s">
        <v>14</v>
      </c>
      <c r="D276">
        <v>0</v>
      </c>
      <c r="E276">
        <v>1</v>
      </c>
      <c r="F276">
        <v>0</v>
      </c>
      <c r="G276">
        <v>1</v>
      </c>
      <c r="H276">
        <v>0</v>
      </c>
      <c r="I276" t="s">
        <v>13</v>
      </c>
      <c r="J276">
        <v>1</v>
      </c>
      <c r="K276">
        <v>1</v>
      </c>
    </row>
    <row r="277" spans="1:11" x14ac:dyDescent="0.3">
      <c r="A277">
        <v>4140</v>
      </c>
      <c r="B277">
        <v>13500</v>
      </c>
      <c r="C277" t="s">
        <v>14</v>
      </c>
      <c r="D277">
        <v>0</v>
      </c>
      <c r="E277">
        <v>1</v>
      </c>
      <c r="F277">
        <v>0</v>
      </c>
      <c r="G277">
        <v>1</v>
      </c>
      <c r="H277">
        <v>0</v>
      </c>
      <c r="I277" t="s">
        <v>17</v>
      </c>
      <c r="J277">
        <v>1</v>
      </c>
      <c r="K277">
        <v>0</v>
      </c>
    </row>
    <row r="278" spans="1:11" x14ac:dyDescent="0.3">
      <c r="A278">
        <v>581</v>
      </c>
      <c r="B278">
        <v>19565.217390000002</v>
      </c>
      <c r="C278" t="s">
        <v>14</v>
      </c>
      <c r="D278">
        <v>0</v>
      </c>
      <c r="E278">
        <v>1</v>
      </c>
      <c r="F278">
        <v>0</v>
      </c>
      <c r="G278">
        <v>1</v>
      </c>
      <c r="H278">
        <v>0</v>
      </c>
      <c r="I278" t="s">
        <v>13</v>
      </c>
      <c r="J278">
        <v>1</v>
      </c>
      <c r="K278">
        <v>1</v>
      </c>
    </row>
    <row r="279" spans="1:11" x14ac:dyDescent="0.3">
      <c r="A279">
        <v>4138</v>
      </c>
      <c r="B279">
        <v>20887.5</v>
      </c>
      <c r="C279" t="s">
        <v>14</v>
      </c>
      <c r="D279">
        <v>0</v>
      </c>
      <c r="E279">
        <v>0</v>
      </c>
      <c r="F279">
        <v>0</v>
      </c>
      <c r="G279">
        <v>1</v>
      </c>
      <c r="H279">
        <v>0</v>
      </c>
      <c r="I279" t="s">
        <v>17</v>
      </c>
      <c r="J279">
        <v>1</v>
      </c>
      <c r="K279">
        <v>0</v>
      </c>
    </row>
    <row r="280" spans="1:11" x14ac:dyDescent="0.3">
      <c r="A280">
        <v>587</v>
      </c>
      <c r="B280">
        <v>27380.952379999999</v>
      </c>
      <c r="C280" t="s">
        <v>14</v>
      </c>
      <c r="D280">
        <v>0</v>
      </c>
      <c r="E280">
        <v>1</v>
      </c>
      <c r="F280">
        <v>0</v>
      </c>
      <c r="G280">
        <v>1</v>
      </c>
      <c r="H280">
        <v>0</v>
      </c>
      <c r="I280" t="s">
        <v>13</v>
      </c>
      <c r="J280">
        <v>0</v>
      </c>
      <c r="K280">
        <v>1</v>
      </c>
    </row>
    <row r="281" spans="1:11" x14ac:dyDescent="0.3">
      <c r="A281">
        <v>593</v>
      </c>
      <c r="B281">
        <v>37777.777779999997</v>
      </c>
      <c r="C281" t="s">
        <v>14</v>
      </c>
      <c r="D281">
        <v>0</v>
      </c>
      <c r="E281">
        <v>1</v>
      </c>
      <c r="F281">
        <v>0</v>
      </c>
      <c r="G281">
        <v>1</v>
      </c>
      <c r="H281">
        <v>0</v>
      </c>
      <c r="I281" t="s">
        <v>13</v>
      </c>
      <c r="J281">
        <v>1</v>
      </c>
      <c r="K281">
        <v>1</v>
      </c>
    </row>
    <row r="282" spans="1:11" x14ac:dyDescent="0.3">
      <c r="A282">
        <v>594</v>
      </c>
      <c r="B282">
        <v>17000</v>
      </c>
      <c r="C282" t="s">
        <v>14</v>
      </c>
      <c r="D282">
        <v>0</v>
      </c>
      <c r="E282">
        <v>0</v>
      </c>
      <c r="F282">
        <v>0</v>
      </c>
      <c r="G282">
        <v>1</v>
      </c>
      <c r="H282">
        <v>0</v>
      </c>
      <c r="I282" t="s">
        <v>13</v>
      </c>
      <c r="J282">
        <v>1</v>
      </c>
      <c r="K282">
        <v>0</v>
      </c>
    </row>
    <row r="283" spans="1:11" x14ac:dyDescent="0.3">
      <c r="A283">
        <v>598</v>
      </c>
      <c r="B283">
        <v>40909.090909999999</v>
      </c>
      <c r="C283" t="s">
        <v>14</v>
      </c>
      <c r="D283">
        <v>0</v>
      </c>
      <c r="E283">
        <v>1</v>
      </c>
      <c r="F283">
        <v>0</v>
      </c>
      <c r="G283">
        <v>1</v>
      </c>
      <c r="H283">
        <v>0</v>
      </c>
      <c r="I283" t="s">
        <v>13</v>
      </c>
      <c r="J283">
        <v>1</v>
      </c>
      <c r="K283">
        <v>1</v>
      </c>
    </row>
    <row r="284" spans="1:11" x14ac:dyDescent="0.3">
      <c r="A284">
        <v>4137</v>
      </c>
      <c r="B284">
        <v>7738.0952379999999</v>
      </c>
      <c r="C284" t="s">
        <v>14</v>
      </c>
      <c r="D284">
        <v>0</v>
      </c>
      <c r="E284">
        <v>1</v>
      </c>
      <c r="F284">
        <v>0</v>
      </c>
      <c r="G284">
        <v>1</v>
      </c>
      <c r="H284">
        <v>0</v>
      </c>
      <c r="I284" t="s">
        <v>17</v>
      </c>
      <c r="J284">
        <v>1</v>
      </c>
      <c r="K284">
        <v>0</v>
      </c>
    </row>
    <row r="285" spans="1:11" x14ac:dyDescent="0.3">
      <c r="A285">
        <v>4135</v>
      </c>
      <c r="B285">
        <v>6082.7250610000001</v>
      </c>
      <c r="C285" t="s">
        <v>14</v>
      </c>
      <c r="D285">
        <v>0</v>
      </c>
      <c r="E285">
        <v>1</v>
      </c>
      <c r="F285">
        <v>0</v>
      </c>
      <c r="G285">
        <v>1</v>
      </c>
      <c r="H285">
        <v>0</v>
      </c>
      <c r="I285" t="s">
        <v>17</v>
      </c>
      <c r="J285">
        <v>1</v>
      </c>
      <c r="K285">
        <v>0</v>
      </c>
    </row>
    <row r="286" spans="1:11" x14ac:dyDescent="0.3">
      <c r="A286">
        <v>4134</v>
      </c>
      <c r="B286">
        <v>4866.1800489999996</v>
      </c>
      <c r="C286" t="s">
        <v>14</v>
      </c>
      <c r="D286">
        <v>0</v>
      </c>
      <c r="E286">
        <v>1</v>
      </c>
      <c r="F286">
        <v>0</v>
      </c>
      <c r="G286">
        <v>1</v>
      </c>
      <c r="H286">
        <v>0</v>
      </c>
      <c r="I286" t="s">
        <v>17</v>
      </c>
      <c r="J286">
        <v>1</v>
      </c>
      <c r="K286">
        <v>0</v>
      </c>
    </row>
    <row r="287" spans="1:11" x14ac:dyDescent="0.3">
      <c r="A287">
        <v>4130</v>
      </c>
      <c r="B287">
        <v>25487.5</v>
      </c>
      <c r="C287" t="s">
        <v>14</v>
      </c>
      <c r="D287">
        <v>0</v>
      </c>
      <c r="E287">
        <v>1</v>
      </c>
      <c r="F287">
        <v>0</v>
      </c>
      <c r="G287">
        <v>1</v>
      </c>
      <c r="H287">
        <v>0</v>
      </c>
      <c r="I287" t="s">
        <v>17</v>
      </c>
      <c r="J287">
        <v>1</v>
      </c>
      <c r="K287">
        <v>0</v>
      </c>
    </row>
    <row r="288" spans="1:11" x14ac:dyDescent="0.3">
      <c r="A288">
        <v>613</v>
      </c>
      <c r="B288">
        <v>24867.724869999998</v>
      </c>
      <c r="C288" t="s">
        <v>14</v>
      </c>
      <c r="D288">
        <v>0</v>
      </c>
      <c r="E288">
        <v>1</v>
      </c>
      <c r="F288">
        <v>0</v>
      </c>
      <c r="G288">
        <v>1</v>
      </c>
      <c r="H288">
        <v>0</v>
      </c>
      <c r="I288" t="s">
        <v>13</v>
      </c>
      <c r="J288">
        <v>1</v>
      </c>
      <c r="K288">
        <v>1</v>
      </c>
    </row>
    <row r="289" spans="1:11" x14ac:dyDescent="0.3">
      <c r="A289">
        <v>614</v>
      </c>
      <c r="B289">
        <v>20000</v>
      </c>
      <c r="C289" t="s">
        <v>14</v>
      </c>
      <c r="D289">
        <v>0</v>
      </c>
      <c r="E289">
        <v>0</v>
      </c>
      <c r="F289">
        <v>0</v>
      </c>
      <c r="G289">
        <v>1</v>
      </c>
      <c r="H289">
        <v>0</v>
      </c>
      <c r="I289" t="s">
        <v>13</v>
      </c>
      <c r="J289">
        <v>0</v>
      </c>
      <c r="K289">
        <v>1</v>
      </c>
    </row>
    <row r="290" spans="1:11" x14ac:dyDescent="0.3">
      <c r="A290">
        <v>615</v>
      </c>
      <c r="B290">
        <v>20338.983049999999</v>
      </c>
      <c r="C290" t="s">
        <v>14</v>
      </c>
      <c r="D290">
        <v>0</v>
      </c>
      <c r="E290">
        <v>1</v>
      </c>
      <c r="F290">
        <v>0</v>
      </c>
      <c r="G290">
        <v>1</v>
      </c>
      <c r="H290">
        <v>0</v>
      </c>
      <c r="I290" t="s">
        <v>13</v>
      </c>
      <c r="J290">
        <v>1</v>
      </c>
      <c r="K290">
        <v>1</v>
      </c>
    </row>
    <row r="291" spans="1:11" x14ac:dyDescent="0.3">
      <c r="A291">
        <v>616</v>
      </c>
      <c r="B291">
        <v>133333.3333</v>
      </c>
      <c r="C291" t="s">
        <v>14</v>
      </c>
      <c r="D291">
        <v>0</v>
      </c>
      <c r="E291">
        <v>0</v>
      </c>
      <c r="F291">
        <v>0</v>
      </c>
      <c r="G291">
        <v>0</v>
      </c>
      <c r="H291">
        <v>1</v>
      </c>
      <c r="I291" t="s">
        <v>15</v>
      </c>
      <c r="J291">
        <v>1</v>
      </c>
      <c r="K291">
        <v>1</v>
      </c>
    </row>
    <row r="292" spans="1:11" x14ac:dyDescent="0.3">
      <c r="A292">
        <v>617</v>
      </c>
      <c r="B292">
        <v>34000</v>
      </c>
      <c r="C292" t="s">
        <v>14</v>
      </c>
      <c r="D292">
        <v>0</v>
      </c>
      <c r="E292">
        <v>0</v>
      </c>
      <c r="F292">
        <v>0</v>
      </c>
      <c r="G292">
        <v>0</v>
      </c>
      <c r="H292">
        <v>1</v>
      </c>
      <c r="I292" t="s">
        <v>15</v>
      </c>
      <c r="J292">
        <v>1</v>
      </c>
      <c r="K292">
        <v>1</v>
      </c>
    </row>
    <row r="293" spans="1:11" x14ac:dyDescent="0.3">
      <c r="A293">
        <v>620</v>
      </c>
      <c r="B293">
        <v>43478.260869999998</v>
      </c>
      <c r="C293" t="s">
        <v>14</v>
      </c>
      <c r="D293">
        <v>0</v>
      </c>
      <c r="E293">
        <v>0</v>
      </c>
      <c r="F293">
        <v>0</v>
      </c>
      <c r="G293">
        <v>0</v>
      </c>
      <c r="H293">
        <v>1</v>
      </c>
      <c r="I293" t="s">
        <v>15</v>
      </c>
      <c r="J293">
        <v>0</v>
      </c>
      <c r="K293">
        <v>1</v>
      </c>
    </row>
    <row r="294" spans="1:11" x14ac:dyDescent="0.3">
      <c r="A294">
        <v>623</v>
      </c>
      <c r="B294">
        <v>8333.3333330000005</v>
      </c>
      <c r="C294" t="s">
        <v>14</v>
      </c>
      <c r="D294">
        <v>0</v>
      </c>
      <c r="E294">
        <v>0</v>
      </c>
      <c r="F294">
        <v>0</v>
      </c>
      <c r="G294">
        <v>0</v>
      </c>
      <c r="H294">
        <v>1</v>
      </c>
      <c r="I294" t="s">
        <v>15</v>
      </c>
      <c r="J294">
        <v>1</v>
      </c>
      <c r="K294">
        <v>1</v>
      </c>
    </row>
    <row r="295" spans="1:11" x14ac:dyDescent="0.3">
      <c r="A295">
        <v>627</v>
      </c>
      <c r="B295">
        <v>78695.652170000001</v>
      </c>
      <c r="C295" t="s">
        <v>14</v>
      </c>
      <c r="D295">
        <v>0</v>
      </c>
      <c r="E295">
        <v>0</v>
      </c>
      <c r="F295">
        <v>0</v>
      </c>
      <c r="G295">
        <v>0</v>
      </c>
      <c r="H295">
        <v>1</v>
      </c>
      <c r="I295" t="s">
        <v>15</v>
      </c>
      <c r="J295">
        <v>1</v>
      </c>
      <c r="K295">
        <v>1</v>
      </c>
    </row>
    <row r="296" spans="1:11" x14ac:dyDescent="0.3">
      <c r="A296">
        <v>628</v>
      </c>
      <c r="B296">
        <v>139705.8824</v>
      </c>
      <c r="C296" t="s">
        <v>14</v>
      </c>
      <c r="D296">
        <v>0</v>
      </c>
      <c r="E296">
        <v>0</v>
      </c>
      <c r="F296">
        <v>0</v>
      </c>
      <c r="G296">
        <v>0</v>
      </c>
      <c r="H296">
        <v>1</v>
      </c>
      <c r="I296" t="s">
        <v>15</v>
      </c>
      <c r="J296">
        <v>1</v>
      </c>
      <c r="K296">
        <v>1</v>
      </c>
    </row>
    <row r="297" spans="1:11" x14ac:dyDescent="0.3">
      <c r="A297">
        <v>629</v>
      </c>
      <c r="B297">
        <v>41666.666669999999</v>
      </c>
      <c r="C297" t="s">
        <v>14</v>
      </c>
      <c r="D297">
        <v>0</v>
      </c>
      <c r="E297">
        <v>0</v>
      </c>
      <c r="F297">
        <v>0</v>
      </c>
      <c r="G297">
        <v>1</v>
      </c>
      <c r="H297">
        <v>0</v>
      </c>
      <c r="I297" t="s">
        <v>15</v>
      </c>
      <c r="J297">
        <v>1</v>
      </c>
      <c r="K297">
        <v>1</v>
      </c>
    </row>
    <row r="298" spans="1:11" x14ac:dyDescent="0.3">
      <c r="A298">
        <v>634</v>
      </c>
      <c r="B298">
        <v>24545.454549999999</v>
      </c>
      <c r="C298" t="s">
        <v>14</v>
      </c>
      <c r="D298">
        <v>0</v>
      </c>
      <c r="E298">
        <v>0</v>
      </c>
      <c r="F298">
        <v>0</v>
      </c>
      <c r="G298">
        <v>0</v>
      </c>
      <c r="H298">
        <v>1</v>
      </c>
      <c r="I298" t="s">
        <v>15</v>
      </c>
      <c r="J298">
        <v>1</v>
      </c>
      <c r="K298">
        <v>1</v>
      </c>
    </row>
    <row r="299" spans="1:11" x14ac:dyDescent="0.3">
      <c r="A299">
        <v>635</v>
      </c>
      <c r="B299">
        <v>33854.166669999999</v>
      </c>
      <c r="C299" t="s">
        <v>14</v>
      </c>
      <c r="D299">
        <v>0</v>
      </c>
      <c r="E299">
        <v>0</v>
      </c>
      <c r="F299">
        <v>0</v>
      </c>
      <c r="G299">
        <v>0</v>
      </c>
      <c r="H299">
        <v>1</v>
      </c>
      <c r="I299" t="s">
        <v>15</v>
      </c>
      <c r="J299">
        <v>1</v>
      </c>
      <c r="K299">
        <v>1</v>
      </c>
    </row>
    <row r="300" spans="1:11" x14ac:dyDescent="0.3">
      <c r="A300">
        <v>639</v>
      </c>
      <c r="B300">
        <v>44166.666669999999</v>
      </c>
      <c r="C300" t="s">
        <v>14</v>
      </c>
      <c r="D300">
        <v>0</v>
      </c>
      <c r="E300">
        <v>0</v>
      </c>
      <c r="F300">
        <v>0</v>
      </c>
      <c r="G300">
        <v>0</v>
      </c>
      <c r="H300">
        <v>1</v>
      </c>
      <c r="I300" t="s">
        <v>15</v>
      </c>
      <c r="J300">
        <v>1</v>
      </c>
      <c r="K300">
        <v>1</v>
      </c>
    </row>
    <row r="301" spans="1:11" x14ac:dyDescent="0.3">
      <c r="A301">
        <v>640</v>
      </c>
      <c r="B301">
        <v>50000</v>
      </c>
      <c r="C301" t="s">
        <v>14</v>
      </c>
      <c r="D301">
        <v>0</v>
      </c>
      <c r="E301">
        <v>0</v>
      </c>
      <c r="F301">
        <v>0</v>
      </c>
      <c r="G301">
        <v>0</v>
      </c>
      <c r="H301">
        <v>1</v>
      </c>
      <c r="I301" t="s">
        <v>15</v>
      </c>
      <c r="J301">
        <v>0</v>
      </c>
      <c r="K301">
        <v>1</v>
      </c>
    </row>
    <row r="302" spans="1:11" x14ac:dyDescent="0.3">
      <c r="A302">
        <v>642</v>
      </c>
      <c r="B302">
        <v>16540.75547</v>
      </c>
      <c r="C302" t="s">
        <v>14</v>
      </c>
      <c r="D302">
        <v>0</v>
      </c>
      <c r="E302">
        <v>0</v>
      </c>
      <c r="F302">
        <v>0</v>
      </c>
      <c r="G302">
        <v>0</v>
      </c>
      <c r="H302">
        <v>1</v>
      </c>
      <c r="I302" t="s">
        <v>15</v>
      </c>
      <c r="J302">
        <v>1</v>
      </c>
      <c r="K302">
        <v>0</v>
      </c>
    </row>
    <row r="303" spans="1:11" x14ac:dyDescent="0.3">
      <c r="A303">
        <v>645</v>
      </c>
      <c r="B303">
        <v>67500</v>
      </c>
      <c r="C303" t="s">
        <v>14</v>
      </c>
      <c r="D303">
        <v>0</v>
      </c>
      <c r="E303">
        <v>0</v>
      </c>
      <c r="F303">
        <v>0</v>
      </c>
      <c r="G303">
        <v>0</v>
      </c>
      <c r="H303">
        <v>1</v>
      </c>
      <c r="I303" t="s">
        <v>15</v>
      </c>
      <c r="J303">
        <v>1</v>
      </c>
      <c r="K303">
        <v>1</v>
      </c>
    </row>
    <row r="304" spans="1:11" x14ac:dyDescent="0.3">
      <c r="A304">
        <v>646</v>
      </c>
      <c r="B304">
        <v>12000</v>
      </c>
      <c r="C304" t="s">
        <v>14</v>
      </c>
      <c r="D304">
        <v>0</v>
      </c>
      <c r="E304">
        <v>0</v>
      </c>
      <c r="F304">
        <v>0</v>
      </c>
      <c r="G304">
        <v>0</v>
      </c>
      <c r="H304">
        <v>1</v>
      </c>
      <c r="I304" t="s">
        <v>15</v>
      </c>
      <c r="J304">
        <v>1</v>
      </c>
      <c r="K304">
        <v>1</v>
      </c>
    </row>
    <row r="305" spans="1:11" x14ac:dyDescent="0.3">
      <c r="A305">
        <v>660</v>
      </c>
      <c r="B305">
        <v>117000</v>
      </c>
      <c r="C305" t="s">
        <v>14</v>
      </c>
      <c r="D305">
        <v>0</v>
      </c>
      <c r="E305">
        <v>0</v>
      </c>
      <c r="F305">
        <v>0</v>
      </c>
      <c r="G305">
        <v>0</v>
      </c>
      <c r="H305">
        <v>1</v>
      </c>
      <c r="I305" t="s">
        <v>15</v>
      </c>
      <c r="J305">
        <v>1</v>
      </c>
      <c r="K305">
        <v>1</v>
      </c>
    </row>
    <row r="306" spans="1:11" x14ac:dyDescent="0.3">
      <c r="A306">
        <v>4129</v>
      </c>
      <c r="B306">
        <v>24174.047620000001</v>
      </c>
      <c r="C306" t="s">
        <v>14</v>
      </c>
      <c r="D306">
        <v>0</v>
      </c>
      <c r="E306">
        <v>1</v>
      </c>
      <c r="F306">
        <v>0</v>
      </c>
      <c r="G306">
        <v>1</v>
      </c>
      <c r="H306">
        <v>0</v>
      </c>
      <c r="I306" t="s">
        <v>17</v>
      </c>
      <c r="J306">
        <v>1</v>
      </c>
      <c r="K306">
        <v>0</v>
      </c>
    </row>
    <row r="307" spans="1:11" x14ac:dyDescent="0.3">
      <c r="A307">
        <v>662</v>
      </c>
      <c r="B307">
        <v>73130.841119999997</v>
      </c>
      <c r="C307" t="s">
        <v>14</v>
      </c>
      <c r="D307">
        <v>0</v>
      </c>
      <c r="E307">
        <v>0</v>
      </c>
      <c r="F307">
        <v>0</v>
      </c>
      <c r="G307">
        <v>0</v>
      </c>
      <c r="H307">
        <v>1</v>
      </c>
      <c r="I307" t="s">
        <v>15</v>
      </c>
      <c r="J307">
        <v>1</v>
      </c>
      <c r="K307">
        <v>1</v>
      </c>
    </row>
    <row r="308" spans="1:11" x14ac:dyDescent="0.3">
      <c r="A308">
        <v>663</v>
      </c>
      <c r="B308">
        <v>95000</v>
      </c>
      <c r="C308" t="s">
        <v>14</v>
      </c>
      <c r="D308">
        <v>0</v>
      </c>
      <c r="E308">
        <v>0</v>
      </c>
      <c r="F308">
        <v>0</v>
      </c>
      <c r="G308">
        <v>0</v>
      </c>
      <c r="H308">
        <v>1</v>
      </c>
      <c r="I308" t="s">
        <v>15</v>
      </c>
      <c r="J308">
        <v>1</v>
      </c>
      <c r="K308">
        <v>1</v>
      </c>
    </row>
    <row r="309" spans="1:11" x14ac:dyDescent="0.3">
      <c r="A309">
        <v>664</v>
      </c>
      <c r="B309">
        <v>20000</v>
      </c>
      <c r="C309" t="s">
        <v>14</v>
      </c>
      <c r="D309">
        <v>0</v>
      </c>
      <c r="E309">
        <v>0</v>
      </c>
      <c r="F309">
        <v>0</v>
      </c>
      <c r="G309">
        <v>0</v>
      </c>
      <c r="H309">
        <v>1</v>
      </c>
      <c r="I309" t="s">
        <v>15</v>
      </c>
      <c r="J309">
        <v>1</v>
      </c>
      <c r="K309">
        <v>1</v>
      </c>
    </row>
    <row r="310" spans="1:11" x14ac:dyDescent="0.3">
      <c r="A310">
        <v>665</v>
      </c>
      <c r="B310">
        <v>11090.909089999999</v>
      </c>
      <c r="C310" t="s">
        <v>14</v>
      </c>
      <c r="D310">
        <v>0</v>
      </c>
      <c r="E310">
        <v>0</v>
      </c>
      <c r="F310">
        <v>0</v>
      </c>
      <c r="G310">
        <v>0</v>
      </c>
      <c r="H310">
        <v>1</v>
      </c>
      <c r="I310" t="s">
        <v>15</v>
      </c>
      <c r="J310">
        <v>0</v>
      </c>
      <c r="K310">
        <v>1</v>
      </c>
    </row>
    <row r="311" spans="1:11" x14ac:dyDescent="0.3">
      <c r="A311">
        <v>667</v>
      </c>
      <c r="B311">
        <v>63833.333330000001</v>
      </c>
      <c r="C311" t="s">
        <v>14</v>
      </c>
      <c r="D311">
        <v>0</v>
      </c>
      <c r="E311">
        <v>0</v>
      </c>
      <c r="F311">
        <v>0</v>
      </c>
      <c r="G311">
        <v>0</v>
      </c>
      <c r="H311">
        <v>1</v>
      </c>
      <c r="I311" t="s">
        <v>15</v>
      </c>
      <c r="J311">
        <v>1</v>
      </c>
      <c r="K311">
        <v>1</v>
      </c>
    </row>
    <row r="312" spans="1:11" x14ac:dyDescent="0.3">
      <c r="A312">
        <v>668</v>
      </c>
      <c r="B312">
        <v>63058.823530000001</v>
      </c>
      <c r="C312" t="s">
        <v>14</v>
      </c>
      <c r="D312">
        <v>0</v>
      </c>
      <c r="E312">
        <v>0</v>
      </c>
      <c r="F312">
        <v>0</v>
      </c>
      <c r="G312">
        <v>0</v>
      </c>
      <c r="H312">
        <v>1</v>
      </c>
      <c r="I312" t="s">
        <v>15</v>
      </c>
      <c r="J312">
        <v>1</v>
      </c>
      <c r="K312">
        <v>1</v>
      </c>
    </row>
    <row r="313" spans="1:11" x14ac:dyDescent="0.3">
      <c r="A313">
        <v>669</v>
      </c>
      <c r="B313">
        <v>16400</v>
      </c>
      <c r="C313" t="s">
        <v>14</v>
      </c>
      <c r="D313">
        <v>0</v>
      </c>
      <c r="E313">
        <v>0</v>
      </c>
      <c r="F313">
        <v>0</v>
      </c>
      <c r="G313">
        <v>0</v>
      </c>
      <c r="H313">
        <v>1</v>
      </c>
      <c r="I313" t="s">
        <v>15</v>
      </c>
      <c r="J313">
        <v>1</v>
      </c>
      <c r="K313">
        <v>1</v>
      </c>
    </row>
    <row r="314" spans="1:11" x14ac:dyDescent="0.3">
      <c r="A314">
        <v>671</v>
      </c>
      <c r="B314">
        <v>-49666.666669999999</v>
      </c>
      <c r="C314" t="s">
        <v>14</v>
      </c>
      <c r="D314">
        <v>0</v>
      </c>
      <c r="E314">
        <v>0</v>
      </c>
      <c r="F314">
        <v>0</v>
      </c>
      <c r="G314">
        <v>0</v>
      </c>
      <c r="H314">
        <v>1</v>
      </c>
      <c r="I314" t="s">
        <v>15</v>
      </c>
      <c r="J314">
        <v>1</v>
      </c>
      <c r="K314">
        <v>1</v>
      </c>
    </row>
    <row r="315" spans="1:11" x14ac:dyDescent="0.3">
      <c r="A315">
        <v>672</v>
      </c>
      <c r="B315">
        <v>50909.090909999999</v>
      </c>
      <c r="C315" t="s">
        <v>14</v>
      </c>
      <c r="D315">
        <v>0</v>
      </c>
      <c r="E315">
        <v>1</v>
      </c>
      <c r="F315">
        <v>0</v>
      </c>
      <c r="G315">
        <v>0</v>
      </c>
      <c r="H315">
        <v>1</v>
      </c>
      <c r="I315" t="s">
        <v>15</v>
      </c>
      <c r="J315">
        <v>1</v>
      </c>
      <c r="K315">
        <v>1</v>
      </c>
    </row>
    <row r="316" spans="1:11" x14ac:dyDescent="0.3">
      <c r="A316">
        <v>673</v>
      </c>
      <c r="B316">
        <v>69230.769230000005</v>
      </c>
      <c r="C316" t="s">
        <v>14</v>
      </c>
      <c r="D316">
        <v>0</v>
      </c>
      <c r="E316">
        <v>1</v>
      </c>
      <c r="F316">
        <v>0</v>
      </c>
      <c r="G316">
        <v>0</v>
      </c>
      <c r="H316">
        <v>1</v>
      </c>
      <c r="I316" t="s">
        <v>15</v>
      </c>
      <c r="J316">
        <v>1</v>
      </c>
      <c r="K316">
        <v>1</v>
      </c>
    </row>
    <row r="317" spans="1:11" x14ac:dyDescent="0.3">
      <c r="A317">
        <v>674</v>
      </c>
      <c r="B317">
        <v>85600</v>
      </c>
      <c r="C317" t="s">
        <v>14</v>
      </c>
      <c r="D317">
        <v>0</v>
      </c>
      <c r="E317">
        <v>0</v>
      </c>
      <c r="F317">
        <v>0</v>
      </c>
      <c r="G317">
        <v>0</v>
      </c>
      <c r="H317">
        <v>1</v>
      </c>
      <c r="I317" t="s">
        <v>15</v>
      </c>
      <c r="J317">
        <v>0</v>
      </c>
      <c r="K317">
        <v>1</v>
      </c>
    </row>
    <row r="318" spans="1:11" x14ac:dyDescent="0.3">
      <c r="A318">
        <v>675</v>
      </c>
      <c r="B318">
        <v>100000</v>
      </c>
      <c r="C318" t="s">
        <v>14</v>
      </c>
      <c r="D318">
        <v>0</v>
      </c>
      <c r="E318">
        <v>0</v>
      </c>
      <c r="F318">
        <v>0</v>
      </c>
      <c r="G318">
        <v>0</v>
      </c>
      <c r="H318">
        <v>1</v>
      </c>
      <c r="I318" t="s">
        <v>15</v>
      </c>
      <c r="J318">
        <v>0</v>
      </c>
      <c r="K318">
        <v>1</v>
      </c>
    </row>
    <row r="319" spans="1:11" x14ac:dyDescent="0.3">
      <c r="A319">
        <v>676</v>
      </c>
      <c r="B319">
        <v>20000</v>
      </c>
      <c r="C319" t="s">
        <v>14</v>
      </c>
      <c r="D319">
        <v>0</v>
      </c>
      <c r="E319">
        <v>0</v>
      </c>
      <c r="F319">
        <v>0</v>
      </c>
      <c r="G319">
        <v>0</v>
      </c>
      <c r="H319">
        <v>1</v>
      </c>
      <c r="I319" t="s">
        <v>15</v>
      </c>
      <c r="J319">
        <v>1</v>
      </c>
      <c r="K319">
        <v>1</v>
      </c>
    </row>
    <row r="320" spans="1:11" x14ac:dyDescent="0.3">
      <c r="A320">
        <v>4127</v>
      </c>
      <c r="B320">
        <v>48449.541279999998</v>
      </c>
      <c r="C320" t="s">
        <v>14</v>
      </c>
      <c r="D320">
        <v>0</v>
      </c>
      <c r="E320">
        <v>1</v>
      </c>
      <c r="F320">
        <v>0</v>
      </c>
      <c r="G320">
        <v>1</v>
      </c>
      <c r="H320">
        <v>0</v>
      </c>
      <c r="I320" t="s">
        <v>17</v>
      </c>
      <c r="J320">
        <v>1</v>
      </c>
      <c r="K320">
        <v>0</v>
      </c>
    </row>
    <row r="321" spans="1:11" x14ac:dyDescent="0.3">
      <c r="A321">
        <v>684</v>
      </c>
      <c r="B321">
        <v>84158.415840000001</v>
      </c>
      <c r="C321" t="s">
        <v>14</v>
      </c>
      <c r="D321">
        <v>0</v>
      </c>
      <c r="E321">
        <v>0</v>
      </c>
      <c r="F321">
        <v>0</v>
      </c>
      <c r="G321">
        <v>0</v>
      </c>
      <c r="H321">
        <v>1</v>
      </c>
      <c r="I321" t="s">
        <v>15</v>
      </c>
      <c r="J321">
        <v>1</v>
      </c>
      <c r="K321">
        <v>1</v>
      </c>
    </row>
    <row r="322" spans="1:11" x14ac:dyDescent="0.3">
      <c r="A322">
        <v>688</v>
      </c>
      <c r="B322">
        <v>81102.362200000003</v>
      </c>
      <c r="C322" t="s">
        <v>14</v>
      </c>
      <c r="D322">
        <v>0</v>
      </c>
      <c r="E322">
        <v>0</v>
      </c>
      <c r="F322">
        <v>0</v>
      </c>
      <c r="G322">
        <v>0</v>
      </c>
      <c r="H322">
        <v>1</v>
      </c>
      <c r="I322" t="s">
        <v>15</v>
      </c>
      <c r="J322">
        <v>0</v>
      </c>
      <c r="K322">
        <v>1</v>
      </c>
    </row>
    <row r="323" spans="1:11" x14ac:dyDescent="0.3">
      <c r="A323">
        <v>691</v>
      </c>
      <c r="B323">
        <v>115384.6154</v>
      </c>
      <c r="C323" t="s">
        <v>14</v>
      </c>
      <c r="D323">
        <v>0</v>
      </c>
      <c r="E323">
        <v>0</v>
      </c>
      <c r="F323">
        <v>0</v>
      </c>
      <c r="G323">
        <v>0</v>
      </c>
      <c r="H323">
        <v>1</v>
      </c>
      <c r="I323" t="s">
        <v>15</v>
      </c>
      <c r="J323">
        <v>1</v>
      </c>
      <c r="K323">
        <v>1</v>
      </c>
    </row>
    <row r="324" spans="1:11" x14ac:dyDescent="0.3">
      <c r="A324">
        <v>696</v>
      </c>
      <c r="B324">
        <v>55000</v>
      </c>
      <c r="C324" t="s">
        <v>14</v>
      </c>
      <c r="D324">
        <v>0</v>
      </c>
      <c r="E324">
        <v>0</v>
      </c>
      <c r="F324">
        <v>0</v>
      </c>
      <c r="G324">
        <v>0</v>
      </c>
      <c r="H324">
        <v>1</v>
      </c>
      <c r="I324" t="s">
        <v>15</v>
      </c>
      <c r="J324">
        <v>0</v>
      </c>
      <c r="K324">
        <v>1</v>
      </c>
    </row>
    <row r="325" spans="1:11" x14ac:dyDescent="0.3">
      <c r="A325">
        <v>699</v>
      </c>
      <c r="B325">
        <v>41500</v>
      </c>
      <c r="C325" t="s">
        <v>14</v>
      </c>
      <c r="D325">
        <v>0</v>
      </c>
      <c r="E325">
        <v>0</v>
      </c>
      <c r="F325">
        <v>0</v>
      </c>
      <c r="G325">
        <v>0</v>
      </c>
      <c r="H325">
        <v>1</v>
      </c>
      <c r="I325" t="s">
        <v>15</v>
      </c>
      <c r="J325">
        <v>0</v>
      </c>
      <c r="K325">
        <v>1</v>
      </c>
    </row>
    <row r="326" spans="1:11" x14ac:dyDescent="0.3">
      <c r="A326">
        <v>700</v>
      </c>
      <c r="B326">
        <v>40000</v>
      </c>
      <c r="C326" t="s">
        <v>14</v>
      </c>
      <c r="D326">
        <v>0</v>
      </c>
      <c r="E326">
        <v>0</v>
      </c>
      <c r="F326">
        <v>0</v>
      </c>
      <c r="G326">
        <v>0</v>
      </c>
      <c r="H326">
        <v>1</v>
      </c>
      <c r="I326" t="s">
        <v>15</v>
      </c>
      <c r="J326">
        <v>1</v>
      </c>
      <c r="K326">
        <v>1</v>
      </c>
    </row>
    <row r="327" spans="1:11" x14ac:dyDescent="0.3">
      <c r="A327">
        <v>703</v>
      </c>
      <c r="B327">
        <v>150000</v>
      </c>
      <c r="C327" t="s">
        <v>14</v>
      </c>
      <c r="D327">
        <v>0</v>
      </c>
      <c r="E327">
        <v>0</v>
      </c>
      <c r="F327">
        <v>0</v>
      </c>
      <c r="G327">
        <v>0</v>
      </c>
      <c r="H327">
        <v>1</v>
      </c>
      <c r="I327" t="s">
        <v>15</v>
      </c>
      <c r="J327">
        <v>0</v>
      </c>
      <c r="K327">
        <v>1</v>
      </c>
    </row>
    <row r="328" spans="1:11" x14ac:dyDescent="0.3">
      <c r="A328">
        <v>707</v>
      </c>
      <c r="B328">
        <v>145000</v>
      </c>
      <c r="C328" t="s">
        <v>14</v>
      </c>
      <c r="D328">
        <v>0</v>
      </c>
      <c r="E328">
        <v>0</v>
      </c>
      <c r="F328">
        <v>0</v>
      </c>
      <c r="G328">
        <v>0</v>
      </c>
      <c r="H328">
        <v>1</v>
      </c>
      <c r="I328" t="s">
        <v>15</v>
      </c>
      <c r="J328">
        <v>0</v>
      </c>
      <c r="K328">
        <v>1</v>
      </c>
    </row>
    <row r="329" spans="1:11" x14ac:dyDescent="0.3">
      <c r="A329">
        <v>709</v>
      </c>
      <c r="B329">
        <v>75000</v>
      </c>
      <c r="C329" t="s">
        <v>14</v>
      </c>
      <c r="D329">
        <v>0</v>
      </c>
      <c r="E329">
        <v>1</v>
      </c>
      <c r="F329">
        <v>0</v>
      </c>
      <c r="G329">
        <v>0</v>
      </c>
      <c r="H329">
        <v>1</v>
      </c>
      <c r="I329" t="s">
        <v>15</v>
      </c>
      <c r="J329">
        <v>0</v>
      </c>
      <c r="K329">
        <v>1</v>
      </c>
    </row>
    <row r="330" spans="1:11" x14ac:dyDescent="0.3">
      <c r="A330">
        <v>715</v>
      </c>
      <c r="B330">
        <v>90909.090909999999</v>
      </c>
      <c r="C330" t="s">
        <v>14</v>
      </c>
      <c r="D330">
        <v>0</v>
      </c>
      <c r="E330">
        <v>0</v>
      </c>
      <c r="F330">
        <v>0</v>
      </c>
      <c r="G330">
        <v>0</v>
      </c>
      <c r="H330">
        <v>1</v>
      </c>
      <c r="I330" t="s">
        <v>15</v>
      </c>
      <c r="J330">
        <v>1</v>
      </c>
      <c r="K330">
        <v>0</v>
      </c>
    </row>
    <row r="331" spans="1:11" x14ac:dyDescent="0.3">
      <c r="A331">
        <v>719</v>
      </c>
      <c r="B331">
        <v>13043.47826</v>
      </c>
      <c r="C331" t="s">
        <v>14</v>
      </c>
      <c r="D331">
        <v>0</v>
      </c>
      <c r="E331">
        <v>1</v>
      </c>
      <c r="F331">
        <v>0</v>
      </c>
      <c r="G331">
        <v>0</v>
      </c>
      <c r="H331">
        <v>1</v>
      </c>
      <c r="I331" t="s">
        <v>15</v>
      </c>
      <c r="J331">
        <v>1</v>
      </c>
      <c r="K331">
        <v>0</v>
      </c>
    </row>
    <row r="332" spans="1:11" x14ac:dyDescent="0.3">
      <c r="A332">
        <v>731</v>
      </c>
      <c r="B332">
        <v>75000</v>
      </c>
      <c r="C332" t="s">
        <v>14</v>
      </c>
      <c r="D332">
        <v>0</v>
      </c>
      <c r="E332">
        <v>0</v>
      </c>
      <c r="F332">
        <v>0</v>
      </c>
      <c r="G332">
        <v>0</v>
      </c>
      <c r="H332">
        <v>1</v>
      </c>
      <c r="I332" t="s">
        <v>15</v>
      </c>
      <c r="J332">
        <v>1</v>
      </c>
      <c r="K332">
        <v>1</v>
      </c>
    </row>
    <row r="333" spans="1:11" x14ac:dyDescent="0.3">
      <c r="A333">
        <v>733</v>
      </c>
      <c r="B333">
        <v>119047.61900000001</v>
      </c>
      <c r="C333" t="s">
        <v>14</v>
      </c>
      <c r="D333">
        <v>0</v>
      </c>
      <c r="E333">
        <v>0</v>
      </c>
      <c r="F333">
        <v>0</v>
      </c>
      <c r="G333">
        <v>0</v>
      </c>
      <c r="H333">
        <v>1</v>
      </c>
      <c r="I333" t="s">
        <v>15</v>
      </c>
      <c r="J333">
        <v>0</v>
      </c>
      <c r="K333">
        <v>1</v>
      </c>
    </row>
    <row r="334" spans="1:11" x14ac:dyDescent="0.3">
      <c r="A334">
        <v>744</v>
      </c>
      <c r="B334">
        <v>59090.909090000001</v>
      </c>
      <c r="C334" t="s">
        <v>14</v>
      </c>
      <c r="D334">
        <v>0</v>
      </c>
      <c r="E334">
        <v>0</v>
      </c>
      <c r="F334">
        <v>0</v>
      </c>
      <c r="G334">
        <v>0</v>
      </c>
      <c r="H334">
        <v>1</v>
      </c>
      <c r="I334" t="s">
        <v>15</v>
      </c>
      <c r="J334">
        <v>0</v>
      </c>
      <c r="K334">
        <v>1</v>
      </c>
    </row>
    <row r="335" spans="1:11" x14ac:dyDescent="0.3">
      <c r="A335">
        <v>747</v>
      </c>
      <c r="B335">
        <v>86666.666670000006</v>
      </c>
      <c r="C335" t="s">
        <v>14</v>
      </c>
      <c r="D335">
        <v>0</v>
      </c>
      <c r="E335">
        <v>0</v>
      </c>
      <c r="F335">
        <v>0</v>
      </c>
      <c r="G335">
        <v>0</v>
      </c>
      <c r="H335">
        <v>1</v>
      </c>
      <c r="I335" t="s">
        <v>15</v>
      </c>
      <c r="J335">
        <v>0</v>
      </c>
      <c r="K335">
        <v>1</v>
      </c>
    </row>
    <row r="336" spans="1:11" x14ac:dyDescent="0.3">
      <c r="A336">
        <v>753</v>
      </c>
      <c r="B336">
        <v>100000</v>
      </c>
      <c r="C336" t="s">
        <v>14</v>
      </c>
      <c r="D336">
        <v>0</v>
      </c>
      <c r="E336">
        <v>0</v>
      </c>
      <c r="F336">
        <v>0</v>
      </c>
      <c r="G336">
        <v>0</v>
      </c>
      <c r="H336">
        <v>1</v>
      </c>
      <c r="I336" t="s">
        <v>15</v>
      </c>
      <c r="J336">
        <v>1</v>
      </c>
      <c r="K336">
        <v>1</v>
      </c>
    </row>
    <row r="337" spans="1:11" x14ac:dyDescent="0.3">
      <c r="A337">
        <v>754</v>
      </c>
      <c r="B337">
        <v>31250</v>
      </c>
      <c r="C337" t="s">
        <v>14</v>
      </c>
      <c r="D337">
        <v>0</v>
      </c>
      <c r="E337">
        <v>0</v>
      </c>
      <c r="F337">
        <v>0</v>
      </c>
      <c r="G337">
        <v>0</v>
      </c>
      <c r="H337">
        <v>1</v>
      </c>
      <c r="I337" t="s">
        <v>15</v>
      </c>
      <c r="J337">
        <v>1</v>
      </c>
      <c r="K337">
        <v>0</v>
      </c>
    </row>
    <row r="338" spans="1:11" x14ac:dyDescent="0.3">
      <c r="A338">
        <v>756</v>
      </c>
      <c r="B338">
        <v>98800</v>
      </c>
      <c r="C338" t="s">
        <v>12</v>
      </c>
      <c r="D338">
        <v>1</v>
      </c>
      <c r="E338">
        <v>0</v>
      </c>
      <c r="F338">
        <v>0</v>
      </c>
      <c r="G338">
        <v>0</v>
      </c>
      <c r="H338">
        <v>1</v>
      </c>
      <c r="I338" t="s">
        <v>15</v>
      </c>
      <c r="J338">
        <v>1</v>
      </c>
      <c r="K338">
        <v>1</v>
      </c>
    </row>
    <row r="339" spans="1:11" x14ac:dyDescent="0.3">
      <c r="A339">
        <v>757</v>
      </c>
      <c r="B339">
        <v>79454.545450000005</v>
      </c>
      <c r="C339" t="s">
        <v>14</v>
      </c>
      <c r="D339">
        <v>0</v>
      </c>
      <c r="E339">
        <v>0</v>
      </c>
      <c r="F339">
        <v>0</v>
      </c>
      <c r="G339">
        <v>0</v>
      </c>
      <c r="H339">
        <v>1</v>
      </c>
      <c r="I339" t="s">
        <v>15</v>
      </c>
      <c r="J339">
        <v>1</v>
      </c>
      <c r="K339">
        <v>1</v>
      </c>
    </row>
    <row r="340" spans="1:11" x14ac:dyDescent="0.3">
      <c r="A340">
        <v>759</v>
      </c>
      <c r="B340">
        <v>50000</v>
      </c>
      <c r="C340" t="s">
        <v>14</v>
      </c>
      <c r="D340">
        <v>0</v>
      </c>
      <c r="E340">
        <v>0</v>
      </c>
      <c r="F340">
        <v>0</v>
      </c>
      <c r="G340">
        <v>0</v>
      </c>
      <c r="H340">
        <v>1</v>
      </c>
      <c r="I340" t="s">
        <v>15</v>
      </c>
      <c r="J340">
        <v>1</v>
      </c>
      <c r="K340">
        <v>0</v>
      </c>
    </row>
    <row r="341" spans="1:11" x14ac:dyDescent="0.3">
      <c r="A341">
        <v>761</v>
      </c>
      <c r="B341">
        <v>16279.06977</v>
      </c>
      <c r="C341" t="s">
        <v>14</v>
      </c>
      <c r="D341">
        <v>0</v>
      </c>
      <c r="E341">
        <v>0</v>
      </c>
      <c r="F341">
        <v>0</v>
      </c>
      <c r="G341">
        <v>0</v>
      </c>
      <c r="H341">
        <v>1</v>
      </c>
      <c r="I341" t="s">
        <v>15</v>
      </c>
      <c r="J341">
        <v>1</v>
      </c>
      <c r="K341">
        <v>0</v>
      </c>
    </row>
    <row r="342" spans="1:11" x14ac:dyDescent="0.3">
      <c r="A342">
        <v>762</v>
      </c>
      <c r="B342">
        <v>83333.333329999994</v>
      </c>
      <c r="C342" t="s">
        <v>14</v>
      </c>
      <c r="D342">
        <v>0</v>
      </c>
      <c r="E342">
        <v>0</v>
      </c>
      <c r="F342">
        <v>0</v>
      </c>
      <c r="G342">
        <v>0</v>
      </c>
      <c r="H342">
        <v>1</v>
      </c>
      <c r="I342" t="s">
        <v>15</v>
      </c>
      <c r="J342">
        <v>1</v>
      </c>
      <c r="K342">
        <v>0</v>
      </c>
    </row>
    <row r="343" spans="1:11" x14ac:dyDescent="0.3">
      <c r="A343">
        <v>764</v>
      </c>
      <c r="B343">
        <v>99200</v>
      </c>
      <c r="C343" t="s">
        <v>14</v>
      </c>
      <c r="D343">
        <v>0</v>
      </c>
      <c r="E343">
        <v>0</v>
      </c>
      <c r="F343">
        <v>0</v>
      </c>
      <c r="G343">
        <v>0</v>
      </c>
      <c r="H343">
        <v>1</v>
      </c>
      <c r="I343" t="s">
        <v>15</v>
      </c>
      <c r="J343">
        <v>0</v>
      </c>
      <c r="K343">
        <v>1</v>
      </c>
    </row>
    <row r="344" spans="1:11" x14ac:dyDescent="0.3">
      <c r="A344">
        <v>766</v>
      </c>
      <c r="B344">
        <v>23529.411759999999</v>
      </c>
      <c r="C344" t="s">
        <v>12</v>
      </c>
      <c r="D344">
        <v>1</v>
      </c>
      <c r="E344">
        <v>0</v>
      </c>
      <c r="F344">
        <v>0</v>
      </c>
      <c r="G344">
        <v>0</v>
      </c>
      <c r="H344">
        <v>1</v>
      </c>
      <c r="I344" t="s">
        <v>15</v>
      </c>
      <c r="J344">
        <v>0</v>
      </c>
      <c r="K344">
        <v>1</v>
      </c>
    </row>
    <row r="345" spans="1:11" x14ac:dyDescent="0.3">
      <c r="A345">
        <v>768</v>
      </c>
      <c r="B345">
        <v>50000</v>
      </c>
      <c r="C345" t="s">
        <v>14</v>
      </c>
      <c r="D345">
        <v>0</v>
      </c>
      <c r="E345">
        <v>0</v>
      </c>
      <c r="F345">
        <v>0</v>
      </c>
      <c r="G345">
        <v>0</v>
      </c>
      <c r="H345">
        <v>1</v>
      </c>
      <c r="I345" t="s">
        <v>15</v>
      </c>
      <c r="J345">
        <v>1</v>
      </c>
      <c r="K345">
        <v>0</v>
      </c>
    </row>
    <row r="346" spans="1:11" x14ac:dyDescent="0.3">
      <c r="A346">
        <v>771</v>
      </c>
      <c r="B346">
        <v>10000</v>
      </c>
      <c r="C346" t="s">
        <v>14</v>
      </c>
      <c r="D346">
        <v>0</v>
      </c>
      <c r="E346">
        <v>0</v>
      </c>
      <c r="F346">
        <v>0</v>
      </c>
      <c r="G346">
        <v>0</v>
      </c>
      <c r="H346">
        <v>1</v>
      </c>
      <c r="I346" t="s">
        <v>15</v>
      </c>
      <c r="J346">
        <v>1</v>
      </c>
      <c r="K346">
        <v>1</v>
      </c>
    </row>
    <row r="347" spans="1:11" x14ac:dyDescent="0.3">
      <c r="A347">
        <v>772</v>
      </c>
      <c r="B347">
        <v>4347.8260870000004</v>
      </c>
      <c r="C347" t="s">
        <v>14</v>
      </c>
      <c r="D347">
        <v>0</v>
      </c>
      <c r="E347">
        <v>0</v>
      </c>
      <c r="F347">
        <v>0</v>
      </c>
      <c r="G347">
        <v>0</v>
      </c>
      <c r="H347">
        <v>1</v>
      </c>
      <c r="I347" t="s">
        <v>15</v>
      </c>
      <c r="J347">
        <v>1</v>
      </c>
      <c r="K347">
        <v>1</v>
      </c>
    </row>
    <row r="348" spans="1:11" x14ac:dyDescent="0.3">
      <c r="A348">
        <v>773</v>
      </c>
      <c r="B348">
        <v>50000</v>
      </c>
      <c r="C348" t="s">
        <v>14</v>
      </c>
      <c r="D348">
        <v>0</v>
      </c>
      <c r="E348">
        <v>0</v>
      </c>
      <c r="F348">
        <v>0</v>
      </c>
      <c r="G348">
        <v>0</v>
      </c>
      <c r="H348">
        <v>1</v>
      </c>
      <c r="I348" t="s">
        <v>15</v>
      </c>
      <c r="J348">
        <v>1</v>
      </c>
      <c r="K348">
        <v>0</v>
      </c>
    </row>
    <row r="349" spans="1:11" x14ac:dyDescent="0.3">
      <c r="A349">
        <v>774</v>
      </c>
      <c r="B349">
        <v>87500</v>
      </c>
      <c r="C349" t="s">
        <v>14</v>
      </c>
      <c r="D349">
        <v>0</v>
      </c>
      <c r="E349">
        <v>0</v>
      </c>
      <c r="F349">
        <v>0</v>
      </c>
      <c r="G349">
        <v>0</v>
      </c>
      <c r="H349">
        <v>1</v>
      </c>
      <c r="I349" t="s">
        <v>15</v>
      </c>
      <c r="J349">
        <v>1</v>
      </c>
      <c r="K349">
        <v>0</v>
      </c>
    </row>
    <row r="350" spans="1:11" x14ac:dyDescent="0.3">
      <c r="A350">
        <v>775</v>
      </c>
      <c r="B350">
        <v>68181.818180000002</v>
      </c>
      <c r="C350" t="s">
        <v>14</v>
      </c>
      <c r="D350">
        <v>0</v>
      </c>
      <c r="E350">
        <v>0</v>
      </c>
      <c r="F350">
        <v>0</v>
      </c>
      <c r="G350">
        <v>0</v>
      </c>
      <c r="H350">
        <v>1</v>
      </c>
      <c r="I350" t="s">
        <v>15</v>
      </c>
      <c r="J350">
        <v>1</v>
      </c>
      <c r="K350">
        <v>1</v>
      </c>
    </row>
    <row r="351" spans="1:11" x14ac:dyDescent="0.3">
      <c r="A351">
        <v>776</v>
      </c>
      <c r="B351">
        <v>19047.619050000001</v>
      </c>
      <c r="C351" t="s">
        <v>14</v>
      </c>
      <c r="D351">
        <v>0</v>
      </c>
      <c r="E351">
        <v>0</v>
      </c>
      <c r="F351">
        <v>0</v>
      </c>
      <c r="G351">
        <v>0</v>
      </c>
      <c r="H351">
        <v>1</v>
      </c>
      <c r="I351" t="s">
        <v>15</v>
      </c>
      <c r="J351">
        <v>1</v>
      </c>
      <c r="K351">
        <v>1</v>
      </c>
    </row>
    <row r="352" spans="1:11" x14ac:dyDescent="0.3">
      <c r="A352">
        <v>779</v>
      </c>
      <c r="B352">
        <v>104545.45450000001</v>
      </c>
      <c r="C352" t="s">
        <v>14</v>
      </c>
      <c r="D352">
        <v>0</v>
      </c>
      <c r="E352">
        <v>0</v>
      </c>
      <c r="F352">
        <v>0</v>
      </c>
      <c r="G352">
        <v>0</v>
      </c>
      <c r="H352">
        <v>1</v>
      </c>
      <c r="I352" t="s">
        <v>15</v>
      </c>
      <c r="J352">
        <v>0</v>
      </c>
      <c r="K352">
        <v>0</v>
      </c>
    </row>
    <row r="353" spans="1:11" x14ac:dyDescent="0.3">
      <c r="A353">
        <v>782</v>
      </c>
      <c r="B353">
        <v>50000</v>
      </c>
      <c r="C353" t="s">
        <v>14</v>
      </c>
      <c r="D353">
        <v>0</v>
      </c>
      <c r="E353">
        <v>0</v>
      </c>
      <c r="F353">
        <v>0</v>
      </c>
      <c r="G353">
        <v>0</v>
      </c>
      <c r="H353">
        <v>1</v>
      </c>
      <c r="I353" t="s">
        <v>15</v>
      </c>
      <c r="J353">
        <v>1</v>
      </c>
      <c r="K353">
        <v>0</v>
      </c>
    </row>
    <row r="354" spans="1:11" x14ac:dyDescent="0.3">
      <c r="A354">
        <v>792</v>
      </c>
      <c r="B354">
        <v>23255.81395</v>
      </c>
      <c r="C354" t="s">
        <v>14</v>
      </c>
      <c r="D354">
        <v>0</v>
      </c>
      <c r="E354">
        <v>0</v>
      </c>
      <c r="F354">
        <v>0</v>
      </c>
      <c r="G354">
        <v>1</v>
      </c>
      <c r="H354">
        <v>0</v>
      </c>
      <c r="I354" t="s">
        <v>15</v>
      </c>
      <c r="J354">
        <v>1</v>
      </c>
      <c r="K354">
        <v>1</v>
      </c>
    </row>
    <row r="355" spans="1:11" x14ac:dyDescent="0.3">
      <c r="A355">
        <v>793</v>
      </c>
      <c r="B355">
        <v>20930.23256</v>
      </c>
      <c r="C355" t="s">
        <v>14</v>
      </c>
      <c r="D355">
        <v>0</v>
      </c>
      <c r="E355">
        <v>0</v>
      </c>
      <c r="F355">
        <v>0</v>
      </c>
      <c r="G355">
        <v>0</v>
      </c>
      <c r="H355">
        <v>1</v>
      </c>
      <c r="I355" t="s">
        <v>15</v>
      </c>
      <c r="J355">
        <v>1</v>
      </c>
      <c r="K355">
        <v>1</v>
      </c>
    </row>
    <row r="356" spans="1:11" x14ac:dyDescent="0.3">
      <c r="A356">
        <v>797</v>
      </c>
      <c r="B356">
        <v>30303.030299999999</v>
      </c>
      <c r="C356" t="s">
        <v>14</v>
      </c>
      <c r="D356">
        <v>0</v>
      </c>
      <c r="E356">
        <v>0</v>
      </c>
      <c r="F356">
        <v>0</v>
      </c>
      <c r="G356">
        <v>0</v>
      </c>
      <c r="H356">
        <v>1</v>
      </c>
      <c r="I356" t="s">
        <v>15</v>
      </c>
      <c r="J356">
        <v>0</v>
      </c>
      <c r="K356">
        <v>1</v>
      </c>
    </row>
    <row r="357" spans="1:11" x14ac:dyDescent="0.3">
      <c r="A357">
        <v>798</v>
      </c>
      <c r="B357">
        <v>42173.913039999999</v>
      </c>
      <c r="C357" t="s">
        <v>14</v>
      </c>
      <c r="D357">
        <v>0</v>
      </c>
      <c r="E357">
        <v>1</v>
      </c>
      <c r="F357">
        <v>0</v>
      </c>
      <c r="G357">
        <v>0</v>
      </c>
      <c r="H357">
        <v>1</v>
      </c>
      <c r="I357" t="s">
        <v>15</v>
      </c>
      <c r="J357">
        <v>0</v>
      </c>
      <c r="K357">
        <v>1</v>
      </c>
    </row>
    <row r="358" spans="1:11" x14ac:dyDescent="0.3">
      <c r="A358">
        <v>800</v>
      </c>
      <c r="B358">
        <v>24193.54839</v>
      </c>
      <c r="C358" t="s">
        <v>14</v>
      </c>
      <c r="D358">
        <v>0</v>
      </c>
      <c r="E358">
        <v>0</v>
      </c>
      <c r="F358">
        <v>0</v>
      </c>
      <c r="G358">
        <v>0</v>
      </c>
      <c r="H358">
        <v>1</v>
      </c>
      <c r="I358" t="s">
        <v>15</v>
      </c>
      <c r="J358">
        <v>1</v>
      </c>
      <c r="K358">
        <v>1</v>
      </c>
    </row>
    <row r="359" spans="1:11" x14ac:dyDescent="0.3">
      <c r="A359">
        <v>4126</v>
      </c>
      <c r="B359">
        <v>13952.380950000001</v>
      </c>
      <c r="C359" t="s">
        <v>14</v>
      </c>
      <c r="D359">
        <v>0</v>
      </c>
      <c r="E359">
        <v>0</v>
      </c>
      <c r="F359">
        <v>0</v>
      </c>
      <c r="G359">
        <v>1</v>
      </c>
      <c r="H359">
        <v>0</v>
      </c>
      <c r="I359" t="s">
        <v>17</v>
      </c>
      <c r="J359">
        <v>1</v>
      </c>
      <c r="K359">
        <v>0</v>
      </c>
    </row>
    <row r="360" spans="1:11" x14ac:dyDescent="0.3">
      <c r="A360">
        <v>802</v>
      </c>
      <c r="B360">
        <v>5714.2857139999996</v>
      </c>
      <c r="C360" t="s">
        <v>14</v>
      </c>
      <c r="D360">
        <v>0</v>
      </c>
      <c r="E360">
        <v>0</v>
      </c>
      <c r="F360">
        <v>0</v>
      </c>
      <c r="G360">
        <v>0</v>
      </c>
      <c r="H360">
        <v>1</v>
      </c>
      <c r="I360" t="s">
        <v>15</v>
      </c>
      <c r="J360">
        <v>1</v>
      </c>
      <c r="K360">
        <v>1</v>
      </c>
    </row>
    <row r="361" spans="1:11" x14ac:dyDescent="0.3">
      <c r="A361">
        <v>805</v>
      </c>
      <c r="B361">
        <v>30232.558140000001</v>
      </c>
      <c r="C361" t="s">
        <v>14</v>
      </c>
      <c r="D361">
        <v>0</v>
      </c>
      <c r="E361">
        <v>0</v>
      </c>
      <c r="F361">
        <v>0</v>
      </c>
      <c r="G361">
        <v>0</v>
      </c>
      <c r="H361">
        <v>1</v>
      </c>
      <c r="I361" t="s">
        <v>15</v>
      </c>
      <c r="J361">
        <v>1</v>
      </c>
      <c r="K361">
        <v>0</v>
      </c>
    </row>
    <row r="362" spans="1:11" x14ac:dyDescent="0.3">
      <c r="A362">
        <v>808</v>
      </c>
      <c r="B362">
        <v>61674.008809999999</v>
      </c>
      <c r="C362" t="s">
        <v>14</v>
      </c>
      <c r="D362">
        <v>0</v>
      </c>
      <c r="E362">
        <v>0</v>
      </c>
      <c r="F362">
        <v>0</v>
      </c>
      <c r="G362">
        <v>0</v>
      </c>
      <c r="H362">
        <v>1</v>
      </c>
      <c r="I362" t="s">
        <v>15</v>
      </c>
      <c r="J362">
        <v>1</v>
      </c>
      <c r="K362">
        <v>1</v>
      </c>
    </row>
    <row r="363" spans="1:11" x14ac:dyDescent="0.3">
      <c r="A363">
        <v>812</v>
      </c>
      <c r="B363">
        <v>147058.8235</v>
      </c>
      <c r="C363" t="s">
        <v>14</v>
      </c>
      <c r="D363">
        <v>0</v>
      </c>
      <c r="E363">
        <v>0</v>
      </c>
      <c r="F363">
        <v>0</v>
      </c>
      <c r="G363">
        <v>0</v>
      </c>
      <c r="H363">
        <v>1</v>
      </c>
      <c r="I363" t="s">
        <v>15</v>
      </c>
      <c r="J363">
        <v>1</v>
      </c>
      <c r="K363">
        <v>1</v>
      </c>
    </row>
    <row r="364" spans="1:11" x14ac:dyDescent="0.3">
      <c r="A364">
        <v>814</v>
      </c>
      <c r="B364">
        <v>62500</v>
      </c>
      <c r="C364" t="s">
        <v>14</v>
      </c>
      <c r="D364">
        <v>0</v>
      </c>
      <c r="E364">
        <v>0</v>
      </c>
      <c r="F364">
        <v>0</v>
      </c>
      <c r="G364">
        <v>0</v>
      </c>
      <c r="H364">
        <v>1</v>
      </c>
      <c r="I364" t="s">
        <v>15</v>
      </c>
      <c r="J364">
        <v>1</v>
      </c>
      <c r="K364">
        <v>1</v>
      </c>
    </row>
    <row r="365" spans="1:11" x14ac:dyDescent="0.3">
      <c r="A365">
        <v>815</v>
      </c>
      <c r="B365">
        <v>45454.545449999998</v>
      </c>
      <c r="C365" t="s">
        <v>14</v>
      </c>
      <c r="D365">
        <v>0</v>
      </c>
      <c r="E365">
        <v>0</v>
      </c>
      <c r="F365">
        <v>0</v>
      </c>
      <c r="G365">
        <v>0</v>
      </c>
      <c r="H365">
        <v>1</v>
      </c>
      <c r="I365" t="s">
        <v>15</v>
      </c>
      <c r="J365">
        <v>0</v>
      </c>
      <c r="K365">
        <v>1</v>
      </c>
    </row>
    <row r="366" spans="1:11" x14ac:dyDescent="0.3">
      <c r="A366">
        <v>816</v>
      </c>
      <c r="B366">
        <v>45454.545449999998</v>
      </c>
      <c r="C366" t="s">
        <v>14</v>
      </c>
      <c r="D366">
        <v>0</v>
      </c>
      <c r="E366">
        <v>0</v>
      </c>
      <c r="F366">
        <v>0</v>
      </c>
      <c r="G366">
        <v>0</v>
      </c>
      <c r="H366">
        <v>1</v>
      </c>
      <c r="I366" t="s">
        <v>15</v>
      </c>
      <c r="J366">
        <v>1</v>
      </c>
      <c r="K366">
        <v>1</v>
      </c>
    </row>
    <row r="367" spans="1:11" x14ac:dyDescent="0.3">
      <c r="A367">
        <v>817</v>
      </c>
      <c r="B367">
        <v>38461.538460000003</v>
      </c>
      <c r="C367" t="s">
        <v>14</v>
      </c>
      <c r="D367">
        <v>0</v>
      </c>
      <c r="E367">
        <v>0</v>
      </c>
      <c r="F367">
        <v>0</v>
      </c>
      <c r="G367">
        <v>0</v>
      </c>
      <c r="H367">
        <v>1</v>
      </c>
      <c r="I367" t="s">
        <v>15</v>
      </c>
      <c r="J367">
        <v>1</v>
      </c>
      <c r="K367">
        <v>0</v>
      </c>
    </row>
    <row r="368" spans="1:11" x14ac:dyDescent="0.3">
      <c r="A368">
        <v>820</v>
      </c>
      <c r="B368">
        <v>35652.173909999998</v>
      </c>
      <c r="C368" t="s">
        <v>14</v>
      </c>
      <c r="D368">
        <v>0</v>
      </c>
      <c r="E368">
        <v>0</v>
      </c>
      <c r="F368">
        <v>0</v>
      </c>
      <c r="G368">
        <v>0</v>
      </c>
      <c r="H368">
        <v>1</v>
      </c>
      <c r="I368" t="s">
        <v>15</v>
      </c>
      <c r="J368">
        <v>1</v>
      </c>
      <c r="K368">
        <v>1</v>
      </c>
    </row>
    <row r="369" spans="1:11" x14ac:dyDescent="0.3">
      <c r="A369">
        <v>823</v>
      </c>
      <c r="B369">
        <v>75000</v>
      </c>
      <c r="C369" t="s">
        <v>14</v>
      </c>
      <c r="D369">
        <v>0</v>
      </c>
      <c r="E369">
        <v>0</v>
      </c>
      <c r="F369">
        <v>0</v>
      </c>
      <c r="G369">
        <v>0</v>
      </c>
      <c r="H369">
        <v>1</v>
      </c>
      <c r="I369" t="s">
        <v>15</v>
      </c>
      <c r="J369">
        <v>1</v>
      </c>
      <c r="K369">
        <v>0</v>
      </c>
    </row>
    <row r="370" spans="1:11" x14ac:dyDescent="0.3">
      <c r="A370">
        <v>824</v>
      </c>
      <c r="B370">
        <v>-15000</v>
      </c>
      <c r="C370" t="s">
        <v>14</v>
      </c>
      <c r="D370">
        <v>0</v>
      </c>
      <c r="E370">
        <v>0</v>
      </c>
      <c r="F370">
        <v>0</v>
      </c>
      <c r="G370">
        <v>0</v>
      </c>
      <c r="H370">
        <v>1</v>
      </c>
      <c r="I370" t="s">
        <v>15</v>
      </c>
      <c r="J370">
        <v>1</v>
      </c>
      <c r="K370">
        <v>0</v>
      </c>
    </row>
    <row r="371" spans="1:11" x14ac:dyDescent="0.3">
      <c r="A371">
        <v>826</v>
      </c>
      <c r="B371">
        <v>79166.666670000006</v>
      </c>
      <c r="C371" t="s">
        <v>14</v>
      </c>
      <c r="D371">
        <v>0</v>
      </c>
      <c r="E371">
        <v>0</v>
      </c>
      <c r="F371">
        <v>0</v>
      </c>
      <c r="G371">
        <v>0</v>
      </c>
      <c r="H371">
        <v>1</v>
      </c>
      <c r="I371" t="s">
        <v>15</v>
      </c>
      <c r="J371">
        <v>1</v>
      </c>
      <c r="K371">
        <v>1</v>
      </c>
    </row>
    <row r="372" spans="1:11" x14ac:dyDescent="0.3">
      <c r="A372">
        <v>829</v>
      </c>
      <c r="B372">
        <v>54266.666669999999</v>
      </c>
      <c r="C372" t="s">
        <v>14</v>
      </c>
      <c r="D372">
        <v>0</v>
      </c>
      <c r="E372">
        <v>0</v>
      </c>
      <c r="F372">
        <v>0</v>
      </c>
      <c r="G372">
        <v>0</v>
      </c>
      <c r="H372">
        <v>1</v>
      </c>
      <c r="I372" t="s">
        <v>15</v>
      </c>
      <c r="J372">
        <v>1</v>
      </c>
      <c r="K372">
        <v>1</v>
      </c>
    </row>
    <row r="373" spans="1:11" x14ac:dyDescent="0.3">
      <c r="A373">
        <v>831</v>
      </c>
      <c r="B373">
        <v>35000</v>
      </c>
      <c r="C373" t="s">
        <v>14</v>
      </c>
      <c r="D373">
        <v>0</v>
      </c>
      <c r="E373">
        <v>0</v>
      </c>
      <c r="F373">
        <v>0</v>
      </c>
      <c r="G373">
        <v>0</v>
      </c>
      <c r="H373">
        <v>1</v>
      </c>
      <c r="I373" t="s">
        <v>15</v>
      </c>
      <c r="J373">
        <v>0</v>
      </c>
      <c r="K373">
        <v>0</v>
      </c>
    </row>
    <row r="374" spans="1:11" x14ac:dyDescent="0.3">
      <c r="A374">
        <v>832</v>
      </c>
      <c r="B374">
        <v>50000</v>
      </c>
      <c r="C374" t="s">
        <v>14</v>
      </c>
      <c r="D374">
        <v>0</v>
      </c>
      <c r="E374">
        <v>0</v>
      </c>
      <c r="F374">
        <v>0</v>
      </c>
      <c r="G374">
        <v>0</v>
      </c>
      <c r="H374">
        <v>1</v>
      </c>
      <c r="I374" t="s">
        <v>15</v>
      </c>
      <c r="J374">
        <v>1</v>
      </c>
      <c r="K374">
        <v>0</v>
      </c>
    </row>
    <row r="375" spans="1:11" x14ac:dyDescent="0.3">
      <c r="A375">
        <v>833</v>
      </c>
      <c r="B375">
        <v>5000</v>
      </c>
      <c r="C375" t="s">
        <v>14</v>
      </c>
      <c r="D375">
        <v>0</v>
      </c>
      <c r="E375">
        <v>0</v>
      </c>
      <c r="F375">
        <v>0</v>
      </c>
      <c r="G375">
        <v>0</v>
      </c>
      <c r="H375">
        <v>1</v>
      </c>
      <c r="I375" t="s">
        <v>15</v>
      </c>
      <c r="J375">
        <v>1</v>
      </c>
      <c r="K375">
        <v>1</v>
      </c>
    </row>
    <row r="376" spans="1:11" x14ac:dyDescent="0.3">
      <c r="A376">
        <v>834</v>
      </c>
      <c r="B376">
        <v>38461.538460000003</v>
      </c>
      <c r="C376" t="s">
        <v>14</v>
      </c>
      <c r="D376">
        <v>0</v>
      </c>
      <c r="E376">
        <v>0</v>
      </c>
      <c r="F376">
        <v>0</v>
      </c>
      <c r="G376">
        <v>0</v>
      </c>
      <c r="H376">
        <v>1</v>
      </c>
      <c r="I376" t="s">
        <v>15</v>
      </c>
      <c r="J376">
        <v>1</v>
      </c>
      <c r="K376">
        <v>1</v>
      </c>
    </row>
    <row r="377" spans="1:11" x14ac:dyDescent="0.3">
      <c r="A377">
        <v>836</v>
      </c>
      <c r="B377">
        <v>50000</v>
      </c>
      <c r="C377" t="s">
        <v>14</v>
      </c>
      <c r="D377">
        <v>0</v>
      </c>
      <c r="E377">
        <v>0</v>
      </c>
      <c r="F377">
        <v>0</v>
      </c>
      <c r="G377">
        <v>0</v>
      </c>
      <c r="H377">
        <v>1</v>
      </c>
      <c r="I377" t="s">
        <v>15</v>
      </c>
      <c r="J377">
        <v>1</v>
      </c>
      <c r="K377">
        <v>1</v>
      </c>
    </row>
    <row r="378" spans="1:11" x14ac:dyDescent="0.3">
      <c r="A378">
        <v>839</v>
      </c>
      <c r="B378">
        <v>25000</v>
      </c>
      <c r="C378" t="s">
        <v>14</v>
      </c>
      <c r="D378">
        <v>0</v>
      </c>
      <c r="E378">
        <v>1</v>
      </c>
      <c r="F378">
        <v>0</v>
      </c>
      <c r="G378">
        <v>0</v>
      </c>
      <c r="H378">
        <v>1</v>
      </c>
      <c r="I378" t="s">
        <v>15</v>
      </c>
      <c r="J378">
        <v>1</v>
      </c>
      <c r="K378">
        <v>0</v>
      </c>
    </row>
    <row r="379" spans="1:11" x14ac:dyDescent="0.3">
      <c r="A379">
        <v>840</v>
      </c>
      <c r="B379">
        <v>45454.545449999998</v>
      </c>
      <c r="C379" t="s">
        <v>14</v>
      </c>
      <c r="D379">
        <v>0</v>
      </c>
      <c r="E379">
        <v>1</v>
      </c>
      <c r="F379">
        <v>0</v>
      </c>
      <c r="G379">
        <v>0</v>
      </c>
      <c r="H379">
        <v>1</v>
      </c>
      <c r="I379" t="s">
        <v>15</v>
      </c>
      <c r="J379">
        <v>1</v>
      </c>
      <c r="K379">
        <v>0</v>
      </c>
    </row>
    <row r="380" spans="1:11" x14ac:dyDescent="0.3">
      <c r="A380">
        <v>843</v>
      </c>
      <c r="B380">
        <v>25000</v>
      </c>
      <c r="C380" t="s">
        <v>14</v>
      </c>
      <c r="D380">
        <v>0</v>
      </c>
      <c r="E380">
        <v>0</v>
      </c>
      <c r="F380">
        <v>0</v>
      </c>
      <c r="G380">
        <v>0</v>
      </c>
      <c r="H380">
        <v>1</v>
      </c>
      <c r="I380" t="s">
        <v>15</v>
      </c>
      <c r="J380">
        <v>1</v>
      </c>
      <c r="K380">
        <v>0</v>
      </c>
    </row>
    <row r="381" spans="1:11" x14ac:dyDescent="0.3">
      <c r="A381">
        <v>844</v>
      </c>
      <c r="B381">
        <v>35000</v>
      </c>
      <c r="C381" t="s">
        <v>14</v>
      </c>
      <c r="D381">
        <v>0</v>
      </c>
      <c r="E381">
        <v>0</v>
      </c>
      <c r="F381">
        <v>0</v>
      </c>
      <c r="G381">
        <v>0</v>
      </c>
      <c r="H381">
        <v>1</v>
      </c>
      <c r="I381" t="s">
        <v>15</v>
      </c>
      <c r="J381">
        <v>0</v>
      </c>
      <c r="K381">
        <v>0</v>
      </c>
    </row>
    <row r="382" spans="1:11" x14ac:dyDescent="0.3">
      <c r="A382">
        <v>845</v>
      </c>
      <c r="B382">
        <v>10000</v>
      </c>
      <c r="C382" t="s">
        <v>14</v>
      </c>
      <c r="D382">
        <v>0</v>
      </c>
      <c r="E382">
        <v>0</v>
      </c>
      <c r="F382">
        <v>0</v>
      </c>
      <c r="G382">
        <v>0</v>
      </c>
      <c r="H382">
        <v>1</v>
      </c>
      <c r="I382" t="s">
        <v>15</v>
      </c>
      <c r="J382">
        <v>1</v>
      </c>
      <c r="K382">
        <v>0</v>
      </c>
    </row>
    <row r="383" spans="1:11" x14ac:dyDescent="0.3">
      <c r="A383">
        <v>846</v>
      </c>
      <c r="B383">
        <v>10000</v>
      </c>
      <c r="C383" t="s">
        <v>14</v>
      </c>
      <c r="D383">
        <v>0</v>
      </c>
      <c r="E383">
        <v>0</v>
      </c>
      <c r="F383">
        <v>0</v>
      </c>
      <c r="G383">
        <v>0</v>
      </c>
      <c r="H383">
        <v>1</v>
      </c>
      <c r="I383" t="s">
        <v>15</v>
      </c>
      <c r="J383">
        <v>1</v>
      </c>
      <c r="K383">
        <v>0</v>
      </c>
    </row>
    <row r="384" spans="1:11" x14ac:dyDescent="0.3">
      <c r="A384">
        <v>848</v>
      </c>
      <c r="B384">
        <v>83333.333329999994</v>
      </c>
      <c r="C384" t="s">
        <v>14</v>
      </c>
      <c r="D384">
        <v>0</v>
      </c>
      <c r="E384">
        <v>0</v>
      </c>
      <c r="F384">
        <v>0</v>
      </c>
      <c r="G384">
        <v>0</v>
      </c>
      <c r="H384">
        <v>1</v>
      </c>
      <c r="I384" t="s">
        <v>15</v>
      </c>
      <c r="J384">
        <v>1</v>
      </c>
      <c r="K384">
        <v>0</v>
      </c>
    </row>
    <row r="385" spans="1:11" x14ac:dyDescent="0.3">
      <c r="A385">
        <v>849</v>
      </c>
      <c r="B385">
        <v>1250</v>
      </c>
      <c r="C385" t="s">
        <v>14</v>
      </c>
      <c r="D385">
        <v>0</v>
      </c>
      <c r="E385">
        <v>1</v>
      </c>
      <c r="F385">
        <v>0</v>
      </c>
      <c r="G385">
        <v>0</v>
      </c>
      <c r="H385">
        <v>1</v>
      </c>
      <c r="I385" t="s">
        <v>15</v>
      </c>
      <c r="J385">
        <v>1</v>
      </c>
      <c r="K385">
        <v>1</v>
      </c>
    </row>
    <row r="386" spans="1:11" x14ac:dyDescent="0.3">
      <c r="A386">
        <v>4125</v>
      </c>
      <c r="B386">
        <v>21428.57143</v>
      </c>
      <c r="C386" t="s">
        <v>14</v>
      </c>
      <c r="D386">
        <v>0</v>
      </c>
      <c r="E386">
        <v>1</v>
      </c>
      <c r="F386">
        <v>0</v>
      </c>
      <c r="G386">
        <v>1</v>
      </c>
      <c r="H386">
        <v>0</v>
      </c>
      <c r="I386" t="s">
        <v>17</v>
      </c>
      <c r="J386">
        <v>1</v>
      </c>
      <c r="K386">
        <v>0</v>
      </c>
    </row>
    <row r="387" spans="1:11" x14ac:dyDescent="0.3">
      <c r="A387">
        <v>851</v>
      </c>
      <c r="B387">
        <v>14285.71429</v>
      </c>
      <c r="C387" t="s">
        <v>14</v>
      </c>
      <c r="D387">
        <v>0</v>
      </c>
      <c r="E387">
        <v>0</v>
      </c>
      <c r="F387">
        <v>0</v>
      </c>
      <c r="G387">
        <v>0</v>
      </c>
      <c r="H387">
        <v>1</v>
      </c>
      <c r="I387" t="s">
        <v>15</v>
      </c>
      <c r="J387">
        <v>1</v>
      </c>
      <c r="K387">
        <v>1</v>
      </c>
    </row>
    <row r="388" spans="1:11" x14ac:dyDescent="0.3">
      <c r="A388">
        <v>855</v>
      </c>
      <c r="B388">
        <v>3809.5238100000001</v>
      </c>
      <c r="C388" t="s">
        <v>14</v>
      </c>
      <c r="D388">
        <v>0</v>
      </c>
      <c r="E388">
        <v>0</v>
      </c>
      <c r="F388">
        <v>0</v>
      </c>
      <c r="G388">
        <v>0</v>
      </c>
      <c r="H388">
        <v>1</v>
      </c>
      <c r="I388" t="s">
        <v>15</v>
      </c>
      <c r="J388">
        <v>0</v>
      </c>
      <c r="K388">
        <v>1</v>
      </c>
    </row>
    <row r="389" spans="1:11" x14ac:dyDescent="0.3">
      <c r="A389">
        <v>856</v>
      </c>
      <c r="B389">
        <v>25000</v>
      </c>
      <c r="C389" t="s">
        <v>14</v>
      </c>
      <c r="D389">
        <v>0</v>
      </c>
      <c r="E389">
        <v>1</v>
      </c>
      <c r="F389">
        <v>0</v>
      </c>
      <c r="G389">
        <v>0</v>
      </c>
      <c r="H389">
        <v>1</v>
      </c>
      <c r="I389" t="s">
        <v>15</v>
      </c>
      <c r="J389">
        <v>1</v>
      </c>
      <c r="K389">
        <v>0</v>
      </c>
    </row>
    <row r="390" spans="1:11" x14ac:dyDescent="0.3">
      <c r="A390">
        <v>859</v>
      </c>
      <c r="B390">
        <v>40322.580650000004</v>
      </c>
      <c r="C390" t="s">
        <v>14</v>
      </c>
      <c r="D390">
        <v>0</v>
      </c>
      <c r="E390">
        <v>0</v>
      </c>
      <c r="F390">
        <v>0</v>
      </c>
      <c r="G390">
        <v>0</v>
      </c>
      <c r="H390">
        <v>1</v>
      </c>
      <c r="I390" t="s">
        <v>15</v>
      </c>
      <c r="J390">
        <v>0</v>
      </c>
      <c r="K390">
        <v>1</v>
      </c>
    </row>
    <row r="391" spans="1:11" x14ac:dyDescent="0.3">
      <c r="A391">
        <v>861</v>
      </c>
      <c r="B391">
        <v>55299.539169999996</v>
      </c>
      <c r="C391" t="s">
        <v>14</v>
      </c>
      <c r="D391">
        <v>0</v>
      </c>
      <c r="E391">
        <v>1</v>
      </c>
      <c r="F391">
        <v>0</v>
      </c>
      <c r="G391">
        <v>0</v>
      </c>
      <c r="H391">
        <v>1</v>
      </c>
      <c r="I391" t="s">
        <v>15</v>
      </c>
      <c r="J391">
        <v>1</v>
      </c>
      <c r="K391">
        <v>1</v>
      </c>
    </row>
    <row r="392" spans="1:11" x14ac:dyDescent="0.3">
      <c r="A392">
        <v>862</v>
      </c>
      <c r="B392">
        <v>37500</v>
      </c>
      <c r="C392" t="s">
        <v>14</v>
      </c>
      <c r="D392">
        <v>0</v>
      </c>
      <c r="E392">
        <v>0</v>
      </c>
      <c r="F392">
        <v>0</v>
      </c>
      <c r="G392">
        <v>0</v>
      </c>
      <c r="H392">
        <v>1</v>
      </c>
      <c r="I392" t="s">
        <v>15</v>
      </c>
      <c r="J392">
        <v>1</v>
      </c>
      <c r="K392">
        <v>1</v>
      </c>
    </row>
    <row r="393" spans="1:11" x14ac:dyDescent="0.3">
      <c r="A393">
        <v>863</v>
      </c>
      <c r="B393">
        <v>37500</v>
      </c>
      <c r="C393" t="s">
        <v>14</v>
      </c>
      <c r="D393">
        <v>0</v>
      </c>
      <c r="E393">
        <v>1</v>
      </c>
      <c r="F393">
        <v>0</v>
      </c>
      <c r="G393">
        <v>0</v>
      </c>
      <c r="H393">
        <v>1</v>
      </c>
      <c r="I393" t="s">
        <v>15</v>
      </c>
      <c r="J393">
        <v>1</v>
      </c>
      <c r="K393">
        <v>0</v>
      </c>
    </row>
    <row r="394" spans="1:11" x14ac:dyDescent="0.3">
      <c r="A394">
        <v>4115</v>
      </c>
      <c r="B394">
        <v>40000</v>
      </c>
      <c r="C394" t="s">
        <v>14</v>
      </c>
      <c r="D394">
        <v>0</v>
      </c>
      <c r="E394">
        <v>1</v>
      </c>
      <c r="F394">
        <v>0</v>
      </c>
      <c r="G394">
        <v>1</v>
      </c>
      <c r="H394">
        <v>0</v>
      </c>
      <c r="I394" t="s">
        <v>17</v>
      </c>
      <c r="J394">
        <v>1</v>
      </c>
      <c r="K394">
        <v>0</v>
      </c>
    </row>
    <row r="395" spans="1:11" x14ac:dyDescent="0.3">
      <c r="A395">
        <v>867</v>
      </c>
      <c r="B395">
        <v>30000</v>
      </c>
      <c r="C395" t="s">
        <v>14</v>
      </c>
      <c r="D395">
        <v>0</v>
      </c>
      <c r="E395">
        <v>0</v>
      </c>
      <c r="F395">
        <v>0</v>
      </c>
      <c r="G395">
        <v>0</v>
      </c>
      <c r="H395">
        <v>1</v>
      </c>
      <c r="I395" t="s">
        <v>15</v>
      </c>
      <c r="J395">
        <v>1</v>
      </c>
      <c r="K395">
        <v>1</v>
      </c>
    </row>
    <row r="396" spans="1:11" x14ac:dyDescent="0.3">
      <c r="A396">
        <v>872</v>
      </c>
      <c r="B396">
        <v>25000</v>
      </c>
      <c r="C396" t="s">
        <v>14</v>
      </c>
      <c r="D396">
        <v>0</v>
      </c>
      <c r="E396">
        <v>1</v>
      </c>
      <c r="F396">
        <v>0</v>
      </c>
      <c r="G396">
        <v>0</v>
      </c>
      <c r="H396">
        <v>1</v>
      </c>
      <c r="I396" t="s">
        <v>15</v>
      </c>
      <c r="J396">
        <v>1</v>
      </c>
      <c r="K396">
        <v>0</v>
      </c>
    </row>
    <row r="397" spans="1:11" x14ac:dyDescent="0.3">
      <c r="A397">
        <v>4112</v>
      </c>
      <c r="B397">
        <v>4545.4545449999996</v>
      </c>
      <c r="C397" t="s">
        <v>14</v>
      </c>
      <c r="D397">
        <v>0</v>
      </c>
      <c r="E397">
        <v>1</v>
      </c>
      <c r="F397">
        <v>0</v>
      </c>
      <c r="G397">
        <v>1</v>
      </c>
      <c r="H397">
        <v>0</v>
      </c>
      <c r="I397" t="s">
        <v>17</v>
      </c>
      <c r="J397">
        <v>1</v>
      </c>
      <c r="K397">
        <v>0</v>
      </c>
    </row>
    <row r="398" spans="1:11" x14ac:dyDescent="0.3">
      <c r="A398">
        <v>874</v>
      </c>
      <c r="B398">
        <v>0</v>
      </c>
      <c r="C398" t="s">
        <v>14</v>
      </c>
      <c r="D398">
        <v>0</v>
      </c>
      <c r="E398">
        <v>0</v>
      </c>
      <c r="F398">
        <v>0</v>
      </c>
      <c r="G398">
        <v>0</v>
      </c>
      <c r="H398">
        <v>1</v>
      </c>
      <c r="I398" t="s">
        <v>15</v>
      </c>
      <c r="J398">
        <v>1</v>
      </c>
      <c r="K398">
        <v>0</v>
      </c>
    </row>
    <row r="399" spans="1:11" x14ac:dyDescent="0.3">
      <c r="A399">
        <v>4061</v>
      </c>
      <c r="B399">
        <v>150000</v>
      </c>
      <c r="C399" t="s">
        <v>14</v>
      </c>
      <c r="D399">
        <v>0</v>
      </c>
      <c r="E399">
        <v>1</v>
      </c>
      <c r="F399">
        <v>0</v>
      </c>
      <c r="G399">
        <v>0</v>
      </c>
      <c r="H399">
        <v>1</v>
      </c>
      <c r="I399" t="s">
        <v>18</v>
      </c>
      <c r="J399">
        <v>1</v>
      </c>
      <c r="K399">
        <v>1</v>
      </c>
    </row>
    <row r="400" spans="1:11" x14ac:dyDescent="0.3">
      <c r="A400">
        <v>877</v>
      </c>
      <c r="B400">
        <v>5555.5555560000003</v>
      </c>
      <c r="C400" t="s">
        <v>14</v>
      </c>
      <c r="D400">
        <v>0</v>
      </c>
      <c r="E400">
        <v>0</v>
      </c>
      <c r="F400">
        <v>0</v>
      </c>
      <c r="G400">
        <v>0</v>
      </c>
      <c r="H400">
        <v>1</v>
      </c>
      <c r="I400" t="s">
        <v>15</v>
      </c>
      <c r="J400">
        <v>1</v>
      </c>
      <c r="K400">
        <v>1</v>
      </c>
    </row>
    <row r="401" spans="1:11" x14ac:dyDescent="0.3">
      <c r="A401">
        <v>883</v>
      </c>
      <c r="B401">
        <v>40000</v>
      </c>
      <c r="C401" t="s">
        <v>14</v>
      </c>
      <c r="D401">
        <v>0</v>
      </c>
      <c r="E401">
        <v>0</v>
      </c>
      <c r="F401">
        <v>0</v>
      </c>
      <c r="G401">
        <v>0</v>
      </c>
      <c r="H401">
        <v>1</v>
      </c>
      <c r="I401" t="s">
        <v>15</v>
      </c>
      <c r="J401">
        <v>1</v>
      </c>
      <c r="K401">
        <v>0</v>
      </c>
    </row>
    <row r="402" spans="1:11" x14ac:dyDescent="0.3">
      <c r="A402">
        <v>885</v>
      </c>
      <c r="B402">
        <v>66666.666670000006</v>
      </c>
      <c r="C402" t="s">
        <v>14</v>
      </c>
      <c r="D402">
        <v>0</v>
      </c>
      <c r="E402">
        <v>0</v>
      </c>
      <c r="F402">
        <v>0</v>
      </c>
      <c r="G402">
        <v>0</v>
      </c>
      <c r="H402">
        <v>1</v>
      </c>
      <c r="I402" t="s">
        <v>15</v>
      </c>
      <c r="J402">
        <v>1</v>
      </c>
      <c r="K402">
        <v>0</v>
      </c>
    </row>
    <row r="403" spans="1:11" x14ac:dyDescent="0.3">
      <c r="A403">
        <v>887</v>
      </c>
      <c r="B403">
        <v>10000</v>
      </c>
      <c r="C403" t="s">
        <v>14</v>
      </c>
      <c r="D403">
        <v>0</v>
      </c>
      <c r="E403">
        <v>0</v>
      </c>
      <c r="F403">
        <v>0</v>
      </c>
      <c r="G403">
        <v>0</v>
      </c>
      <c r="H403">
        <v>1</v>
      </c>
      <c r="I403" t="s">
        <v>15</v>
      </c>
      <c r="J403">
        <v>1</v>
      </c>
      <c r="K403">
        <v>0</v>
      </c>
    </row>
    <row r="404" spans="1:11" x14ac:dyDescent="0.3">
      <c r="A404">
        <v>888</v>
      </c>
      <c r="B404">
        <v>25000</v>
      </c>
      <c r="C404" t="s">
        <v>14</v>
      </c>
      <c r="D404">
        <v>0</v>
      </c>
      <c r="E404">
        <v>1</v>
      </c>
      <c r="F404">
        <v>0</v>
      </c>
      <c r="G404">
        <v>0</v>
      </c>
      <c r="H404">
        <v>1</v>
      </c>
      <c r="I404" t="s">
        <v>15</v>
      </c>
      <c r="J404">
        <v>1</v>
      </c>
      <c r="K404">
        <v>0</v>
      </c>
    </row>
    <row r="405" spans="1:11" x14ac:dyDescent="0.3">
      <c r="A405">
        <v>889</v>
      </c>
      <c r="B405">
        <v>116666.6667</v>
      </c>
      <c r="C405" t="s">
        <v>14</v>
      </c>
      <c r="D405">
        <v>0</v>
      </c>
      <c r="E405">
        <v>1</v>
      </c>
      <c r="F405">
        <v>0</v>
      </c>
      <c r="G405">
        <v>0</v>
      </c>
      <c r="H405">
        <v>1</v>
      </c>
      <c r="I405" t="s">
        <v>15</v>
      </c>
      <c r="J405">
        <v>1</v>
      </c>
      <c r="K405">
        <v>0</v>
      </c>
    </row>
    <row r="406" spans="1:11" x14ac:dyDescent="0.3">
      <c r="A406">
        <v>907</v>
      </c>
      <c r="B406">
        <v>50000</v>
      </c>
      <c r="C406" t="s">
        <v>14</v>
      </c>
      <c r="D406">
        <v>0</v>
      </c>
      <c r="E406">
        <v>0</v>
      </c>
      <c r="F406">
        <v>0</v>
      </c>
      <c r="G406">
        <v>0</v>
      </c>
      <c r="H406">
        <v>1</v>
      </c>
      <c r="I406" t="s">
        <v>15</v>
      </c>
      <c r="J406">
        <v>0</v>
      </c>
      <c r="K406">
        <v>1</v>
      </c>
    </row>
    <row r="407" spans="1:11" x14ac:dyDescent="0.3">
      <c r="A407">
        <v>910</v>
      </c>
      <c r="B407">
        <v>100000</v>
      </c>
      <c r="C407" t="s">
        <v>14</v>
      </c>
      <c r="D407">
        <v>0</v>
      </c>
      <c r="E407">
        <v>1</v>
      </c>
      <c r="F407">
        <v>0</v>
      </c>
      <c r="G407">
        <v>0</v>
      </c>
      <c r="H407">
        <v>1</v>
      </c>
      <c r="I407" t="s">
        <v>15</v>
      </c>
      <c r="J407">
        <v>1</v>
      </c>
      <c r="K407">
        <v>1</v>
      </c>
    </row>
    <row r="408" spans="1:11" x14ac:dyDescent="0.3">
      <c r="A408">
        <v>913</v>
      </c>
      <c r="B408">
        <v>136363.63639999999</v>
      </c>
      <c r="C408" t="s">
        <v>14</v>
      </c>
      <c r="D408">
        <v>0</v>
      </c>
      <c r="E408">
        <v>0</v>
      </c>
      <c r="F408">
        <v>0</v>
      </c>
      <c r="G408">
        <v>0</v>
      </c>
      <c r="H408">
        <v>1</v>
      </c>
      <c r="I408" t="s">
        <v>15</v>
      </c>
      <c r="J408">
        <v>1</v>
      </c>
      <c r="K408">
        <v>1</v>
      </c>
    </row>
    <row r="409" spans="1:11" x14ac:dyDescent="0.3">
      <c r="A409">
        <v>914</v>
      </c>
      <c r="B409">
        <v>66666.666670000006</v>
      </c>
      <c r="C409" t="s">
        <v>14</v>
      </c>
      <c r="D409">
        <v>0</v>
      </c>
      <c r="E409">
        <v>1</v>
      </c>
      <c r="F409">
        <v>0</v>
      </c>
      <c r="G409">
        <v>0</v>
      </c>
      <c r="H409">
        <v>1</v>
      </c>
      <c r="I409" t="s">
        <v>15</v>
      </c>
      <c r="J409">
        <v>1</v>
      </c>
      <c r="K409">
        <v>1</v>
      </c>
    </row>
    <row r="410" spans="1:11" x14ac:dyDescent="0.3">
      <c r="A410">
        <v>916</v>
      </c>
      <c r="B410">
        <v>90909.090909999999</v>
      </c>
      <c r="C410" t="s">
        <v>14</v>
      </c>
      <c r="D410">
        <v>0</v>
      </c>
      <c r="E410">
        <v>0</v>
      </c>
      <c r="F410">
        <v>0</v>
      </c>
      <c r="G410">
        <v>0</v>
      </c>
      <c r="H410">
        <v>1</v>
      </c>
      <c r="I410" t="s">
        <v>15</v>
      </c>
      <c r="J410">
        <v>1</v>
      </c>
      <c r="K410">
        <v>1</v>
      </c>
    </row>
    <row r="411" spans="1:11" x14ac:dyDescent="0.3">
      <c r="A411">
        <v>917</v>
      </c>
      <c r="B411">
        <v>75000</v>
      </c>
      <c r="C411" t="s">
        <v>14</v>
      </c>
      <c r="D411">
        <v>0</v>
      </c>
      <c r="E411">
        <v>0</v>
      </c>
      <c r="F411">
        <v>0</v>
      </c>
      <c r="G411">
        <v>0</v>
      </c>
      <c r="H411">
        <v>1</v>
      </c>
      <c r="I411" t="s">
        <v>15</v>
      </c>
      <c r="J411">
        <v>1</v>
      </c>
      <c r="K411">
        <v>1</v>
      </c>
    </row>
    <row r="412" spans="1:11" x14ac:dyDescent="0.3">
      <c r="A412">
        <v>918</v>
      </c>
      <c r="B412">
        <v>150000</v>
      </c>
      <c r="C412" t="s">
        <v>14</v>
      </c>
      <c r="D412">
        <v>0</v>
      </c>
      <c r="E412">
        <v>0</v>
      </c>
      <c r="F412">
        <v>0</v>
      </c>
      <c r="G412">
        <v>0</v>
      </c>
      <c r="H412">
        <v>1</v>
      </c>
      <c r="I412" t="s">
        <v>15</v>
      </c>
      <c r="J412">
        <v>1</v>
      </c>
      <c r="K412">
        <v>1</v>
      </c>
    </row>
    <row r="413" spans="1:11" x14ac:dyDescent="0.3">
      <c r="A413">
        <v>920</v>
      </c>
      <c r="B413">
        <v>45454.545449999998</v>
      </c>
      <c r="C413" t="s">
        <v>12</v>
      </c>
      <c r="D413">
        <v>1</v>
      </c>
      <c r="E413">
        <v>0</v>
      </c>
      <c r="F413">
        <v>0</v>
      </c>
      <c r="G413">
        <v>0</v>
      </c>
      <c r="H413">
        <v>1</v>
      </c>
      <c r="I413" t="s">
        <v>15</v>
      </c>
      <c r="J413">
        <v>1</v>
      </c>
      <c r="K413">
        <v>1</v>
      </c>
    </row>
    <row r="414" spans="1:11" x14ac:dyDescent="0.3">
      <c r="A414">
        <v>924</v>
      </c>
      <c r="B414">
        <v>0</v>
      </c>
      <c r="C414" t="s">
        <v>14</v>
      </c>
      <c r="D414">
        <v>0</v>
      </c>
      <c r="E414">
        <v>1</v>
      </c>
      <c r="F414">
        <v>0</v>
      </c>
      <c r="G414">
        <v>0</v>
      </c>
      <c r="H414">
        <v>1</v>
      </c>
      <c r="I414" t="s">
        <v>15</v>
      </c>
      <c r="J414">
        <v>1</v>
      </c>
      <c r="K414">
        <v>1</v>
      </c>
    </row>
    <row r="415" spans="1:11" x14ac:dyDescent="0.3">
      <c r="A415">
        <v>925</v>
      </c>
      <c r="B415">
        <v>22222.22222</v>
      </c>
      <c r="C415" t="s">
        <v>14</v>
      </c>
      <c r="D415">
        <v>0</v>
      </c>
      <c r="E415">
        <v>0</v>
      </c>
      <c r="F415">
        <v>0</v>
      </c>
      <c r="G415">
        <v>0</v>
      </c>
      <c r="H415">
        <v>1</v>
      </c>
      <c r="I415" t="s">
        <v>15</v>
      </c>
      <c r="J415">
        <v>1</v>
      </c>
      <c r="K415">
        <v>1</v>
      </c>
    </row>
    <row r="416" spans="1:11" x14ac:dyDescent="0.3">
      <c r="A416">
        <v>927</v>
      </c>
      <c r="B416">
        <v>83333.333329999994</v>
      </c>
      <c r="C416" t="s">
        <v>14</v>
      </c>
      <c r="D416">
        <v>0</v>
      </c>
      <c r="E416">
        <v>0</v>
      </c>
      <c r="F416">
        <v>0</v>
      </c>
      <c r="G416">
        <v>0</v>
      </c>
      <c r="H416">
        <v>1</v>
      </c>
      <c r="I416" t="s">
        <v>15</v>
      </c>
      <c r="J416">
        <v>1</v>
      </c>
      <c r="K416">
        <v>1</v>
      </c>
    </row>
    <row r="417" spans="1:11" x14ac:dyDescent="0.3">
      <c r="A417">
        <v>928</v>
      </c>
      <c r="B417">
        <v>86956.521739999996</v>
      </c>
      <c r="C417" t="s">
        <v>14</v>
      </c>
      <c r="D417">
        <v>0</v>
      </c>
      <c r="E417">
        <v>0</v>
      </c>
      <c r="F417">
        <v>0</v>
      </c>
      <c r="G417">
        <v>0</v>
      </c>
      <c r="H417">
        <v>1</v>
      </c>
      <c r="I417" t="s">
        <v>15</v>
      </c>
      <c r="J417">
        <v>1</v>
      </c>
      <c r="K417">
        <v>1</v>
      </c>
    </row>
    <row r="418" spans="1:11" x14ac:dyDescent="0.3">
      <c r="A418">
        <v>929</v>
      </c>
      <c r="B418">
        <v>20000</v>
      </c>
      <c r="C418" t="s">
        <v>14</v>
      </c>
      <c r="D418">
        <v>0</v>
      </c>
      <c r="E418">
        <v>0</v>
      </c>
      <c r="F418">
        <v>0</v>
      </c>
      <c r="G418">
        <v>0</v>
      </c>
      <c r="H418">
        <v>1</v>
      </c>
      <c r="I418" t="s">
        <v>15</v>
      </c>
      <c r="J418">
        <v>1</v>
      </c>
      <c r="K418">
        <v>1</v>
      </c>
    </row>
    <row r="419" spans="1:11" x14ac:dyDescent="0.3">
      <c r="A419">
        <v>930</v>
      </c>
      <c r="B419">
        <v>153846.1538</v>
      </c>
      <c r="C419" t="s">
        <v>14</v>
      </c>
      <c r="D419">
        <v>0</v>
      </c>
      <c r="E419">
        <v>0</v>
      </c>
      <c r="F419">
        <v>0</v>
      </c>
      <c r="G419">
        <v>0</v>
      </c>
      <c r="H419">
        <v>1</v>
      </c>
      <c r="I419" t="s">
        <v>15</v>
      </c>
      <c r="J419">
        <v>1</v>
      </c>
      <c r="K419">
        <v>0</v>
      </c>
    </row>
    <row r="420" spans="1:11" x14ac:dyDescent="0.3">
      <c r="A420">
        <v>935</v>
      </c>
      <c r="B420">
        <v>31250</v>
      </c>
      <c r="C420" t="s">
        <v>14</v>
      </c>
      <c r="D420">
        <v>0</v>
      </c>
      <c r="E420">
        <v>0</v>
      </c>
      <c r="F420">
        <v>0</v>
      </c>
      <c r="G420">
        <v>0</v>
      </c>
      <c r="H420">
        <v>1</v>
      </c>
      <c r="I420" t="s">
        <v>15</v>
      </c>
      <c r="J420">
        <v>0</v>
      </c>
      <c r="K420">
        <v>1</v>
      </c>
    </row>
    <row r="421" spans="1:11" x14ac:dyDescent="0.3">
      <c r="A421">
        <v>937</v>
      </c>
      <c r="B421">
        <v>66666.666670000006</v>
      </c>
      <c r="C421" t="s">
        <v>14</v>
      </c>
      <c r="D421">
        <v>0</v>
      </c>
      <c r="E421">
        <v>0</v>
      </c>
      <c r="F421">
        <v>0</v>
      </c>
      <c r="G421">
        <v>0</v>
      </c>
      <c r="H421">
        <v>1</v>
      </c>
      <c r="I421" t="s">
        <v>15</v>
      </c>
      <c r="J421">
        <v>1</v>
      </c>
      <c r="K421">
        <v>1</v>
      </c>
    </row>
    <row r="422" spans="1:11" x14ac:dyDescent="0.3">
      <c r="A422">
        <v>942</v>
      </c>
      <c r="B422">
        <v>26000</v>
      </c>
      <c r="C422" t="s">
        <v>12</v>
      </c>
      <c r="D422">
        <v>1</v>
      </c>
      <c r="E422">
        <v>1</v>
      </c>
      <c r="F422">
        <v>0</v>
      </c>
      <c r="G422">
        <v>0</v>
      </c>
      <c r="H422">
        <v>1</v>
      </c>
      <c r="I422" t="s">
        <v>15</v>
      </c>
      <c r="J422">
        <v>0</v>
      </c>
      <c r="K422">
        <v>1</v>
      </c>
    </row>
    <row r="423" spans="1:11" x14ac:dyDescent="0.3">
      <c r="A423">
        <v>943</v>
      </c>
      <c r="B423">
        <v>35000</v>
      </c>
      <c r="C423" t="s">
        <v>14</v>
      </c>
      <c r="D423">
        <v>0</v>
      </c>
      <c r="E423">
        <v>0</v>
      </c>
      <c r="F423">
        <v>0</v>
      </c>
      <c r="G423">
        <v>0</v>
      </c>
      <c r="H423">
        <v>1</v>
      </c>
      <c r="I423" t="s">
        <v>15</v>
      </c>
      <c r="J423">
        <v>1</v>
      </c>
      <c r="K423">
        <v>1</v>
      </c>
    </row>
    <row r="424" spans="1:11" x14ac:dyDescent="0.3">
      <c r="A424">
        <v>946</v>
      </c>
      <c r="B424">
        <v>83333.333329999994</v>
      </c>
      <c r="C424" t="s">
        <v>14</v>
      </c>
      <c r="D424">
        <v>0</v>
      </c>
      <c r="E424">
        <v>0</v>
      </c>
      <c r="F424">
        <v>0</v>
      </c>
      <c r="G424">
        <v>0</v>
      </c>
      <c r="H424">
        <v>1</v>
      </c>
      <c r="I424" t="s">
        <v>15</v>
      </c>
      <c r="J424">
        <v>1</v>
      </c>
      <c r="K424">
        <v>1</v>
      </c>
    </row>
    <row r="425" spans="1:11" x14ac:dyDescent="0.3">
      <c r="A425">
        <v>952</v>
      </c>
      <c r="B425">
        <v>-24600</v>
      </c>
      <c r="C425" t="s">
        <v>14</v>
      </c>
      <c r="D425">
        <v>0</v>
      </c>
      <c r="E425">
        <v>0</v>
      </c>
      <c r="F425">
        <v>0</v>
      </c>
      <c r="G425">
        <v>0</v>
      </c>
      <c r="H425">
        <v>1</v>
      </c>
      <c r="I425" t="s">
        <v>15</v>
      </c>
      <c r="J425">
        <v>1</v>
      </c>
      <c r="K425">
        <v>0</v>
      </c>
    </row>
    <row r="426" spans="1:11" x14ac:dyDescent="0.3">
      <c r="A426">
        <v>953</v>
      </c>
      <c r="B426">
        <v>40000</v>
      </c>
      <c r="C426" t="s">
        <v>14</v>
      </c>
      <c r="D426">
        <v>0</v>
      </c>
      <c r="E426">
        <v>0</v>
      </c>
      <c r="F426">
        <v>0</v>
      </c>
      <c r="G426">
        <v>0</v>
      </c>
      <c r="H426">
        <v>1</v>
      </c>
      <c r="I426" t="s">
        <v>15</v>
      </c>
      <c r="J426">
        <v>1</v>
      </c>
      <c r="K426">
        <v>1</v>
      </c>
    </row>
    <row r="427" spans="1:11" x14ac:dyDescent="0.3">
      <c r="A427">
        <v>955</v>
      </c>
      <c r="B427">
        <v>90909.090909999999</v>
      </c>
      <c r="C427" t="s">
        <v>14</v>
      </c>
      <c r="D427">
        <v>0</v>
      </c>
      <c r="E427">
        <v>0</v>
      </c>
      <c r="F427">
        <v>0</v>
      </c>
      <c r="G427">
        <v>0</v>
      </c>
      <c r="H427">
        <v>1</v>
      </c>
      <c r="I427" t="s">
        <v>15</v>
      </c>
      <c r="J427">
        <v>1</v>
      </c>
      <c r="K427">
        <v>1</v>
      </c>
    </row>
    <row r="428" spans="1:11" x14ac:dyDescent="0.3">
      <c r="A428">
        <v>958</v>
      </c>
      <c r="B428">
        <v>-79646.017699999997</v>
      </c>
      <c r="C428" t="s">
        <v>14</v>
      </c>
      <c r="D428">
        <v>0</v>
      </c>
      <c r="E428">
        <v>0</v>
      </c>
      <c r="F428">
        <v>0</v>
      </c>
      <c r="G428">
        <v>0</v>
      </c>
      <c r="H428">
        <v>1</v>
      </c>
      <c r="I428" t="s">
        <v>15</v>
      </c>
      <c r="J428">
        <v>1</v>
      </c>
      <c r="K428">
        <v>1</v>
      </c>
    </row>
    <row r="429" spans="1:11" x14ac:dyDescent="0.3">
      <c r="A429">
        <v>959</v>
      </c>
      <c r="B429">
        <v>28571.42857</v>
      </c>
      <c r="C429" t="s">
        <v>14</v>
      </c>
      <c r="D429">
        <v>0</v>
      </c>
      <c r="E429">
        <v>0</v>
      </c>
      <c r="F429">
        <v>0</v>
      </c>
      <c r="G429">
        <v>0</v>
      </c>
      <c r="H429">
        <v>1</v>
      </c>
      <c r="I429" t="s">
        <v>15</v>
      </c>
      <c r="J429">
        <v>1</v>
      </c>
      <c r="K429">
        <v>1</v>
      </c>
    </row>
    <row r="430" spans="1:11" x14ac:dyDescent="0.3">
      <c r="A430">
        <v>963</v>
      </c>
      <c r="B430">
        <v>150000</v>
      </c>
      <c r="C430" t="s">
        <v>14</v>
      </c>
      <c r="D430">
        <v>0</v>
      </c>
      <c r="E430">
        <v>0</v>
      </c>
      <c r="F430">
        <v>0</v>
      </c>
      <c r="G430">
        <v>0</v>
      </c>
      <c r="H430">
        <v>1</v>
      </c>
      <c r="I430" t="s">
        <v>15</v>
      </c>
      <c r="J430">
        <v>1</v>
      </c>
      <c r="K430">
        <v>1</v>
      </c>
    </row>
    <row r="431" spans="1:11" x14ac:dyDescent="0.3">
      <c r="A431">
        <v>966</v>
      </c>
      <c r="B431">
        <v>75000</v>
      </c>
      <c r="C431" t="s">
        <v>14</v>
      </c>
      <c r="D431">
        <v>0</v>
      </c>
      <c r="E431">
        <v>0</v>
      </c>
      <c r="F431">
        <v>0</v>
      </c>
      <c r="G431">
        <v>0</v>
      </c>
      <c r="H431">
        <v>1</v>
      </c>
      <c r="I431" t="s">
        <v>15</v>
      </c>
      <c r="J431">
        <v>1</v>
      </c>
      <c r="K431">
        <v>1</v>
      </c>
    </row>
    <row r="432" spans="1:11" x14ac:dyDescent="0.3">
      <c r="A432">
        <v>967</v>
      </c>
      <c r="B432">
        <v>25000</v>
      </c>
      <c r="C432" t="s">
        <v>14</v>
      </c>
      <c r="D432">
        <v>0</v>
      </c>
      <c r="E432">
        <v>0</v>
      </c>
      <c r="F432">
        <v>0</v>
      </c>
      <c r="G432">
        <v>0</v>
      </c>
      <c r="H432">
        <v>1</v>
      </c>
      <c r="I432" t="s">
        <v>15</v>
      </c>
      <c r="J432">
        <v>1</v>
      </c>
      <c r="K432">
        <v>1</v>
      </c>
    </row>
    <row r="433" spans="1:11" x14ac:dyDescent="0.3">
      <c r="A433">
        <v>971</v>
      </c>
      <c r="B433">
        <v>-57666.666669999999</v>
      </c>
      <c r="C433" t="s">
        <v>14</v>
      </c>
      <c r="D433">
        <v>0</v>
      </c>
      <c r="E433">
        <v>0</v>
      </c>
      <c r="F433">
        <v>0</v>
      </c>
      <c r="G433">
        <v>0</v>
      </c>
      <c r="H433">
        <v>1</v>
      </c>
      <c r="I433" t="s">
        <v>15</v>
      </c>
      <c r="J433">
        <v>1</v>
      </c>
      <c r="K433">
        <v>1</v>
      </c>
    </row>
    <row r="434" spans="1:11" x14ac:dyDescent="0.3">
      <c r="A434">
        <v>972</v>
      </c>
      <c r="B434">
        <v>-6666.6666670000004</v>
      </c>
      <c r="C434" t="s">
        <v>14</v>
      </c>
      <c r="D434">
        <v>0</v>
      </c>
      <c r="E434">
        <v>1</v>
      </c>
      <c r="F434">
        <v>0</v>
      </c>
      <c r="G434">
        <v>0</v>
      </c>
      <c r="H434">
        <v>1</v>
      </c>
      <c r="I434" t="s">
        <v>15</v>
      </c>
      <c r="J434">
        <v>1</v>
      </c>
      <c r="K434">
        <v>1</v>
      </c>
    </row>
    <row r="435" spans="1:11" x14ac:dyDescent="0.3">
      <c r="A435">
        <v>975</v>
      </c>
      <c r="B435">
        <v>133333.3333</v>
      </c>
      <c r="C435" t="s">
        <v>12</v>
      </c>
      <c r="D435">
        <v>1</v>
      </c>
      <c r="E435">
        <v>0</v>
      </c>
      <c r="F435">
        <v>0</v>
      </c>
      <c r="G435">
        <v>0</v>
      </c>
      <c r="H435">
        <v>1</v>
      </c>
      <c r="I435" t="s">
        <v>15</v>
      </c>
      <c r="J435">
        <v>1</v>
      </c>
      <c r="K435">
        <v>1</v>
      </c>
    </row>
    <row r="436" spans="1:11" x14ac:dyDescent="0.3">
      <c r="A436">
        <v>976</v>
      </c>
      <c r="B436">
        <v>90909.090909999999</v>
      </c>
      <c r="C436" t="s">
        <v>14</v>
      </c>
      <c r="D436">
        <v>0</v>
      </c>
      <c r="E436">
        <v>0</v>
      </c>
      <c r="F436">
        <v>0</v>
      </c>
      <c r="G436">
        <v>0</v>
      </c>
      <c r="H436">
        <v>1</v>
      </c>
      <c r="I436" t="s">
        <v>15</v>
      </c>
      <c r="J436">
        <v>1</v>
      </c>
      <c r="K436">
        <v>1</v>
      </c>
    </row>
    <row r="437" spans="1:11" x14ac:dyDescent="0.3">
      <c r="A437">
        <v>977</v>
      </c>
      <c r="B437">
        <v>40000</v>
      </c>
      <c r="C437" t="s">
        <v>14</v>
      </c>
      <c r="D437">
        <v>0</v>
      </c>
      <c r="E437">
        <v>0</v>
      </c>
      <c r="F437">
        <v>0</v>
      </c>
      <c r="G437">
        <v>0</v>
      </c>
      <c r="H437">
        <v>1</v>
      </c>
      <c r="I437" t="s">
        <v>15</v>
      </c>
      <c r="J437">
        <v>0</v>
      </c>
      <c r="K437">
        <v>1</v>
      </c>
    </row>
    <row r="438" spans="1:11" x14ac:dyDescent="0.3">
      <c r="A438">
        <v>979</v>
      </c>
      <c r="B438">
        <v>32051.282050000002</v>
      </c>
      <c r="C438" t="s">
        <v>14</v>
      </c>
      <c r="D438">
        <v>0</v>
      </c>
      <c r="E438">
        <v>1</v>
      </c>
      <c r="F438">
        <v>0</v>
      </c>
      <c r="G438">
        <v>0</v>
      </c>
      <c r="H438">
        <v>1</v>
      </c>
      <c r="I438" t="s">
        <v>15</v>
      </c>
      <c r="J438">
        <v>1</v>
      </c>
      <c r="K438">
        <v>1</v>
      </c>
    </row>
    <row r="439" spans="1:11" x14ac:dyDescent="0.3">
      <c r="A439">
        <v>980</v>
      </c>
      <c r="B439">
        <v>48000</v>
      </c>
      <c r="C439" t="s">
        <v>14</v>
      </c>
      <c r="D439">
        <v>0</v>
      </c>
      <c r="E439">
        <v>1</v>
      </c>
      <c r="F439">
        <v>0</v>
      </c>
      <c r="G439">
        <v>0</v>
      </c>
      <c r="H439">
        <v>1</v>
      </c>
      <c r="I439" t="s">
        <v>15</v>
      </c>
      <c r="J439">
        <v>1</v>
      </c>
      <c r="K439">
        <v>1</v>
      </c>
    </row>
    <row r="440" spans="1:11" x14ac:dyDescent="0.3">
      <c r="A440">
        <v>991</v>
      </c>
      <c r="B440">
        <v>14285.71429</v>
      </c>
      <c r="C440" t="s">
        <v>14</v>
      </c>
      <c r="D440">
        <v>0</v>
      </c>
      <c r="E440">
        <v>1</v>
      </c>
      <c r="F440">
        <v>0</v>
      </c>
      <c r="G440">
        <v>0</v>
      </c>
      <c r="H440">
        <v>1</v>
      </c>
      <c r="I440" t="s">
        <v>15</v>
      </c>
      <c r="J440">
        <v>0</v>
      </c>
      <c r="K440">
        <v>1</v>
      </c>
    </row>
    <row r="441" spans="1:11" x14ac:dyDescent="0.3">
      <c r="A441">
        <v>993</v>
      </c>
      <c r="B441">
        <v>12903.22581</v>
      </c>
      <c r="C441" t="s">
        <v>14</v>
      </c>
      <c r="D441">
        <v>0</v>
      </c>
      <c r="E441">
        <v>0</v>
      </c>
      <c r="F441">
        <v>0</v>
      </c>
      <c r="G441">
        <v>0</v>
      </c>
      <c r="H441">
        <v>1</v>
      </c>
      <c r="I441" t="s">
        <v>15</v>
      </c>
      <c r="J441">
        <v>0</v>
      </c>
      <c r="K441">
        <v>1</v>
      </c>
    </row>
    <row r="442" spans="1:11" x14ac:dyDescent="0.3">
      <c r="A442">
        <v>995</v>
      </c>
      <c r="B442">
        <v>24390.243900000001</v>
      </c>
      <c r="C442" t="s">
        <v>14</v>
      </c>
      <c r="D442">
        <v>0</v>
      </c>
      <c r="E442">
        <v>0</v>
      </c>
      <c r="F442">
        <v>0</v>
      </c>
      <c r="G442">
        <v>0</v>
      </c>
      <c r="H442">
        <v>1</v>
      </c>
      <c r="I442" t="s">
        <v>15</v>
      </c>
      <c r="J442">
        <v>0</v>
      </c>
      <c r="K442">
        <v>0</v>
      </c>
    </row>
    <row r="443" spans="1:11" x14ac:dyDescent="0.3">
      <c r="A443">
        <v>997</v>
      </c>
      <c r="B443">
        <v>25000</v>
      </c>
      <c r="C443" t="s">
        <v>14</v>
      </c>
      <c r="D443">
        <v>0</v>
      </c>
      <c r="E443">
        <v>1</v>
      </c>
      <c r="F443">
        <v>0</v>
      </c>
      <c r="G443">
        <v>0</v>
      </c>
      <c r="H443">
        <v>1</v>
      </c>
      <c r="I443" t="s">
        <v>15</v>
      </c>
      <c r="J443">
        <v>0</v>
      </c>
      <c r="K443">
        <v>1</v>
      </c>
    </row>
    <row r="444" spans="1:11" x14ac:dyDescent="0.3">
      <c r="A444">
        <v>998</v>
      </c>
      <c r="B444">
        <v>80000</v>
      </c>
      <c r="C444" t="s">
        <v>14</v>
      </c>
      <c r="D444">
        <v>0</v>
      </c>
      <c r="E444">
        <v>0</v>
      </c>
      <c r="F444">
        <v>0</v>
      </c>
      <c r="G444">
        <v>0</v>
      </c>
      <c r="H444">
        <v>1</v>
      </c>
      <c r="I444" t="s">
        <v>15</v>
      </c>
      <c r="J444">
        <v>0</v>
      </c>
      <c r="K444">
        <v>1</v>
      </c>
    </row>
    <row r="445" spans="1:11" x14ac:dyDescent="0.3">
      <c r="A445">
        <v>999</v>
      </c>
      <c r="B445">
        <v>16666.666669999999</v>
      </c>
      <c r="C445" t="s">
        <v>14</v>
      </c>
      <c r="D445">
        <v>0</v>
      </c>
      <c r="E445">
        <v>0</v>
      </c>
      <c r="F445">
        <v>0</v>
      </c>
      <c r="G445">
        <v>0</v>
      </c>
      <c r="H445">
        <v>1</v>
      </c>
      <c r="I445" t="s">
        <v>15</v>
      </c>
      <c r="J445">
        <v>1</v>
      </c>
      <c r="K445">
        <v>1</v>
      </c>
    </row>
    <row r="446" spans="1:11" x14ac:dyDescent="0.3">
      <c r="A446">
        <v>1001</v>
      </c>
      <c r="B446">
        <v>41666.666669999999</v>
      </c>
      <c r="C446" t="s">
        <v>14</v>
      </c>
      <c r="D446">
        <v>0</v>
      </c>
      <c r="E446">
        <v>0</v>
      </c>
      <c r="F446">
        <v>0</v>
      </c>
      <c r="G446">
        <v>0</v>
      </c>
      <c r="H446">
        <v>1</v>
      </c>
      <c r="I446" t="s">
        <v>15</v>
      </c>
      <c r="J446">
        <v>1</v>
      </c>
      <c r="K446">
        <v>1</v>
      </c>
    </row>
    <row r="447" spans="1:11" x14ac:dyDescent="0.3">
      <c r="A447">
        <v>1003</v>
      </c>
      <c r="B447">
        <v>11111.11111</v>
      </c>
      <c r="C447" t="s">
        <v>14</v>
      </c>
      <c r="D447">
        <v>0</v>
      </c>
      <c r="E447">
        <v>0</v>
      </c>
      <c r="F447">
        <v>0</v>
      </c>
      <c r="G447">
        <v>0</v>
      </c>
      <c r="H447">
        <v>1</v>
      </c>
      <c r="I447" t="s">
        <v>15</v>
      </c>
      <c r="J447">
        <v>1</v>
      </c>
      <c r="K447">
        <v>1</v>
      </c>
    </row>
    <row r="448" spans="1:11" x14ac:dyDescent="0.3">
      <c r="A448">
        <v>1005</v>
      </c>
      <c r="B448">
        <v>16666.666669999999</v>
      </c>
      <c r="C448" t="s">
        <v>14</v>
      </c>
      <c r="D448">
        <v>0</v>
      </c>
      <c r="E448">
        <v>1</v>
      </c>
      <c r="F448">
        <v>0</v>
      </c>
      <c r="G448">
        <v>0</v>
      </c>
      <c r="H448">
        <v>1</v>
      </c>
      <c r="I448" t="s">
        <v>15</v>
      </c>
      <c r="J448">
        <v>1</v>
      </c>
      <c r="K448">
        <v>1</v>
      </c>
    </row>
    <row r="449" spans="1:11" x14ac:dyDescent="0.3">
      <c r="A449">
        <v>1007</v>
      </c>
      <c r="B449">
        <v>50000</v>
      </c>
      <c r="C449" t="s">
        <v>14</v>
      </c>
      <c r="D449">
        <v>0</v>
      </c>
      <c r="E449">
        <v>0</v>
      </c>
      <c r="F449">
        <v>0</v>
      </c>
      <c r="G449">
        <v>0</v>
      </c>
      <c r="H449">
        <v>1</v>
      </c>
      <c r="I449" t="s">
        <v>15</v>
      </c>
      <c r="J449">
        <v>1</v>
      </c>
      <c r="K449">
        <v>1</v>
      </c>
    </row>
    <row r="450" spans="1:11" x14ac:dyDescent="0.3">
      <c r="A450">
        <v>1012</v>
      </c>
      <c r="B450">
        <v>60000</v>
      </c>
      <c r="C450" t="s">
        <v>14</v>
      </c>
      <c r="D450">
        <v>0</v>
      </c>
      <c r="E450">
        <v>1</v>
      </c>
      <c r="F450">
        <v>0</v>
      </c>
      <c r="G450">
        <v>0</v>
      </c>
      <c r="H450">
        <v>1</v>
      </c>
      <c r="I450" t="s">
        <v>15</v>
      </c>
      <c r="J450">
        <v>1</v>
      </c>
      <c r="K450">
        <v>1</v>
      </c>
    </row>
    <row r="451" spans="1:11" x14ac:dyDescent="0.3">
      <c r="A451">
        <v>1015</v>
      </c>
      <c r="B451">
        <v>16666.666669999999</v>
      </c>
      <c r="C451" t="s">
        <v>14</v>
      </c>
      <c r="D451">
        <v>0</v>
      </c>
      <c r="E451">
        <v>1</v>
      </c>
      <c r="F451">
        <v>0</v>
      </c>
      <c r="G451">
        <v>0</v>
      </c>
      <c r="H451">
        <v>1</v>
      </c>
      <c r="I451" t="s">
        <v>15</v>
      </c>
      <c r="J451">
        <v>1</v>
      </c>
      <c r="K451">
        <v>1</v>
      </c>
    </row>
    <row r="452" spans="1:11" x14ac:dyDescent="0.3">
      <c r="A452">
        <v>1016</v>
      </c>
      <c r="B452">
        <v>15384.615379999999</v>
      </c>
      <c r="C452" t="s">
        <v>14</v>
      </c>
      <c r="D452">
        <v>0</v>
      </c>
      <c r="E452">
        <v>0</v>
      </c>
      <c r="F452">
        <v>0</v>
      </c>
      <c r="G452">
        <v>0</v>
      </c>
      <c r="H452">
        <v>1</v>
      </c>
      <c r="I452" t="s">
        <v>15</v>
      </c>
      <c r="J452">
        <v>1</v>
      </c>
      <c r="K452">
        <v>0</v>
      </c>
    </row>
    <row r="453" spans="1:11" x14ac:dyDescent="0.3">
      <c r="A453">
        <v>1017</v>
      </c>
      <c r="B453">
        <v>61538.461539999997</v>
      </c>
      <c r="C453" t="s">
        <v>14</v>
      </c>
      <c r="D453">
        <v>0</v>
      </c>
      <c r="E453">
        <v>0</v>
      </c>
      <c r="F453">
        <v>0</v>
      </c>
      <c r="G453">
        <v>0</v>
      </c>
      <c r="H453">
        <v>1</v>
      </c>
      <c r="I453" t="s">
        <v>15</v>
      </c>
      <c r="J453">
        <v>1</v>
      </c>
      <c r="K453">
        <v>1</v>
      </c>
    </row>
    <row r="454" spans="1:11" x14ac:dyDescent="0.3">
      <c r="A454">
        <v>1018</v>
      </c>
      <c r="B454">
        <v>57142.85714</v>
      </c>
      <c r="C454" t="s">
        <v>14</v>
      </c>
      <c r="D454">
        <v>0</v>
      </c>
      <c r="E454">
        <v>0</v>
      </c>
      <c r="F454">
        <v>0</v>
      </c>
      <c r="G454">
        <v>0</v>
      </c>
      <c r="H454">
        <v>1</v>
      </c>
      <c r="I454" t="s">
        <v>15</v>
      </c>
      <c r="J454">
        <v>1</v>
      </c>
      <c r="K454">
        <v>0</v>
      </c>
    </row>
    <row r="455" spans="1:11" x14ac:dyDescent="0.3">
      <c r="A455">
        <v>1019</v>
      </c>
      <c r="B455">
        <v>18000</v>
      </c>
      <c r="C455" t="s">
        <v>14</v>
      </c>
      <c r="D455">
        <v>0</v>
      </c>
      <c r="E455">
        <v>0</v>
      </c>
      <c r="F455">
        <v>0</v>
      </c>
      <c r="G455">
        <v>0</v>
      </c>
      <c r="H455">
        <v>1</v>
      </c>
      <c r="I455" t="s">
        <v>15</v>
      </c>
      <c r="J455">
        <v>1</v>
      </c>
      <c r="K455">
        <v>1</v>
      </c>
    </row>
    <row r="456" spans="1:11" x14ac:dyDescent="0.3">
      <c r="A456">
        <v>1020</v>
      </c>
      <c r="B456">
        <v>16666.666669999999</v>
      </c>
      <c r="C456" t="s">
        <v>14</v>
      </c>
      <c r="D456">
        <v>0</v>
      </c>
      <c r="E456">
        <v>0</v>
      </c>
      <c r="F456">
        <v>0</v>
      </c>
      <c r="G456">
        <v>0</v>
      </c>
      <c r="H456">
        <v>1</v>
      </c>
      <c r="I456" t="s">
        <v>15</v>
      </c>
      <c r="J456">
        <v>1</v>
      </c>
      <c r="K456">
        <v>1</v>
      </c>
    </row>
    <row r="457" spans="1:11" x14ac:dyDescent="0.3">
      <c r="A457">
        <v>1021</v>
      </c>
      <c r="B457">
        <v>50000</v>
      </c>
      <c r="C457" t="s">
        <v>14</v>
      </c>
      <c r="D457">
        <v>0</v>
      </c>
      <c r="E457">
        <v>0</v>
      </c>
      <c r="F457">
        <v>0</v>
      </c>
      <c r="G457">
        <v>0</v>
      </c>
      <c r="H457">
        <v>1</v>
      </c>
      <c r="I457" t="s">
        <v>15</v>
      </c>
      <c r="J457">
        <v>1</v>
      </c>
      <c r="K457">
        <v>1</v>
      </c>
    </row>
    <row r="458" spans="1:11" x14ac:dyDescent="0.3">
      <c r="A458">
        <v>1022</v>
      </c>
      <c r="B458">
        <v>8333.3333330000005</v>
      </c>
      <c r="C458" t="s">
        <v>14</v>
      </c>
      <c r="D458">
        <v>0</v>
      </c>
      <c r="E458">
        <v>0</v>
      </c>
      <c r="F458">
        <v>0</v>
      </c>
      <c r="G458">
        <v>0</v>
      </c>
      <c r="H458">
        <v>1</v>
      </c>
      <c r="I458" t="s">
        <v>15</v>
      </c>
      <c r="J458">
        <v>1</v>
      </c>
      <c r="K458">
        <v>1</v>
      </c>
    </row>
    <row r="459" spans="1:11" x14ac:dyDescent="0.3">
      <c r="A459">
        <v>1027</v>
      </c>
      <c r="B459">
        <v>-41666.666669999999</v>
      </c>
      <c r="C459" t="s">
        <v>14</v>
      </c>
      <c r="D459">
        <v>0</v>
      </c>
      <c r="E459">
        <v>0</v>
      </c>
      <c r="F459">
        <v>0</v>
      </c>
      <c r="G459">
        <v>0</v>
      </c>
      <c r="H459">
        <v>1</v>
      </c>
      <c r="I459" t="s">
        <v>15</v>
      </c>
      <c r="J459">
        <v>1</v>
      </c>
      <c r="K459">
        <v>1</v>
      </c>
    </row>
    <row r="460" spans="1:11" x14ac:dyDescent="0.3">
      <c r="A460">
        <v>1036</v>
      </c>
      <c r="B460">
        <v>100000</v>
      </c>
      <c r="C460" t="s">
        <v>14</v>
      </c>
      <c r="D460">
        <v>0</v>
      </c>
      <c r="E460">
        <v>0</v>
      </c>
      <c r="F460">
        <v>0</v>
      </c>
      <c r="G460">
        <v>0</v>
      </c>
      <c r="H460">
        <v>1</v>
      </c>
      <c r="I460" t="s">
        <v>15</v>
      </c>
      <c r="J460">
        <v>1</v>
      </c>
      <c r="K460">
        <v>1</v>
      </c>
    </row>
    <row r="461" spans="1:11" x14ac:dyDescent="0.3">
      <c r="A461">
        <v>1037</v>
      </c>
      <c r="B461">
        <v>-45454.545449999998</v>
      </c>
      <c r="C461" t="s">
        <v>14</v>
      </c>
      <c r="D461">
        <v>0</v>
      </c>
      <c r="E461">
        <v>0</v>
      </c>
      <c r="F461">
        <v>0</v>
      </c>
      <c r="G461">
        <v>0</v>
      </c>
      <c r="H461">
        <v>1</v>
      </c>
      <c r="I461" t="s">
        <v>15</v>
      </c>
      <c r="J461">
        <v>1</v>
      </c>
      <c r="K461">
        <v>1</v>
      </c>
    </row>
    <row r="462" spans="1:11" x14ac:dyDescent="0.3">
      <c r="A462">
        <v>1041</v>
      </c>
      <c r="B462">
        <v>45454.545449999998</v>
      </c>
      <c r="C462" t="s">
        <v>14</v>
      </c>
      <c r="D462">
        <v>0</v>
      </c>
      <c r="E462">
        <v>0</v>
      </c>
      <c r="F462">
        <v>0</v>
      </c>
      <c r="G462">
        <v>0</v>
      </c>
      <c r="H462">
        <v>1</v>
      </c>
      <c r="I462" t="s">
        <v>15</v>
      </c>
      <c r="J462">
        <v>1</v>
      </c>
      <c r="K462">
        <v>0</v>
      </c>
    </row>
    <row r="463" spans="1:11" x14ac:dyDescent="0.3">
      <c r="A463">
        <v>1042</v>
      </c>
      <c r="B463">
        <v>8333.3333330000005</v>
      </c>
      <c r="C463" t="s">
        <v>14</v>
      </c>
      <c r="D463">
        <v>0</v>
      </c>
      <c r="E463">
        <v>0</v>
      </c>
      <c r="F463">
        <v>0</v>
      </c>
      <c r="G463">
        <v>0</v>
      </c>
      <c r="H463">
        <v>1</v>
      </c>
      <c r="I463" t="s">
        <v>15</v>
      </c>
      <c r="J463">
        <v>1</v>
      </c>
      <c r="K463">
        <v>1</v>
      </c>
    </row>
    <row r="464" spans="1:11" x14ac:dyDescent="0.3">
      <c r="A464">
        <v>1043</v>
      </c>
      <c r="B464">
        <v>0</v>
      </c>
      <c r="C464" t="s">
        <v>14</v>
      </c>
      <c r="D464">
        <v>0</v>
      </c>
      <c r="E464">
        <v>1</v>
      </c>
      <c r="F464">
        <v>0</v>
      </c>
      <c r="G464">
        <v>0</v>
      </c>
      <c r="H464">
        <v>1</v>
      </c>
      <c r="I464" t="s">
        <v>15</v>
      </c>
      <c r="J464">
        <v>1</v>
      </c>
      <c r="K464">
        <v>1</v>
      </c>
    </row>
    <row r="465" spans="1:11" x14ac:dyDescent="0.3">
      <c r="A465">
        <v>1046</v>
      </c>
      <c r="B465">
        <v>75000</v>
      </c>
      <c r="C465" t="s">
        <v>14</v>
      </c>
      <c r="D465">
        <v>0</v>
      </c>
      <c r="E465">
        <v>0</v>
      </c>
      <c r="F465">
        <v>0</v>
      </c>
      <c r="G465">
        <v>0</v>
      </c>
      <c r="H465">
        <v>1</v>
      </c>
      <c r="I465" t="s">
        <v>15</v>
      </c>
      <c r="J465">
        <v>1</v>
      </c>
      <c r="K465">
        <v>1</v>
      </c>
    </row>
    <row r="466" spans="1:11" x14ac:dyDescent="0.3">
      <c r="A466">
        <v>1047</v>
      </c>
      <c r="B466">
        <v>20000</v>
      </c>
      <c r="C466" t="s">
        <v>14</v>
      </c>
      <c r="D466">
        <v>0</v>
      </c>
      <c r="E466">
        <v>1</v>
      </c>
      <c r="F466">
        <v>0</v>
      </c>
      <c r="G466">
        <v>0</v>
      </c>
      <c r="H466">
        <v>1</v>
      </c>
      <c r="I466" t="s">
        <v>15</v>
      </c>
      <c r="J466">
        <v>1</v>
      </c>
      <c r="K466">
        <v>1</v>
      </c>
    </row>
    <row r="467" spans="1:11" x14ac:dyDescent="0.3">
      <c r="A467">
        <v>1048</v>
      </c>
      <c r="B467">
        <v>95238.095239999995</v>
      </c>
      <c r="C467" t="s">
        <v>14</v>
      </c>
      <c r="D467">
        <v>0</v>
      </c>
      <c r="E467">
        <v>0</v>
      </c>
      <c r="F467">
        <v>0</v>
      </c>
      <c r="G467">
        <v>0</v>
      </c>
      <c r="H467">
        <v>1</v>
      </c>
      <c r="I467" t="s">
        <v>15</v>
      </c>
      <c r="J467">
        <v>1</v>
      </c>
      <c r="K467">
        <v>1</v>
      </c>
    </row>
    <row r="468" spans="1:11" x14ac:dyDescent="0.3">
      <c r="A468">
        <v>1049</v>
      </c>
      <c r="B468">
        <v>100000</v>
      </c>
      <c r="C468" t="s">
        <v>14</v>
      </c>
      <c r="D468">
        <v>0</v>
      </c>
      <c r="E468">
        <v>0</v>
      </c>
      <c r="F468">
        <v>0</v>
      </c>
      <c r="G468">
        <v>0</v>
      </c>
      <c r="H468">
        <v>1</v>
      </c>
      <c r="I468" t="s">
        <v>15</v>
      </c>
      <c r="J468">
        <v>1</v>
      </c>
      <c r="K468">
        <v>1</v>
      </c>
    </row>
    <row r="469" spans="1:11" x14ac:dyDescent="0.3">
      <c r="A469">
        <v>1050</v>
      </c>
      <c r="B469">
        <v>-59333.333330000001</v>
      </c>
      <c r="C469" t="s">
        <v>14</v>
      </c>
      <c r="D469">
        <v>0</v>
      </c>
      <c r="E469">
        <v>0</v>
      </c>
      <c r="F469">
        <v>0</v>
      </c>
      <c r="G469">
        <v>0</v>
      </c>
      <c r="H469">
        <v>1</v>
      </c>
      <c r="I469" t="s">
        <v>15</v>
      </c>
      <c r="J469">
        <v>1</v>
      </c>
      <c r="K469">
        <v>1</v>
      </c>
    </row>
    <row r="470" spans="1:11" x14ac:dyDescent="0.3">
      <c r="A470">
        <v>1052</v>
      </c>
      <c r="B470">
        <v>8333.3333330000005</v>
      </c>
      <c r="C470" t="s">
        <v>14</v>
      </c>
      <c r="D470">
        <v>0</v>
      </c>
      <c r="E470">
        <v>0</v>
      </c>
      <c r="F470">
        <v>0</v>
      </c>
      <c r="G470">
        <v>0</v>
      </c>
      <c r="H470">
        <v>1</v>
      </c>
      <c r="I470" t="s">
        <v>15</v>
      </c>
      <c r="J470">
        <v>1</v>
      </c>
      <c r="K470">
        <v>1</v>
      </c>
    </row>
    <row r="471" spans="1:11" x14ac:dyDescent="0.3">
      <c r="A471">
        <v>1053</v>
      </c>
      <c r="B471">
        <v>-2500</v>
      </c>
      <c r="C471" t="s">
        <v>14</v>
      </c>
      <c r="D471">
        <v>0</v>
      </c>
      <c r="E471">
        <v>0</v>
      </c>
      <c r="F471">
        <v>0</v>
      </c>
      <c r="G471">
        <v>0</v>
      </c>
      <c r="H471">
        <v>1</v>
      </c>
      <c r="I471" t="s">
        <v>15</v>
      </c>
      <c r="J471">
        <v>1</v>
      </c>
      <c r="K471">
        <v>1</v>
      </c>
    </row>
    <row r="472" spans="1:11" x14ac:dyDescent="0.3">
      <c r="A472">
        <v>1054</v>
      </c>
      <c r="B472">
        <v>-33333.333330000001</v>
      </c>
      <c r="C472" t="s">
        <v>14</v>
      </c>
      <c r="D472">
        <v>0</v>
      </c>
      <c r="E472">
        <v>1</v>
      </c>
      <c r="F472">
        <v>0</v>
      </c>
      <c r="G472">
        <v>0</v>
      </c>
      <c r="H472">
        <v>1</v>
      </c>
      <c r="I472" t="s">
        <v>15</v>
      </c>
      <c r="J472">
        <v>1</v>
      </c>
      <c r="K472">
        <v>1</v>
      </c>
    </row>
    <row r="473" spans="1:11" x14ac:dyDescent="0.3">
      <c r="A473">
        <v>1055</v>
      </c>
      <c r="B473">
        <v>100000</v>
      </c>
      <c r="C473" t="s">
        <v>14</v>
      </c>
      <c r="D473">
        <v>0</v>
      </c>
      <c r="E473">
        <v>0</v>
      </c>
      <c r="F473">
        <v>0</v>
      </c>
      <c r="G473">
        <v>0</v>
      </c>
      <c r="H473">
        <v>1</v>
      </c>
      <c r="I473" t="s">
        <v>15</v>
      </c>
      <c r="J473">
        <v>1</v>
      </c>
      <c r="K473">
        <v>1</v>
      </c>
    </row>
    <row r="474" spans="1:11" x14ac:dyDescent="0.3">
      <c r="A474">
        <v>1061</v>
      </c>
      <c r="B474">
        <v>40000</v>
      </c>
      <c r="C474" t="s">
        <v>14</v>
      </c>
      <c r="D474">
        <v>0</v>
      </c>
      <c r="E474">
        <v>0</v>
      </c>
      <c r="F474">
        <v>0</v>
      </c>
      <c r="G474">
        <v>0</v>
      </c>
      <c r="H474">
        <v>1</v>
      </c>
      <c r="I474" t="s">
        <v>15</v>
      </c>
      <c r="J474">
        <v>0</v>
      </c>
      <c r="K474">
        <v>1</v>
      </c>
    </row>
    <row r="475" spans="1:11" x14ac:dyDescent="0.3">
      <c r="A475">
        <v>1064</v>
      </c>
      <c r="B475">
        <v>20000</v>
      </c>
      <c r="C475" t="s">
        <v>14</v>
      </c>
      <c r="D475">
        <v>0</v>
      </c>
      <c r="E475">
        <v>0</v>
      </c>
      <c r="F475">
        <v>0</v>
      </c>
      <c r="G475">
        <v>0</v>
      </c>
      <c r="H475">
        <v>1</v>
      </c>
      <c r="I475" t="s">
        <v>15</v>
      </c>
      <c r="J475">
        <v>0</v>
      </c>
      <c r="K475">
        <v>1</v>
      </c>
    </row>
    <row r="476" spans="1:11" x14ac:dyDescent="0.3">
      <c r="A476">
        <v>1065</v>
      </c>
      <c r="B476">
        <v>83333.333329999994</v>
      </c>
      <c r="C476" t="s">
        <v>14</v>
      </c>
      <c r="D476">
        <v>0</v>
      </c>
      <c r="E476">
        <v>0</v>
      </c>
      <c r="F476">
        <v>0</v>
      </c>
      <c r="G476">
        <v>0</v>
      </c>
      <c r="H476">
        <v>1</v>
      </c>
      <c r="I476" t="s">
        <v>15</v>
      </c>
      <c r="J476">
        <v>1</v>
      </c>
      <c r="K476">
        <v>0</v>
      </c>
    </row>
    <row r="477" spans="1:11" x14ac:dyDescent="0.3">
      <c r="A477">
        <v>1067</v>
      </c>
      <c r="B477">
        <v>75000</v>
      </c>
      <c r="C477" t="s">
        <v>14</v>
      </c>
      <c r="D477">
        <v>0</v>
      </c>
      <c r="E477">
        <v>1</v>
      </c>
      <c r="F477">
        <v>0</v>
      </c>
      <c r="G477">
        <v>0</v>
      </c>
      <c r="H477">
        <v>1</v>
      </c>
      <c r="I477" t="s">
        <v>15</v>
      </c>
      <c r="J477">
        <v>0</v>
      </c>
      <c r="K477">
        <v>1</v>
      </c>
    </row>
    <row r="478" spans="1:11" x14ac:dyDescent="0.3">
      <c r="A478">
        <v>1069</v>
      </c>
      <c r="B478">
        <v>16666.666669999999</v>
      </c>
      <c r="C478" t="s">
        <v>14</v>
      </c>
      <c r="D478">
        <v>0</v>
      </c>
      <c r="E478">
        <v>0</v>
      </c>
      <c r="F478">
        <v>0</v>
      </c>
      <c r="G478">
        <v>0</v>
      </c>
      <c r="H478">
        <v>1</v>
      </c>
      <c r="I478" t="s">
        <v>15</v>
      </c>
      <c r="J478">
        <v>1</v>
      </c>
      <c r="K478">
        <v>1</v>
      </c>
    </row>
    <row r="479" spans="1:11" x14ac:dyDescent="0.3">
      <c r="A479">
        <v>1070</v>
      </c>
      <c r="B479">
        <v>-9615.3846150000008</v>
      </c>
      <c r="C479" t="s">
        <v>14</v>
      </c>
      <c r="D479">
        <v>0</v>
      </c>
      <c r="E479">
        <v>1</v>
      </c>
      <c r="F479">
        <v>0</v>
      </c>
      <c r="G479">
        <v>0</v>
      </c>
      <c r="H479">
        <v>1</v>
      </c>
      <c r="I479" t="s">
        <v>15</v>
      </c>
      <c r="J479">
        <v>0</v>
      </c>
      <c r="K479">
        <v>1</v>
      </c>
    </row>
    <row r="480" spans="1:11" x14ac:dyDescent="0.3">
      <c r="A480">
        <v>1071</v>
      </c>
      <c r="B480">
        <v>12500</v>
      </c>
      <c r="C480" t="s">
        <v>14</v>
      </c>
      <c r="D480">
        <v>0</v>
      </c>
      <c r="E480">
        <v>0</v>
      </c>
      <c r="F480">
        <v>0</v>
      </c>
      <c r="G480">
        <v>0</v>
      </c>
      <c r="H480">
        <v>1</v>
      </c>
      <c r="I480" t="s">
        <v>15</v>
      </c>
      <c r="J480">
        <v>0</v>
      </c>
      <c r="K480">
        <v>1</v>
      </c>
    </row>
    <row r="481" spans="1:11" x14ac:dyDescent="0.3">
      <c r="A481">
        <v>1072</v>
      </c>
      <c r="B481">
        <v>15000</v>
      </c>
      <c r="C481" t="s">
        <v>14</v>
      </c>
      <c r="D481">
        <v>0</v>
      </c>
      <c r="E481">
        <v>0</v>
      </c>
      <c r="F481">
        <v>0</v>
      </c>
      <c r="G481">
        <v>0</v>
      </c>
      <c r="H481">
        <v>1</v>
      </c>
      <c r="I481" t="s">
        <v>15</v>
      </c>
      <c r="J481">
        <v>1</v>
      </c>
      <c r="K481">
        <v>1</v>
      </c>
    </row>
    <row r="482" spans="1:11" x14ac:dyDescent="0.3">
      <c r="A482">
        <v>1073</v>
      </c>
      <c r="B482">
        <v>71428.571429999996</v>
      </c>
      <c r="C482" t="s">
        <v>14</v>
      </c>
      <c r="D482">
        <v>0</v>
      </c>
      <c r="E482">
        <v>1</v>
      </c>
      <c r="F482">
        <v>0</v>
      </c>
      <c r="G482">
        <v>0</v>
      </c>
      <c r="H482">
        <v>1</v>
      </c>
      <c r="I482" t="s">
        <v>15</v>
      </c>
      <c r="J482">
        <v>1</v>
      </c>
      <c r="K482">
        <v>1</v>
      </c>
    </row>
    <row r="483" spans="1:11" x14ac:dyDescent="0.3">
      <c r="A483">
        <v>1076</v>
      </c>
      <c r="B483">
        <v>0</v>
      </c>
      <c r="C483" t="s">
        <v>12</v>
      </c>
      <c r="D483">
        <v>1</v>
      </c>
      <c r="E483">
        <v>1</v>
      </c>
      <c r="F483">
        <v>0</v>
      </c>
      <c r="G483">
        <v>0</v>
      </c>
      <c r="H483">
        <v>1</v>
      </c>
      <c r="I483" t="s">
        <v>15</v>
      </c>
      <c r="J483">
        <v>1</v>
      </c>
      <c r="K483">
        <v>1</v>
      </c>
    </row>
    <row r="484" spans="1:11" x14ac:dyDescent="0.3">
      <c r="A484">
        <v>1077</v>
      </c>
      <c r="B484">
        <v>60000</v>
      </c>
      <c r="C484" t="s">
        <v>14</v>
      </c>
      <c r="D484">
        <v>0</v>
      </c>
      <c r="E484">
        <v>0</v>
      </c>
      <c r="F484">
        <v>0</v>
      </c>
      <c r="G484">
        <v>0</v>
      </c>
      <c r="H484">
        <v>1</v>
      </c>
      <c r="I484" t="s">
        <v>15</v>
      </c>
      <c r="J484">
        <v>1</v>
      </c>
      <c r="K484">
        <v>1</v>
      </c>
    </row>
    <row r="485" spans="1:11" x14ac:dyDescent="0.3">
      <c r="A485">
        <v>1078</v>
      </c>
      <c r="B485">
        <v>108333.3333</v>
      </c>
      <c r="C485" t="s">
        <v>14</v>
      </c>
      <c r="D485">
        <v>0</v>
      </c>
      <c r="E485">
        <v>0</v>
      </c>
      <c r="F485">
        <v>0</v>
      </c>
      <c r="G485">
        <v>0</v>
      </c>
      <c r="H485">
        <v>1</v>
      </c>
      <c r="I485" t="s">
        <v>15</v>
      </c>
      <c r="J485">
        <v>1</v>
      </c>
      <c r="K485">
        <v>1</v>
      </c>
    </row>
    <row r="486" spans="1:11" x14ac:dyDescent="0.3">
      <c r="A486">
        <v>1080</v>
      </c>
      <c r="B486">
        <v>0</v>
      </c>
      <c r="C486" t="s">
        <v>14</v>
      </c>
      <c r="D486">
        <v>0</v>
      </c>
      <c r="E486">
        <v>0</v>
      </c>
      <c r="F486">
        <v>0</v>
      </c>
      <c r="G486">
        <v>0</v>
      </c>
      <c r="H486">
        <v>1</v>
      </c>
      <c r="I486" t="s">
        <v>15</v>
      </c>
      <c r="J486">
        <v>1</v>
      </c>
      <c r="K486">
        <v>1</v>
      </c>
    </row>
    <row r="487" spans="1:11" x14ac:dyDescent="0.3">
      <c r="A487">
        <v>1082</v>
      </c>
      <c r="B487">
        <v>20000</v>
      </c>
      <c r="C487" t="s">
        <v>14</v>
      </c>
      <c r="D487">
        <v>0</v>
      </c>
      <c r="E487">
        <v>0</v>
      </c>
      <c r="F487">
        <v>0</v>
      </c>
      <c r="G487">
        <v>0</v>
      </c>
      <c r="H487">
        <v>1</v>
      </c>
      <c r="I487" t="s">
        <v>15</v>
      </c>
      <c r="J487">
        <v>1</v>
      </c>
      <c r="K487">
        <v>1</v>
      </c>
    </row>
    <row r="488" spans="1:11" x14ac:dyDescent="0.3">
      <c r="A488">
        <v>1084</v>
      </c>
      <c r="B488">
        <v>50000</v>
      </c>
      <c r="C488" t="s">
        <v>14</v>
      </c>
      <c r="D488">
        <v>0</v>
      </c>
      <c r="E488">
        <v>0</v>
      </c>
      <c r="F488">
        <v>0</v>
      </c>
      <c r="G488">
        <v>0</v>
      </c>
      <c r="H488">
        <v>1</v>
      </c>
      <c r="I488" t="s">
        <v>15</v>
      </c>
      <c r="J488">
        <v>1</v>
      </c>
      <c r="K488">
        <v>1</v>
      </c>
    </row>
    <row r="489" spans="1:11" x14ac:dyDescent="0.3">
      <c r="A489">
        <v>1087</v>
      </c>
      <c r="B489">
        <v>40000</v>
      </c>
      <c r="C489" t="s">
        <v>14</v>
      </c>
      <c r="D489">
        <v>0</v>
      </c>
      <c r="E489">
        <v>0</v>
      </c>
      <c r="F489">
        <v>0</v>
      </c>
      <c r="G489">
        <v>0</v>
      </c>
      <c r="H489">
        <v>1</v>
      </c>
      <c r="I489" t="s">
        <v>15</v>
      </c>
      <c r="J489">
        <v>1</v>
      </c>
      <c r="K489">
        <v>1</v>
      </c>
    </row>
    <row r="490" spans="1:11" x14ac:dyDescent="0.3">
      <c r="A490">
        <v>1089</v>
      </c>
      <c r="B490">
        <v>83333.333329999994</v>
      </c>
      <c r="C490" t="s">
        <v>14</v>
      </c>
      <c r="D490">
        <v>0</v>
      </c>
      <c r="E490">
        <v>0</v>
      </c>
      <c r="F490">
        <v>0</v>
      </c>
      <c r="G490">
        <v>0</v>
      </c>
      <c r="H490">
        <v>1</v>
      </c>
      <c r="I490" t="s">
        <v>15</v>
      </c>
      <c r="J490">
        <v>1</v>
      </c>
      <c r="K490">
        <v>1</v>
      </c>
    </row>
    <row r="491" spans="1:11" x14ac:dyDescent="0.3">
      <c r="A491">
        <v>1095</v>
      </c>
      <c r="B491">
        <v>20000</v>
      </c>
      <c r="C491" t="s">
        <v>14</v>
      </c>
      <c r="D491">
        <v>0</v>
      </c>
      <c r="E491">
        <v>0</v>
      </c>
      <c r="F491">
        <v>0</v>
      </c>
      <c r="G491">
        <v>0</v>
      </c>
      <c r="H491">
        <v>1</v>
      </c>
      <c r="I491" t="s">
        <v>15</v>
      </c>
      <c r="J491">
        <v>0</v>
      </c>
      <c r="K491">
        <v>1</v>
      </c>
    </row>
    <row r="492" spans="1:11" x14ac:dyDescent="0.3">
      <c r="A492">
        <v>1097</v>
      </c>
      <c r="B492">
        <v>3278.688525</v>
      </c>
      <c r="C492" t="s">
        <v>14</v>
      </c>
      <c r="D492">
        <v>0</v>
      </c>
      <c r="E492">
        <v>0</v>
      </c>
      <c r="F492">
        <v>0</v>
      </c>
      <c r="G492">
        <v>0</v>
      </c>
      <c r="H492">
        <v>1</v>
      </c>
      <c r="I492" t="s">
        <v>15</v>
      </c>
      <c r="J492">
        <v>1</v>
      </c>
      <c r="K492">
        <v>1</v>
      </c>
    </row>
    <row r="493" spans="1:11" x14ac:dyDescent="0.3">
      <c r="A493">
        <v>1098</v>
      </c>
      <c r="B493">
        <v>83333.333329999994</v>
      </c>
      <c r="C493" t="s">
        <v>14</v>
      </c>
      <c r="D493">
        <v>0</v>
      </c>
      <c r="E493">
        <v>1</v>
      </c>
      <c r="F493">
        <v>0</v>
      </c>
      <c r="G493">
        <v>0</v>
      </c>
      <c r="H493">
        <v>1</v>
      </c>
      <c r="I493" t="s">
        <v>15</v>
      </c>
      <c r="J493">
        <v>1</v>
      </c>
      <c r="K493">
        <v>1</v>
      </c>
    </row>
    <row r="494" spans="1:11" x14ac:dyDescent="0.3">
      <c r="A494">
        <v>1099</v>
      </c>
      <c r="B494">
        <v>16666.666669999999</v>
      </c>
      <c r="C494" t="s">
        <v>14</v>
      </c>
      <c r="D494">
        <v>0</v>
      </c>
      <c r="E494">
        <v>0</v>
      </c>
      <c r="F494">
        <v>0</v>
      </c>
      <c r="G494">
        <v>0</v>
      </c>
      <c r="H494">
        <v>1</v>
      </c>
      <c r="I494" t="s">
        <v>15</v>
      </c>
      <c r="J494">
        <v>0</v>
      </c>
      <c r="K494">
        <v>1</v>
      </c>
    </row>
    <row r="495" spans="1:11" x14ac:dyDescent="0.3">
      <c r="A495">
        <v>1100</v>
      </c>
      <c r="B495">
        <v>66666.666670000006</v>
      </c>
      <c r="C495" t="s">
        <v>14</v>
      </c>
      <c r="D495">
        <v>0</v>
      </c>
      <c r="E495">
        <v>0</v>
      </c>
      <c r="F495">
        <v>0</v>
      </c>
      <c r="G495">
        <v>0</v>
      </c>
      <c r="H495">
        <v>1</v>
      </c>
      <c r="I495" t="s">
        <v>15</v>
      </c>
      <c r="J495">
        <v>1</v>
      </c>
      <c r="K495">
        <v>1</v>
      </c>
    </row>
    <row r="496" spans="1:11" x14ac:dyDescent="0.3">
      <c r="A496">
        <v>1101</v>
      </c>
      <c r="B496">
        <v>31250</v>
      </c>
      <c r="C496" t="s">
        <v>14</v>
      </c>
      <c r="D496">
        <v>0</v>
      </c>
      <c r="E496">
        <v>0</v>
      </c>
      <c r="F496">
        <v>0</v>
      </c>
      <c r="G496">
        <v>0</v>
      </c>
      <c r="H496">
        <v>1</v>
      </c>
      <c r="I496" t="s">
        <v>15</v>
      </c>
      <c r="J496">
        <v>1</v>
      </c>
      <c r="K496">
        <v>1</v>
      </c>
    </row>
    <row r="497" spans="1:11" x14ac:dyDescent="0.3">
      <c r="A497">
        <v>1104</v>
      </c>
      <c r="B497">
        <v>97087.378639999995</v>
      </c>
      <c r="C497" t="s">
        <v>14</v>
      </c>
      <c r="D497">
        <v>0</v>
      </c>
      <c r="E497">
        <v>0</v>
      </c>
      <c r="F497">
        <v>0</v>
      </c>
      <c r="G497">
        <v>0</v>
      </c>
      <c r="H497">
        <v>1</v>
      </c>
      <c r="I497" t="s">
        <v>15</v>
      </c>
      <c r="J497">
        <v>1</v>
      </c>
      <c r="K497">
        <v>1</v>
      </c>
    </row>
    <row r="498" spans="1:11" x14ac:dyDescent="0.3">
      <c r="A498">
        <v>1107</v>
      </c>
      <c r="B498">
        <v>30000</v>
      </c>
      <c r="C498" t="s">
        <v>12</v>
      </c>
      <c r="D498">
        <v>1</v>
      </c>
      <c r="E498">
        <v>0</v>
      </c>
      <c r="F498">
        <v>0</v>
      </c>
      <c r="G498">
        <v>0</v>
      </c>
      <c r="H498">
        <v>1</v>
      </c>
      <c r="I498" t="s">
        <v>15</v>
      </c>
      <c r="J498">
        <v>1</v>
      </c>
      <c r="K498">
        <v>1</v>
      </c>
    </row>
    <row r="499" spans="1:11" x14ac:dyDescent="0.3">
      <c r="A499">
        <v>1108</v>
      </c>
      <c r="B499">
        <v>38000</v>
      </c>
      <c r="C499" t="s">
        <v>14</v>
      </c>
      <c r="D499">
        <v>0</v>
      </c>
      <c r="E499">
        <v>1</v>
      </c>
      <c r="F499">
        <v>0</v>
      </c>
      <c r="G499">
        <v>0</v>
      </c>
      <c r="H499">
        <v>1</v>
      </c>
      <c r="I499" t="s">
        <v>15</v>
      </c>
      <c r="J499">
        <v>1</v>
      </c>
      <c r="K499">
        <v>1</v>
      </c>
    </row>
    <row r="500" spans="1:11" x14ac:dyDescent="0.3">
      <c r="A500">
        <v>1109</v>
      </c>
      <c r="B500">
        <v>150000</v>
      </c>
      <c r="C500" t="s">
        <v>14</v>
      </c>
      <c r="D500">
        <v>0</v>
      </c>
      <c r="E500">
        <v>0</v>
      </c>
      <c r="F500">
        <v>0</v>
      </c>
      <c r="G500">
        <v>0</v>
      </c>
      <c r="H500">
        <v>1</v>
      </c>
      <c r="I500" t="s">
        <v>15</v>
      </c>
      <c r="J500">
        <v>1</v>
      </c>
      <c r="K500">
        <v>1</v>
      </c>
    </row>
    <row r="501" spans="1:11" x14ac:dyDescent="0.3">
      <c r="A501">
        <v>1110</v>
      </c>
      <c r="B501">
        <v>93750</v>
      </c>
      <c r="C501" t="s">
        <v>14</v>
      </c>
      <c r="D501">
        <v>0</v>
      </c>
      <c r="E501">
        <v>1</v>
      </c>
      <c r="F501">
        <v>0</v>
      </c>
      <c r="G501">
        <v>0</v>
      </c>
      <c r="H501">
        <v>1</v>
      </c>
      <c r="I501" t="s">
        <v>15</v>
      </c>
      <c r="J501">
        <v>1</v>
      </c>
      <c r="K501">
        <v>1</v>
      </c>
    </row>
    <row r="502" spans="1:11" x14ac:dyDescent="0.3">
      <c r="A502">
        <v>1113</v>
      </c>
      <c r="B502">
        <v>150000</v>
      </c>
      <c r="C502" t="s">
        <v>14</v>
      </c>
      <c r="D502">
        <v>0</v>
      </c>
      <c r="E502">
        <v>0</v>
      </c>
      <c r="F502">
        <v>0</v>
      </c>
      <c r="G502">
        <v>0</v>
      </c>
      <c r="H502">
        <v>1</v>
      </c>
      <c r="I502" t="s">
        <v>15</v>
      </c>
      <c r="J502">
        <v>1</v>
      </c>
      <c r="K502">
        <v>1</v>
      </c>
    </row>
    <row r="503" spans="1:11" x14ac:dyDescent="0.3">
      <c r="A503">
        <v>1114</v>
      </c>
      <c r="B503">
        <v>40000</v>
      </c>
      <c r="C503" t="s">
        <v>14</v>
      </c>
      <c r="D503">
        <v>0</v>
      </c>
      <c r="E503">
        <v>0</v>
      </c>
      <c r="F503">
        <v>0</v>
      </c>
      <c r="G503">
        <v>0</v>
      </c>
      <c r="H503">
        <v>1</v>
      </c>
      <c r="I503" t="s">
        <v>15</v>
      </c>
      <c r="J503">
        <v>1</v>
      </c>
      <c r="K503">
        <v>1</v>
      </c>
    </row>
    <row r="504" spans="1:11" x14ac:dyDescent="0.3">
      <c r="A504">
        <v>1115</v>
      </c>
      <c r="B504">
        <v>0</v>
      </c>
      <c r="C504" t="s">
        <v>14</v>
      </c>
      <c r="D504">
        <v>0</v>
      </c>
      <c r="E504">
        <v>0</v>
      </c>
      <c r="F504">
        <v>0</v>
      </c>
      <c r="G504">
        <v>0</v>
      </c>
      <c r="H504">
        <v>1</v>
      </c>
      <c r="I504" t="s">
        <v>15</v>
      </c>
      <c r="J504">
        <v>1</v>
      </c>
      <c r="K504">
        <v>1</v>
      </c>
    </row>
    <row r="505" spans="1:11" x14ac:dyDescent="0.3">
      <c r="A505">
        <v>1116</v>
      </c>
      <c r="B505">
        <v>93750</v>
      </c>
      <c r="C505" t="s">
        <v>14</v>
      </c>
      <c r="D505">
        <v>0</v>
      </c>
      <c r="E505">
        <v>0</v>
      </c>
      <c r="F505">
        <v>0</v>
      </c>
      <c r="G505">
        <v>0</v>
      </c>
      <c r="H505">
        <v>1</v>
      </c>
      <c r="I505" t="s">
        <v>15</v>
      </c>
      <c r="J505">
        <v>0</v>
      </c>
      <c r="K505">
        <v>1</v>
      </c>
    </row>
    <row r="506" spans="1:11" x14ac:dyDescent="0.3">
      <c r="A506">
        <v>1117</v>
      </c>
      <c r="B506">
        <v>42857.14286</v>
      </c>
      <c r="C506" t="s">
        <v>14</v>
      </c>
      <c r="D506">
        <v>0</v>
      </c>
      <c r="E506">
        <v>0</v>
      </c>
      <c r="F506">
        <v>0</v>
      </c>
      <c r="G506">
        <v>0</v>
      </c>
      <c r="H506">
        <v>1</v>
      </c>
      <c r="I506" t="s">
        <v>15</v>
      </c>
      <c r="J506">
        <v>1</v>
      </c>
      <c r="K506">
        <v>1</v>
      </c>
    </row>
    <row r="507" spans="1:11" x14ac:dyDescent="0.3">
      <c r="A507">
        <v>1120</v>
      </c>
      <c r="B507">
        <v>5000</v>
      </c>
      <c r="C507" t="s">
        <v>14</v>
      </c>
      <c r="D507">
        <v>0</v>
      </c>
      <c r="E507">
        <v>0</v>
      </c>
      <c r="F507">
        <v>0</v>
      </c>
      <c r="G507">
        <v>0</v>
      </c>
      <c r="H507">
        <v>1</v>
      </c>
      <c r="I507" t="s">
        <v>15</v>
      </c>
      <c r="J507">
        <v>1</v>
      </c>
      <c r="K507">
        <v>0</v>
      </c>
    </row>
    <row r="508" spans="1:11" x14ac:dyDescent="0.3">
      <c r="A508">
        <v>1121</v>
      </c>
      <c r="B508">
        <v>12500</v>
      </c>
      <c r="C508" t="s">
        <v>14</v>
      </c>
      <c r="D508">
        <v>0</v>
      </c>
      <c r="E508">
        <v>0</v>
      </c>
      <c r="F508">
        <v>0</v>
      </c>
      <c r="G508">
        <v>0</v>
      </c>
      <c r="H508">
        <v>1</v>
      </c>
      <c r="I508" t="s">
        <v>15</v>
      </c>
      <c r="J508">
        <v>1</v>
      </c>
      <c r="K508">
        <v>1</v>
      </c>
    </row>
    <row r="509" spans="1:11" x14ac:dyDescent="0.3">
      <c r="A509">
        <v>1123</v>
      </c>
      <c r="B509">
        <v>40000</v>
      </c>
      <c r="C509" t="s">
        <v>14</v>
      </c>
      <c r="D509">
        <v>0</v>
      </c>
      <c r="E509">
        <v>0</v>
      </c>
      <c r="F509">
        <v>0</v>
      </c>
      <c r="G509">
        <v>0</v>
      </c>
      <c r="H509">
        <v>1</v>
      </c>
      <c r="I509" t="s">
        <v>15</v>
      </c>
      <c r="J509">
        <v>1</v>
      </c>
      <c r="K509">
        <v>1</v>
      </c>
    </row>
    <row r="510" spans="1:11" x14ac:dyDescent="0.3">
      <c r="A510">
        <v>1129</v>
      </c>
      <c r="B510">
        <v>12500</v>
      </c>
      <c r="C510" t="s">
        <v>14</v>
      </c>
      <c r="D510">
        <v>0</v>
      </c>
      <c r="E510">
        <v>1</v>
      </c>
      <c r="F510">
        <v>0</v>
      </c>
      <c r="G510">
        <v>0</v>
      </c>
      <c r="H510">
        <v>1</v>
      </c>
      <c r="I510" t="s">
        <v>15</v>
      </c>
      <c r="J510">
        <v>1</v>
      </c>
      <c r="K510">
        <v>1</v>
      </c>
    </row>
    <row r="511" spans="1:11" x14ac:dyDescent="0.3">
      <c r="A511">
        <v>1131</v>
      </c>
      <c r="B511">
        <v>10000</v>
      </c>
      <c r="C511" t="s">
        <v>14</v>
      </c>
      <c r="D511">
        <v>0</v>
      </c>
      <c r="E511">
        <v>1</v>
      </c>
      <c r="F511">
        <v>0</v>
      </c>
      <c r="G511">
        <v>0</v>
      </c>
      <c r="H511">
        <v>1</v>
      </c>
      <c r="I511" t="s">
        <v>15</v>
      </c>
      <c r="J511">
        <v>0</v>
      </c>
      <c r="K511">
        <v>1</v>
      </c>
    </row>
    <row r="512" spans="1:11" x14ac:dyDescent="0.3">
      <c r="A512">
        <v>1132</v>
      </c>
      <c r="B512">
        <v>40909.090909999999</v>
      </c>
      <c r="C512" t="s">
        <v>14</v>
      </c>
      <c r="D512">
        <v>0</v>
      </c>
      <c r="E512">
        <v>0</v>
      </c>
      <c r="F512">
        <v>0</v>
      </c>
      <c r="G512">
        <v>0</v>
      </c>
      <c r="H512">
        <v>1</v>
      </c>
      <c r="I512" t="s">
        <v>15</v>
      </c>
      <c r="J512">
        <v>1</v>
      </c>
      <c r="K512">
        <v>1</v>
      </c>
    </row>
    <row r="513" spans="1:11" x14ac:dyDescent="0.3">
      <c r="A513">
        <v>1133</v>
      </c>
      <c r="B513">
        <v>2500</v>
      </c>
      <c r="C513" t="s">
        <v>14</v>
      </c>
      <c r="D513">
        <v>0</v>
      </c>
      <c r="E513">
        <v>0</v>
      </c>
      <c r="F513">
        <v>0</v>
      </c>
      <c r="G513">
        <v>0</v>
      </c>
      <c r="H513">
        <v>1</v>
      </c>
      <c r="I513" t="s">
        <v>15</v>
      </c>
      <c r="J513">
        <v>1</v>
      </c>
      <c r="K513">
        <v>1</v>
      </c>
    </row>
    <row r="514" spans="1:11" x14ac:dyDescent="0.3">
      <c r="A514">
        <v>1134</v>
      </c>
      <c r="B514">
        <v>-16666.666669999999</v>
      </c>
      <c r="C514" t="s">
        <v>14</v>
      </c>
      <c r="D514">
        <v>0</v>
      </c>
      <c r="E514">
        <v>0</v>
      </c>
      <c r="F514">
        <v>0</v>
      </c>
      <c r="G514">
        <v>0</v>
      </c>
      <c r="H514">
        <v>1</v>
      </c>
      <c r="I514" t="s">
        <v>15</v>
      </c>
      <c r="J514">
        <v>1</v>
      </c>
      <c r="K514">
        <v>1</v>
      </c>
    </row>
    <row r="515" spans="1:11" x14ac:dyDescent="0.3">
      <c r="A515">
        <v>1136</v>
      </c>
      <c r="B515">
        <v>70000</v>
      </c>
      <c r="C515" t="s">
        <v>14</v>
      </c>
      <c r="D515">
        <v>0</v>
      </c>
      <c r="E515">
        <v>0</v>
      </c>
      <c r="F515">
        <v>0</v>
      </c>
      <c r="G515">
        <v>0</v>
      </c>
      <c r="H515">
        <v>1</v>
      </c>
      <c r="I515" t="s">
        <v>15</v>
      </c>
      <c r="J515">
        <v>1</v>
      </c>
      <c r="K515">
        <v>1</v>
      </c>
    </row>
    <row r="516" spans="1:11" x14ac:dyDescent="0.3">
      <c r="A516">
        <v>1137</v>
      </c>
      <c r="B516">
        <v>60096.153850000002</v>
      </c>
      <c r="C516" t="s">
        <v>14</v>
      </c>
      <c r="D516">
        <v>0</v>
      </c>
      <c r="E516">
        <v>0</v>
      </c>
      <c r="F516">
        <v>0</v>
      </c>
      <c r="G516">
        <v>0</v>
      </c>
      <c r="H516">
        <v>1</v>
      </c>
      <c r="I516" t="s">
        <v>15</v>
      </c>
      <c r="J516">
        <v>1</v>
      </c>
      <c r="K516">
        <v>1</v>
      </c>
    </row>
    <row r="517" spans="1:11" x14ac:dyDescent="0.3">
      <c r="A517">
        <v>1138</v>
      </c>
      <c r="B517">
        <v>-4166.6666670000004</v>
      </c>
      <c r="C517" t="s">
        <v>14</v>
      </c>
      <c r="D517">
        <v>0</v>
      </c>
      <c r="E517">
        <v>0</v>
      </c>
      <c r="F517">
        <v>0</v>
      </c>
      <c r="G517">
        <v>0</v>
      </c>
      <c r="H517">
        <v>1</v>
      </c>
      <c r="I517" t="s">
        <v>15</v>
      </c>
      <c r="J517">
        <v>1</v>
      </c>
      <c r="K517">
        <v>1</v>
      </c>
    </row>
    <row r="518" spans="1:11" x14ac:dyDescent="0.3">
      <c r="A518">
        <v>1141</v>
      </c>
      <c r="B518">
        <v>75000</v>
      </c>
      <c r="C518" t="s">
        <v>14</v>
      </c>
      <c r="D518">
        <v>0</v>
      </c>
      <c r="E518">
        <v>0</v>
      </c>
      <c r="F518">
        <v>0</v>
      </c>
      <c r="G518">
        <v>0</v>
      </c>
      <c r="H518">
        <v>1</v>
      </c>
      <c r="I518" t="s">
        <v>15</v>
      </c>
      <c r="J518">
        <v>1</v>
      </c>
      <c r="K518">
        <v>0</v>
      </c>
    </row>
    <row r="519" spans="1:11" x14ac:dyDescent="0.3">
      <c r="A519">
        <v>1143</v>
      </c>
      <c r="B519">
        <v>100000</v>
      </c>
      <c r="C519" t="s">
        <v>14</v>
      </c>
      <c r="D519">
        <v>0</v>
      </c>
      <c r="E519">
        <v>0</v>
      </c>
      <c r="F519">
        <v>0</v>
      </c>
      <c r="G519">
        <v>0</v>
      </c>
      <c r="H519">
        <v>1</v>
      </c>
      <c r="I519" t="s">
        <v>15</v>
      </c>
      <c r="J519">
        <v>1</v>
      </c>
      <c r="K519">
        <v>1</v>
      </c>
    </row>
    <row r="520" spans="1:11" x14ac:dyDescent="0.3">
      <c r="A520">
        <v>1144</v>
      </c>
      <c r="B520">
        <v>31250</v>
      </c>
      <c r="C520" t="s">
        <v>14</v>
      </c>
      <c r="D520">
        <v>0</v>
      </c>
      <c r="E520">
        <v>1</v>
      </c>
      <c r="F520">
        <v>0</v>
      </c>
      <c r="G520">
        <v>0</v>
      </c>
      <c r="H520">
        <v>1</v>
      </c>
      <c r="I520" t="s">
        <v>15</v>
      </c>
      <c r="J520">
        <v>1</v>
      </c>
      <c r="K520">
        <v>1</v>
      </c>
    </row>
    <row r="521" spans="1:11" x14ac:dyDescent="0.3">
      <c r="A521">
        <v>1145</v>
      </c>
      <c r="B521">
        <v>20000</v>
      </c>
      <c r="C521" t="s">
        <v>14</v>
      </c>
      <c r="D521">
        <v>0</v>
      </c>
      <c r="E521">
        <v>0</v>
      </c>
      <c r="F521">
        <v>0</v>
      </c>
      <c r="G521">
        <v>0</v>
      </c>
      <c r="H521">
        <v>1</v>
      </c>
      <c r="I521" t="s">
        <v>15</v>
      </c>
      <c r="J521">
        <v>1</v>
      </c>
      <c r="K521">
        <v>1</v>
      </c>
    </row>
    <row r="522" spans="1:11" x14ac:dyDescent="0.3">
      <c r="A522">
        <v>1148</v>
      </c>
      <c r="B522">
        <v>90909.090909999999</v>
      </c>
      <c r="C522" t="s">
        <v>14</v>
      </c>
      <c r="D522">
        <v>0</v>
      </c>
      <c r="E522">
        <v>1</v>
      </c>
      <c r="F522">
        <v>0</v>
      </c>
      <c r="G522">
        <v>0</v>
      </c>
      <c r="H522">
        <v>1</v>
      </c>
      <c r="I522" t="s">
        <v>15</v>
      </c>
      <c r="J522">
        <v>1</v>
      </c>
      <c r="K522">
        <v>1</v>
      </c>
    </row>
    <row r="523" spans="1:11" x14ac:dyDescent="0.3">
      <c r="A523">
        <v>1152</v>
      </c>
      <c r="B523">
        <v>25000</v>
      </c>
      <c r="C523" t="s">
        <v>14</v>
      </c>
      <c r="D523">
        <v>0</v>
      </c>
      <c r="E523">
        <v>0</v>
      </c>
      <c r="F523">
        <v>0</v>
      </c>
      <c r="G523">
        <v>0</v>
      </c>
      <c r="H523">
        <v>1</v>
      </c>
      <c r="I523" t="s">
        <v>15</v>
      </c>
      <c r="J523">
        <v>0</v>
      </c>
      <c r="K523">
        <v>1</v>
      </c>
    </row>
    <row r="524" spans="1:11" x14ac:dyDescent="0.3">
      <c r="A524">
        <v>1154</v>
      </c>
      <c r="B524">
        <v>40000</v>
      </c>
      <c r="C524" t="s">
        <v>14</v>
      </c>
      <c r="D524">
        <v>0</v>
      </c>
      <c r="E524">
        <v>1</v>
      </c>
      <c r="F524">
        <v>0</v>
      </c>
      <c r="G524">
        <v>0</v>
      </c>
      <c r="H524">
        <v>1</v>
      </c>
      <c r="I524" t="s">
        <v>15</v>
      </c>
      <c r="J524">
        <v>1</v>
      </c>
      <c r="K524">
        <v>1</v>
      </c>
    </row>
    <row r="525" spans="1:11" x14ac:dyDescent="0.3">
      <c r="A525">
        <v>1155</v>
      </c>
      <c r="B525">
        <v>40000</v>
      </c>
      <c r="C525" t="s">
        <v>14</v>
      </c>
      <c r="D525">
        <v>0</v>
      </c>
      <c r="E525">
        <v>0</v>
      </c>
      <c r="F525">
        <v>0</v>
      </c>
      <c r="G525">
        <v>0</v>
      </c>
      <c r="H525">
        <v>1</v>
      </c>
      <c r="I525" t="s">
        <v>15</v>
      </c>
      <c r="J525">
        <v>1</v>
      </c>
      <c r="K525">
        <v>1</v>
      </c>
    </row>
    <row r="526" spans="1:11" x14ac:dyDescent="0.3">
      <c r="A526">
        <v>1163</v>
      </c>
      <c r="B526">
        <v>32573.2899</v>
      </c>
      <c r="C526" t="s">
        <v>14</v>
      </c>
      <c r="D526">
        <v>0</v>
      </c>
      <c r="E526">
        <v>0</v>
      </c>
      <c r="F526">
        <v>0</v>
      </c>
      <c r="G526">
        <v>1</v>
      </c>
      <c r="H526">
        <v>0</v>
      </c>
      <c r="I526" t="s">
        <v>16</v>
      </c>
      <c r="J526">
        <v>0</v>
      </c>
      <c r="K526">
        <v>1</v>
      </c>
    </row>
    <row r="527" spans="1:11" x14ac:dyDescent="0.3">
      <c r="A527">
        <v>1165</v>
      </c>
      <c r="B527">
        <v>100000</v>
      </c>
      <c r="C527" t="s">
        <v>14</v>
      </c>
      <c r="D527">
        <v>0</v>
      </c>
      <c r="E527">
        <v>0</v>
      </c>
      <c r="F527">
        <v>0</v>
      </c>
      <c r="G527">
        <v>1</v>
      </c>
      <c r="H527">
        <v>0</v>
      </c>
      <c r="I527" t="s">
        <v>16</v>
      </c>
      <c r="J527">
        <v>1</v>
      </c>
      <c r="K527">
        <v>0</v>
      </c>
    </row>
    <row r="528" spans="1:11" x14ac:dyDescent="0.3">
      <c r="A528">
        <v>1170</v>
      </c>
      <c r="B528">
        <v>45731.707320000001</v>
      </c>
      <c r="C528" t="s">
        <v>14</v>
      </c>
      <c r="D528">
        <v>0</v>
      </c>
      <c r="E528">
        <v>1</v>
      </c>
      <c r="F528">
        <v>0</v>
      </c>
      <c r="G528">
        <v>1</v>
      </c>
      <c r="H528">
        <v>0</v>
      </c>
      <c r="I528" t="s">
        <v>16</v>
      </c>
      <c r="J528">
        <v>0</v>
      </c>
      <c r="K528">
        <v>1</v>
      </c>
    </row>
    <row r="529" spans="1:11" x14ac:dyDescent="0.3">
      <c r="A529">
        <v>1173</v>
      </c>
      <c r="B529">
        <v>0</v>
      </c>
      <c r="C529" t="s">
        <v>14</v>
      </c>
      <c r="D529">
        <v>0</v>
      </c>
      <c r="E529">
        <v>0</v>
      </c>
      <c r="F529">
        <v>0</v>
      </c>
      <c r="G529">
        <v>1</v>
      </c>
      <c r="H529">
        <v>0</v>
      </c>
      <c r="I529" t="s">
        <v>16</v>
      </c>
      <c r="J529">
        <v>0</v>
      </c>
      <c r="K529">
        <v>1</v>
      </c>
    </row>
    <row r="530" spans="1:11" x14ac:dyDescent="0.3">
      <c r="A530">
        <v>1175</v>
      </c>
      <c r="B530">
        <v>5000</v>
      </c>
      <c r="C530" t="s">
        <v>14</v>
      </c>
      <c r="D530">
        <v>0</v>
      </c>
      <c r="E530">
        <v>0</v>
      </c>
      <c r="F530">
        <v>0</v>
      </c>
      <c r="G530">
        <v>0</v>
      </c>
      <c r="H530">
        <v>1</v>
      </c>
      <c r="I530" t="s">
        <v>16</v>
      </c>
      <c r="J530">
        <v>0</v>
      </c>
      <c r="K530">
        <v>1</v>
      </c>
    </row>
    <row r="531" spans="1:11" x14ac:dyDescent="0.3">
      <c r="A531">
        <v>1177</v>
      </c>
      <c r="B531">
        <v>17857.14286</v>
      </c>
      <c r="C531" t="s">
        <v>14</v>
      </c>
      <c r="D531">
        <v>0</v>
      </c>
      <c r="E531">
        <v>1</v>
      </c>
      <c r="F531">
        <v>0</v>
      </c>
      <c r="G531">
        <v>1</v>
      </c>
      <c r="H531">
        <v>0</v>
      </c>
      <c r="I531" t="s">
        <v>16</v>
      </c>
      <c r="J531">
        <v>1</v>
      </c>
      <c r="K531">
        <v>1</v>
      </c>
    </row>
    <row r="532" spans="1:11" x14ac:dyDescent="0.3">
      <c r="A532">
        <v>1183</v>
      </c>
      <c r="B532">
        <v>6250</v>
      </c>
      <c r="C532" t="s">
        <v>14</v>
      </c>
      <c r="D532">
        <v>0</v>
      </c>
      <c r="E532">
        <v>0</v>
      </c>
      <c r="F532">
        <v>0</v>
      </c>
      <c r="G532">
        <v>0</v>
      </c>
      <c r="H532">
        <v>1</v>
      </c>
      <c r="I532" t="s">
        <v>16</v>
      </c>
      <c r="J532">
        <v>1</v>
      </c>
      <c r="K532">
        <v>1</v>
      </c>
    </row>
    <row r="533" spans="1:11" x14ac:dyDescent="0.3">
      <c r="A533">
        <v>1184</v>
      </c>
      <c r="B533">
        <v>25000</v>
      </c>
      <c r="C533" t="s">
        <v>14</v>
      </c>
      <c r="D533">
        <v>0</v>
      </c>
      <c r="E533">
        <v>0</v>
      </c>
      <c r="F533">
        <v>0</v>
      </c>
      <c r="G533">
        <v>1</v>
      </c>
      <c r="H533">
        <v>0</v>
      </c>
      <c r="I533" t="s">
        <v>16</v>
      </c>
      <c r="J533">
        <v>0</v>
      </c>
      <c r="K533">
        <v>0</v>
      </c>
    </row>
    <row r="534" spans="1:11" x14ac:dyDescent="0.3">
      <c r="A534">
        <v>1185</v>
      </c>
      <c r="B534">
        <v>1000</v>
      </c>
      <c r="C534" t="s">
        <v>12</v>
      </c>
      <c r="D534">
        <v>1</v>
      </c>
      <c r="E534">
        <v>0</v>
      </c>
      <c r="F534">
        <v>0</v>
      </c>
      <c r="G534">
        <v>1</v>
      </c>
      <c r="H534">
        <v>0</v>
      </c>
      <c r="I534" t="s">
        <v>16</v>
      </c>
      <c r="J534">
        <v>1</v>
      </c>
      <c r="K534">
        <v>0</v>
      </c>
    </row>
    <row r="535" spans="1:11" x14ac:dyDescent="0.3">
      <c r="A535">
        <v>1186</v>
      </c>
      <c r="B535">
        <v>16666.666669999999</v>
      </c>
      <c r="C535" t="s">
        <v>14</v>
      </c>
      <c r="D535">
        <v>0</v>
      </c>
      <c r="E535">
        <v>0</v>
      </c>
      <c r="F535">
        <v>0</v>
      </c>
      <c r="G535">
        <v>1</v>
      </c>
      <c r="H535">
        <v>0</v>
      </c>
      <c r="I535" t="s">
        <v>16</v>
      </c>
      <c r="J535">
        <v>0</v>
      </c>
      <c r="K535">
        <v>0</v>
      </c>
    </row>
    <row r="536" spans="1:11" x14ac:dyDescent="0.3">
      <c r="A536">
        <v>1187</v>
      </c>
      <c r="B536">
        <v>2500</v>
      </c>
      <c r="C536" t="s">
        <v>14</v>
      </c>
      <c r="D536">
        <v>0</v>
      </c>
      <c r="E536">
        <v>0</v>
      </c>
      <c r="F536">
        <v>0</v>
      </c>
      <c r="G536">
        <v>1</v>
      </c>
      <c r="H536">
        <v>0</v>
      </c>
      <c r="I536" t="s">
        <v>16</v>
      </c>
      <c r="J536">
        <v>1</v>
      </c>
      <c r="K536">
        <v>0</v>
      </c>
    </row>
    <row r="537" spans="1:11" x14ac:dyDescent="0.3">
      <c r="A537">
        <v>1188</v>
      </c>
      <c r="B537">
        <v>5000</v>
      </c>
      <c r="C537" t="s">
        <v>14</v>
      </c>
      <c r="D537">
        <v>0</v>
      </c>
      <c r="E537">
        <v>0</v>
      </c>
      <c r="F537">
        <v>0</v>
      </c>
      <c r="G537">
        <v>0</v>
      </c>
      <c r="H537">
        <v>1</v>
      </c>
      <c r="I537" t="s">
        <v>16</v>
      </c>
      <c r="J537">
        <v>1</v>
      </c>
      <c r="K537">
        <v>0</v>
      </c>
    </row>
    <row r="538" spans="1:11" x14ac:dyDescent="0.3">
      <c r="A538">
        <v>1189</v>
      </c>
      <c r="B538">
        <v>6000</v>
      </c>
      <c r="C538" t="s">
        <v>14</v>
      </c>
      <c r="D538">
        <v>0</v>
      </c>
      <c r="E538">
        <v>0</v>
      </c>
      <c r="F538">
        <v>0</v>
      </c>
      <c r="G538">
        <v>1</v>
      </c>
      <c r="H538">
        <v>0</v>
      </c>
      <c r="I538" t="s">
        <v>16</v>
      </c>
      <c r="J538">
        <v>0</v>
      </c>
      <c r="K538">
        <v>0</v>
      </c>
    </row>
    <row r="539" spans="1:11" x14ac:dyDescent="0.3">
      <c r="A539">
        <v>1190</v>
      </c>
      <c r="B539">
        <v>5000</v>
      </c>
      <c r="C539" t="s">
        <v>14</v>
      </c>
      <c r="D539">
        <v>0</v>
      </c>
      <c r="E539">
        <v>0</v>
      </c>
      <c r="F539">
        <v>0</v>
      </c>
      <c r="G539">
        <v>0</v>
      </c>
      <c r="H539">
        <v>1</v>
      </c>
      <c r="I539" t="s">
        <v>16</v>
      </c>
      <c r="J539">
        <v>1</v>
      </c>
      <c r="K539">
        <v>0</v>
      </c>
    </row>
    <row r="540" spans="1:11" x14ac:dyDescent="0.3">
      <c r="A540">
        <v>1191</v>
      </c>
      <c r="B540">
        <v>10000</v>
      </c>
      <c r="C540" t="s">
        <v>14</v>
      </c>
      <c r="D540">
        <v>0</v>
      </c>
      <c r="E540">
        <v>0</v>
      </c>
      <c r="F540">
        <v>0</v>
      </c>
      <c r="G540">
        <v>0</v>
      </c>
      <c r="H540">
        <v>1</v>
      </c>
      <c r="I540" t="s">
        <v>16</v>
      </c>
      <c r="J540">
        <v>1</v>
      </c>
      <c r="K540">
        <v>0</v>
      </c>
    </row>
    <row r="541" spans="1:11" x14ac:dyDescent="0.3">
      <c r="A541">
        <v>1192</v>
      </c>
      <c r="B541">
        <v>0</v>
      </c>
      <c r="C541" t="s">
        <v>12</v>
      </c>
      <c r="D541">
        <v>1</v>
      </c>
      <c r="E541">
        <v>0</v>
      </c>
      <c r="F541">
        <v>0</v>
      </c>
      <c r="G541">
        <v>1</v>
      </c>
      <c r="H541">
        <v>0</v>
      </c>
      <c r="I541" t="s">
        <v>16</v>
      </c>
      <c r="J541">
        <v>0</v>
      </c>
      <c r="K541">
        <v>1</v>
      </c>
    </row>
    <row r="542" spans="1:11" x14ac:dyDescent="0.3">
      <c r="A542">
        <v>1195</v>
      </c>
      <c r="B542">
        <v>20000</v>
      </c>
      <c r="C542" t="s">
        <v>14</v>
      </c>
      <c r="D542">
        <v>0</v>
      </c>
      <c r="E542">
        <v>0</v>
      </c>
      <c r="F542">
        <v>0</v>
      </c>
      <c r="G542">
        <v>1</v>
      </c>
      <c r="H542">
        <v>0</v>
      </c>
      <c r="I542" t="s">
        <v>16</v>
      </c>
      <c r="J542">
        <v>1</v>
      </c>
      <c r="K542">
        <v>1</v>
      </c>
    </row>
    <row r="543" spans="1:11" x14ac:dyDescent="0.3">
      <c r="A543">
        <v>1198</v>
      </c>
      <c r="B543">
        <v>41666.666669999999</v>
      </c>
      <c r="C543" t="s">
        <v>14</v>
      </c>
      <c r="D543">
        <v>0</v>
      </c>
      <c r="E543">
        <v>0</v>
      </c>
      <c r="F543">
        <v>0</v>
      </c>
      <c r="G543">
        <v>0</v>
      </c>
      <c r="H543">
        <v>1</v>
      </c>
      <c r="I543" t="s">
        <v>16</v>
      </c>
      <c r="J543">
        <v>0</v>
      </c>
      <c r="K543">
        <v>0</v>
      </c>
    </row>
    <row r="544" spans="1:11" x14ac:dyDescent="0.3">
      <c r="A544">
        <v>4050</v>
      </c>
      <c r="B544">
        <v>3759.3984959999998</v>
      </c>
      <c r="C544" t="s">
        <v>14</v>
      </c>
      <c r="D544">
        <v>0</v>
      </c>
      <c r="E544">
        <v>0</v>
      </c>
      <c r="F544">
        <v>0</v>
      </c>
      <c r="G544">
        <v>0</v>
      </c>
      <c r="H544">
        <v>1</v>
      </c>
      <c r="I544" t="s">
        <v>18</v>
      </c>
      <c r="J544">
        <v>0</v>
      </c>
      <c r="K544">
        <v>1</v>
      </c>
    </row>
    <row r="545" spans="1:11" x14ac:dyDescent="0.3">
      <c r="A545">
        <v>4044</v>
      </c>
      <c r="B545">
        <v>-40000</v>
      </c>
      <c r="C545" t="s">
        <v>14</v>
      </c>
      <c r="D545">
        <v>0</v>
      </c>
      <c r="E545">
        <v>1</v>
      </c>
      <c r="F545">
        <v>0</v>
      </c>
      <c r="G545">
        <v>0</v>
      </c>
      <c r="H545">
        <v>1</v>
      </c>
      <c r="I545" t="s">
        <v>18</v>
      </c>
      <c r="J545">
        <v>1</v>
      </c>
      <c r="K545">
        <v>1</v>
      </c>
    </row>
    <row r="546" spans="1:11" x14ac:dyDescent="0.3">
      <c r="A546">
        <v>4042</v>
      </c>
      <c r="B546">
        <v>4545.4545449999996</v>
      </c>
      <c r="C546" t="s">
        <v>14</v>
      </c>
      <c r="D546">
        <v>0</v>
      </c>
      <c r="E546">
        <v>1</v>
      </c>
      <c r="F546">
        <v>0</v>
      </c>
      <c r="G546">
        <v>0</v>
      </c>
      <c r="H546">
        <v>1</v>
      </c>
      <c r="I546" t="s">
        <v>18</v>
      </c>
      <c r="J546">
        <v>1</v>
      </c>
      <c r="K546">
        <v>1</v>
      </c>
    </row>
    <row r="547" spans="1:11" x14ac:dyDescent="0.3">
      <c r="A547">
        <v>1202</v>
      </c>
      <c r="B547">
        <v>5000</v>
      </c>
      <c r="C547" t="s">
        <v>14</v>
      </c>
      <c r="D547">
        <v>0</v>
      </c>
      <c r="E547">
        <v>0</v>
      </c>
      <c r="F547">
        <v>0</v>
      </c>
      <c r="G547">
        <v>0</v>
      </c>
      <c r="H547">
        <v>1</v>
      </c>
      <c r="I547" t="s">
        <v>16</v>
      </c>
      <c r="J547">
        <v>1</v>
      </c>
      <c r="K547">
        <v>1</v>
      </c>
    </row>
    <row r="548" spans="1:11" x14ac:dyDescent="0.3">
      <c r="A548">
        <v>1206</v>
      </c>
      <c r="B548">
        <v>4000</v>
      </c>
      <c r="C548" t="s">
        <v>14</v>
      </c>
      <c r="D548">
        <v>0</v>
      </c>
      <c r="E548">
        <v>0</v>
      </c>
      <c r="F548">
        <v>0</v>
      </c>
      <c r="G548">
        <v>1</v>
      </c>
      <c r="H548">
        <v>0</v>
      </c>
      <c r="I548" t="s">
        <v>16</v>
      </c>
      <c r="J548">
        <v>0</v>
      </c>
      <c r="K548">
        <v>0</v>
      </c>
    </row>
    <row r="549" spans="1:11" x14ac:dyDescent="0.3">
      <c r="A549">
        <v>1207</v>
      </c>
      <c r="B549">
        <v>20000</v>
      </c>
      <c r="C549" t="s">
        <v>14</v>
      </c>
      <c r="D549">
        <v>0</v>
      </c>
      <c r="E549">
        <v>0</v>
      </c>
      <c r="F549">
        <v>0</v>
      </c>
      <c r="G549">
        <v>1</v>
      </c>
      <c r="H549">
        <v>0</v>
      </c>
      <c r="I549" t="s">
        <v>16</v>
      </c>
      <c r="J549">
        <v>0</v>
      </c>
      <c r="K549">
        <v>1</v>
      </c>
    </row>
    <row r="550" spans="1:11" x14ac:dyDescent="0.3">
      <c r="A550">
        <v>1209</v>
      </c>
      <c r="B550">
        <v>18181.818179999998</v>
      </c>
      <c r="C550" t="s">
        <v>14</v>
      </c>
      <c r="D550">
        <v>0</v>
      </c>
      <c r="E550">
        <v>0</v>
      </c>
      <c r="F550">
        <v>0</v>
      </c>
      <c r="G550">
        <v>0</v>
      </c>
      <c r="H550">
        <v>1</v>
      </c>
      <c r="I550" t="s">
        <v>16</v>
      </c>
      <c r="J550">
        <v>0</v>
      </c>
      <c r="K550">
        <v>1</v>
      </c>
    </row>
    <row r="551" spans="1:11" x14ac:dyDescent="0.3">
      <c r="A551">
        <v>4041</v>
      </c>
      <c r="B551">
        <v>4545.4545449999996</v>
      </c>
      <c r="C551" t="s">
        <v>12</v>
      </c>
      <c r="D551">
        <v>1</v>
      </c>
      <c r="E551">
        <v>1</v>
      </c>
      <c r="F551">
        <v>0</v>
      </c>
      <c r="G551">
        <v>0</v>
      </c>
      <c r="H551">
        <v>1</v>
      </c>
      <c r="I551" t="s">
        <v>18</v>
      </c>
      <c r="J551">
        <v>1</v>
      </c>
      <c r="K551">
        <v>1</v>
      </c>
    </row>
    <row r="552" spans="1:11" x14ac:dyDescent="0.3">
      <c r="A552">
        <v>4014</v>
      </c>
      <c r="B552">
        <v>4545.4545449999996</v>
      </c>
      <c r="C552" t="s">
        <v>14</v>
      </c>
      <c r="D552">
        <v>0</v>
      </c>
      <c r="E552">
        <v>0</v>
      </c>
      <c r="F552">
        <v>0</v>
      </c>
      <c r="G552">
        <v>0</v>
      </c>
      <c r="H552">
        <v>1</v>
      </c>
      <c r="I552" t="s">
        <v>18</v>
      </c>
      <c r="J552">
        <v>1</v>
      </c>
      <c r="K552">
        <v>0</v>
      </c>
    </row>
    <row r="553" spans="1:11" x14ac:dyDescent="0.3">
      <c r="A553">
        <v>1219</v>
      </c>
      <c r="B553">
        <v>23364.485980000001</v>
      </c>
      <c r="C553" t="s">
        <v>14</v>
      </c>
      <c r="D553">
        <v>0</v>
      </c>
      <c r="E553">
        <v>0</v>
      </c>
      <c r="F553">
        <v>0</v>
      </c>
      <c r="G553">
        <v>1</v>
      </c>
      <c r="H553">
        <v>0</v>
      </c>
      <c r="I553" t="s">
        <v>16</v>
      </c>
      <c r="J553">
        <v>1</v>
      </c>
      <c r="K553">
        <v>1</v>
      </c>
    </row>
    <row r="554" spans="1:11" x14ac:dyDescent="0.3">
      <c r="A554">
        <v>1220</v>
      </c>
      <c r="B554">
        <v>6887.052342</v>
      </c>
      <c r="C554" t="s">
        <v>14</v>
      </c>
      <c r="D554">
        <v>0</v>
      </c>
      <c r="E554">
        <v>1</v>
      </c>
      <c r="F554">
        <v>0</v>
      </c>
      <c r="G554">
        <v>1</v>
      </c>
      <c r="H554">
        <v>0</v>
      </c>
      <c r="I554" t="s">
        <v>16</v>
      </c>
      <c r="J554">
        <v>0</v>
      </c>
      <c r="K554">
        <v>1</v>
      </c>
    </row>
    <row r="555" spans="1:11" x14ac:dyDescent="0.3">
      <c r="A555">
        <v>4008</v>
      </c>
      <c r="B555">
        <v>5000</v>
      </c>
      <c r="C555" t="s">
        <v>12</v>
      </c>
      <c r="D555">
        <v>1</v>
      </c>
      <c r="E555">
        <v>0</v>
      </c>
      <c r="F555">
        <v>0</v>
      </c>
      <c r="G555">
        <v>0</v>
      </c>
      <c r="H555">
        <v>1</v>
      </c>
      <c r="I555" t="s">
        <v>18</v>
      </c>
      <c r="J555">
        <v>1</v>
      </c>
      <c r="K555">
        <v>0</v>
      </c>
    </row>
    <row r="556" spans="1:11" x14ac:dyDescent="0.3">
      <c r="A556">
        <v>1223</v>
      </c>
      <c r="B556">
        <v>-3571.4285709999999</v>
      </c>
      <c r="C556" t="s">
        <v>14</v>
      </c>
      <c r="D556">
        <v>0</v>
      </c>
      <c r="E556">
        <v>0</v>
      </c>
      <c r="F556">
        <v>0</v>
      </c>
      <c r="G556">
        <v>0</v>
      </c>
      <c r="H556">
        <v>1</v>
      </c>
      <c r="I556" t="s">
        <v>16</v>
      </c>
      <c r="J556">
        <v>0</v>
      </c>
      <c r="K556">
        <v>0</v>
      </c>
    </row>
    <row r="557" spans="1:11" x14ac:dyDescent="0.3">
      <c r="A557">
        <v>4006</v>
      </c>
      <c r="B557">
        <v>-9523.8095240000002</v>
      </c>
      <c r="C557" t="s">
        <v>14</v>
      </c>
      <c r="D557">
        <v>0</v>
      </c>
      <c r="E557">
        <v>0</v>
      </c>
      <c r="F557">
        <v>0</v>
      </c>
      <c r="G557">
        <v>0</v>
      </c>
      <c r="H557">
        <v>1</v>
      </c>
      <c r="I557" t="s">
        <v>18</v>
      </c>
      <c r="J557">
        <v>1</v>
      </c>
      <c r="K557">
        <v>1</v>
      </c>
    </row>
    <row r="558" spans="1:11" x14ac:dyDescent="0.3">
      <c r="A558">
        <v>1226</v>
      </c>
      <c r="B558">
        <v>7142.8571430000002</v>
      </c>
      <c r="C558" t="s">
        <v>14</v>
      </c>
      <c r="D558">
        <v>0</v>
      </c>
      <c r="E558">
        <v>0</v>
      </c>
      <c r="F558">
        <v>0</v>
      </c>
      <c r="G558">
        <v>0</v>
      </c>
      <c r="H558">
        <v>1</v>
      </c>
      <c r="I558" t="s">
        <v>16</v>
      </c>
      <c r="J558">
        <v>0</v>
      </c>
      <c r="K558">
        <v>0</v>
      </c>
    </row>
    <row r="559" spans="1:11" x14ac:dyDescent="0.3">
      <c r="A559">
        <v>3983</v>
      </c>
      <c r="B559">
        <v>1875</v>
      </c>
      <c r="C559" t="s">
        <v>14</v>
      </c>
      <c r="D559">
        <v>0</v>
      </c>
      <c r="E559">
        <v>0</v>
      </c>
      <c r="F559">
        <v>0</v>
      </c>
      <c r="G559">
        <v>0</v>
      </c>
      <c r="H559">
        <v>1</v>
      </c>
      <c r="I559" t="s">
        <v>18</v>
      </c>
      <c r="J559">
        <v>1</v>
      </c>
      <c r="K559">
        <v>0</v>
      </c>
    </row>
    <row r="560" spans="1:11" x14ac:dyDescent="0.3">
      <c r="A560">
        <v>1229</v>
      </c>
      <c r="B560">
        <v>11363.63636</v>
      </c>
      <c r="C560" t="s">
        <v>14</v>
      </c>
      <c r="D560">
        <v>0</v>
      </c>
      <c r="E560">
        <v>0</v>
      </c>
      <c r="F560">
        <v>0</v>
      </c>
      <c r="G560">
        <v>0</v>
      </c>
      <c r="H560">
        <v>1</v>
      </c>
      <c r="I560" t="s">
        <v>16</v>
      </c>
      <c r="J560">
        <v>0</v>
      </c>
      <c r="K560">
        <v>1</v>
      </c>
    </row>
    <row r="561" spans="1:11" x14ac:dyDescent="0.3">
      <c r="A561">
        <v>1231</v>
      </c>
      <c r="B561">
        <v>55000</v>
      </c>
      <c r="C561" t="s">
        <v>14</v>
      </c>
      <c r="D561">
        <v>0</v>
      </c>
      <c r="E561">
        <v>0</v>
      </c>
      <c r="F561">
        <v>0</v>
      </c>
      <c r="G561">
        <v>0</v>
      </c>
      <c r="H561">
        <v>1</v>
      </c>
      <c r="I561" t="s">
        <v>16</v>
      </c>
      <c r="J561">
        <v>1</v>
      </c>
      <c r="K561">
        <v>0</v>
      </c>
    </row>
    <row r="562" spans="1:11" x14ac:dyDescent="0.3">
      <c r="A562">
        <v>1232</v>
      </c>
      <c r="B562">
        <v>4000</v>
      </c>
      <c r="C562" t="s">
        <v>14</v>
      </c>
      <c r="D562">
        <v>0</v>
      </c>
      <c r="E562">
        <v>0</v>
      </c>
      <c r="F562">
        <v>0</v>
      </c>
      <c r="G562">
        <v>0</v>
      </c>
      <c r="H562">
        <v>1</v>
      </c>
      <c r="I562" t="s">
        <v>16</v>
      </c>
      <c r="J562">
        <v>0</v>
      </c>
      <c r="K562">
        <v>0</v>
      </c>
    </row>
    <row r="563" spans="1:11" x14ac:dyDescent="0.3">
      <c r="A563">
        <v>1234</v>
      </c>
      <c r="B563">
        <v>10000</v>
      </c>
      <c r="C563" t="s">
        <v>14</v>
      </c>
      <c r="D563">
        <v>0</v>
      </c>
      <c r="E563">
        <v>0</v>
      </c>
      <c r="F563">
        <v>0</v>
      </c>
      <c r="G563">
        <v>0</v>
      </c>
      <c r="H563">
        <v>1</v>
      </c>
      <c r="I563" t="s">
        <v>16</v>
      </c>
      <c r="J563">
        <v>0</v>
      </c>
      <c r="K563">
        <v>1</v>
      </c>
    </row>
    <row r="564" spans="1:11" x14ac:dyDescent="0.3">
      <c r="A564">
        <v>1235</v>
      </c>
      <c r="B564">
        <v>11904.7619</v>
      </c>
      <c r="C564" t="s">
        <v>14</v>
      </c>
      <c r="D564">
        <v>0</v>
      </c>
      <c r="E564">
        <v>1</v>
      </c>
      <c r="F564">
        <v>0</v>
      </c>
      <c r="G564">
        <v>0</v>
      </c>
      <c r="H564">
        <v>1</v>
      </c>
      <c r="I564" t="s">
        <v>16</v>
      </c>
      <c r="J564">
        <v>0</v>
      </c>
      <c r="K564">
        <v>1</v>
      </c>
    </row>
    <row r="565" spans="1:11" x14ac:dyDescent="0.3">
      <c r="A565">
        <v>3981</v>
      </c>
      <c r="B565">
        <v>-4166.6666670000004</v>
      </c>
      <c r="C565" t="s">
        <v>14</v>
      </c>
      <c r="D565">
        <v>0</v>
      </c>
      <c r="E565">
        <v>0</v>
      </c>
      <c r="F565">
        <v>0</v>
      </c>
      <c r="G565">
        <v>0</v>
      </c>
      <c r="H565">
        <v>1</v>
      </c>
      <c r="I565" t="s">
        <v>18</v>
      </c>
      <c r="J565">
        <v>1</v>
      </c>
      <c r="K565">
        <v>0</v>
      </c>
    </row>
    <row r="566" spans="1:11" x14ac:dyDescent="0.3">
      <c r="A566">
        <v>3980</v>
      </c>
      <c r="B566">
        <v>-3333.333333</v>
      </c>
      <c r="C566" t="s">
        <v>14</v>
      </c>
      <c r="D566">
        <v>0</v>
      </c>
      <c r="E566">
        <v>0</v>
      </c>
      <c r="F566">
        <v>0</v>
      </c>
      <c r="G566">
        <v>0</v>
      </c>
      <c r="H566">
        <v>1</v>
      </c>
      <c r="I566" t="s">
        <v>18</v>
      </c>
      <c r="J566">
        <v>1</v>
      </c>
      <c r="K566">
        <v>0</v>
      </c>
    </row>
    <row r="567" spans="1:11" x14ac:dyDescent="0.3">
      <c r="A567">
        <v>3979</v>
      </c>
      <c r="B567">
        <v>-3478.2608700000001</v>
      </c>
      <c r="C567" t="s">
        <v>14</v>
      </c>
      <c r="D567">
        <v>0</v>
      </c>
      <c r="E567">
        <v>0</v>
      </c>
      <c r="F567">
        <v>0</v>
      </c>
      <c r="G567">
        <v>0</v>
      </c>
      <c r="H567">
        <v>1</v>
      </c>
      <c r="I567" t="s">
        <v>18</v>
      </c>
      <c r="J567">
        <v>1</v>
      </c>
      <c r="K567">
        <v>0</v>
      </c>
    </row>
    <row r="568" spans="1:11" x14ac:dyDescent="0.3">
      <c r="A568">
        <v>3975</v>
      </c>
      <c r="B568">
        <v>0</v>
      </c>
      <c r="C568" t="s">
        <v>14</v>
      </c>
      <c r="D568">
        <v>0</v>
      </c>
      <c r="E568">
        <v>0</v>
      </c>
      <c r="F568">
        <v>0</v>
      </c>
      <c r="G568">
        <v>0</v>
      </c>
      <c r="H568">
        <v>1</v>
      </c>
      <c r="I568" t="s">
        <v>18</v>
      </c>
      <c r="J568">
        <v>1</v>
      </c>
      <c r="K568">
        <v>0</v>
      </c>
    </row>
    <row r="569" spans="1:11" x14ac:dyDescent="0.3">
      <c r="A569">
        <v>3972</v>
      </c>
      <c r="B569">
        <v>13636.36364</v>
      </c>
      <c r="C569" t="s">
        <v>14</v>
      </c>
      <c r="D569">
        <v>0</v>
      </c>
      <c r="E569">
        <v>0</v>
      </c>
      <c r="F569">
        <v>0</v>
      </c>
      <c r="G569">
        <v>0</v>
      </c>
      <c r="H569">
        <v>1</v>
      </c>
      <c r="I569" t="s">
        <v>18</v>
      </c>
      <c r="J569">
        <v>1</v>
      </c>
      <c r="K569">
        <v>1</v>
      </c>
    </row>
    <row r="570" spans="1:11" x14ac:dyDescent="0.3">
      <c r="A570">
        <v>1245</v>
      </c>
      <c r="B570">
        <v>4285.7142860000004</v>
      </c>
      <c r="C570" t="s">
        <v>14</v>
      </c>
      <c r="D570">
        <v>0</v>
      </c>
      <c r="E570">
        <v>0</v>
      </c>
      <c r="F570">
        <v>0</v>
      </c>
      <c r="G570">
        <v>0</v>
      </c>
      <c r="H570">
        <v>1</v>
      </c>
      <c r="I570" t="s">
        <v>16</v>
      </c>
      <c r="J570">
        <v>1</v>
      </c>
      <c r="K570">
        <v>1</v>
      </c>
    </row>
    <row r="571" spans="1:11" x14ac:dyDescent="0.3">
      <c r="A571">
        <v>1246</v>
      </c>
      <c r="B571">
        <v>-25000</v>
      </c>
      <c r="C571" t="s">
        <v>14</v>
      </c>
      <c r="D571">
        <v>0</v>
      </c>
      <c r="E571">
        <v>0</v>
      </c>
      <c r="F571">
        <v>0</v>
      </c>
      <c r="G571">
        <v>0</v>
      </c>
      <c r="H571">
        <v>1</v>
      </c>
      <c r="I571" t="s">
        <v>16</v>
      </c>
      <c r="J571">
        <v>1</v>
      </c>
      <c r="K571">
        <v>1</v>
      </c>
    </row>
    <row r="572" spans="1:11" x14ac:dyDescent="0.3">
      <c r="A572">
        <v>1247</v>
      </c>
      <c r="B572">
        <v>6818.181818</v>
      </c>
      <c r="C572" t="s">
        <v>14</v>
      </c>
      <c r="D572">
        <v>0</v>
      </c>
      <c r="E572">
        <v>0</v>
      </c>
      <c r="F572">
        <v>0</v>
      </c>
      <c r="G572">
        <v>0</v>
      </c>
      <c r="H572">
        <v>1</v>
      </c>
      <c r="I572" t="s">
        <v>16</v>
      </c>
      <c r="J572">
        <v>1</v>
      </c>
      <c r="K572">
        <v>1</v>
      </c>
    </row>
    <row r="573" spans="1:11" x14ac:dyDescent="0.3">
      <c r="A573">
        <v>1249</v>
      </c>
      <c r="B573">
        <v>4716.9811319999999</v>
      </c>
      <c r="C573" t="s">
        <v>14</v>
      </c>
      <c r="D573">
        <v>0</v>
      </c>
      <c r="E573">
        <v>1</v>
      </c>
      <c r="F573">
        <v>0</v>
      </c>
      <c r="G573">
        <v>0</v>
      </c>
      <c r="H573">
        <v>1</v>
      </c>
      <c r="I573" t="s">
        <v>16</v>
      </c>
      <c r="J573">
        <v>1</v>
      </c>
      <c r="K573">
        <v>1</v>
      </c>
    </row>
    <row r="574" spans="1:11" x14ac:dyDescent="0.3">
      <c r="A574">
        <v>1252</v>
      </c>
      <c r="B574">
        <v>-43478.260869999998</v>
      </c>
      <c r="C574" t="s">
        <v>14</v>
      </c>
      <c r="D574">
        <v>0</v>
      </c>
      <c r="E574">
        <v>0</v>
      </c>
      <c r="F574">
        <v>0</v>
      </c>
      <c r="G574">
        <v>1</v>
      </c>
      <c r="H574">
        <v>0</v>
      </c>
      <c r="I574" t="s">
        <v>16</v>
      </c>
      <c r="J574">
        <v>1</v>
      </c>
      <c r="K574">
        <v>0</v>
      </c>
    </row>
    <row r="575" spans="1:11" x14ac:dyDescent="0.3">
      <c r="A575">
        <v>1253</v>
      </c>
      <c r="B575">
        <v>12500</v>
      </c>
      <c r="C575" t="s">
        <v>14</v>
      </c>
      <c r="D575">
        <v>0</v>
      </c>
      <c r="E575">
        <v>0</v>
      </c>
      <c r="F575">
        <v>0</v>
      </c>
      <c r="G575">
        <v>1</v>
      </c>
      <c r="H575">
        <v>0</v>
      </c>
      <c r="I575" t="s">
        <v>16</v>
      </c>
      <c r="J575">
        <v>1</v>
      </c>
      <c r="K575">
        <v>0</v>
      </c>
    </row>
    <row r="576" spans="1:11" x14ac:dyDescent="0.3">
      <c r="A576">
        <v>1256</v>
      </c>
      <c r="B576">
        <v>1886.792453</v>
      </c>
      <c r="C576" t="s">
        <v>14</v>
      </c>
      <c r="D576">
        <v>0</v>
      </c>
      <c r="E576">
        <v>0</v>
      </c>
      <c r="F576">
        <v>0</v>
      </c>
      <c r="G576">
        <v>1</v>
      </c>
      <c r="H576">
        <v>0</v>
      </c>
      <c r="I576" t="s">
        <v>16</v>
      </c>
      <c r="J576">
        <v>0</v>
      </c>
      <c r="K576">
        <v>0</v>
      </c>
    </row>
    <row r="577" spans="1:11" x14ac:dyDescent="0.3">
      <c r="A577">
        <v>1258</v>
      </c>
      <c r="B577">
        <v>-30000</v>
      </c>
      <c r="C577" t="s">
        <v>14</v>
      </c>
      <c r="D577">
        <v>0</v>
      </c>
      <c r="E577">
        <v>0</v>
      </c>
      <c r="F577">
        <v>0</v>
      </c>
      <c r="G577">
        <v>1</v>
      </c>
      <c r="H577">
        <v>0</v>
      </c>
      <c r="I577" t="s">
        <v>16</v>
      </c>
      <c r="J577">
        <v>0</v>
      </c>
      <c r="K577">
        <v>0</v>
      </c>
    </row>
    <row r="578" spans="1:11" x14ac:dyDescent="0.3">
      <c r="A578">
        <v>1261</v>
      </c>
      <c r="B578">
        <v>31818.181820000002</v>
      </c>
      <c r="C578" t="s">
        <v>14</v>
      </c>
      <c r="D578">
        <v>0</v>
      </c>
      <c r="E578">
        <v>0</v>
      </c>
      <c r="F578">
        <v>0</v>
      </c>
      <c r="G578">
        <v>0</v>
      </c>
      <c r="H578">
        <v>1</v>
      </c>
      <c r="I578" t="s">
        <v>16</v>
      </c>
      <c r="J578">
        <v>0</v>
      </c>
      <c r="K578">
        <v>1</v>
      </c>
    </row>
    <row r="579" spans="1:11" x14ac:dyDescent="0.3">
      <c r="A579">
        <v>1262</v>
      </c>
      <c r="B579">
        <v>10000</v>
      </c>
      <c r="C579" t="s">
        <v>14</v>
      </c>
      <c r="D579">
        <v>0</v>
      </c>
      <c r="E579">
        <v>0</v>
      </c>
      <c r="F579">
        <v>0</v>
      </c>
      <c r="G579">
        <v>1</v>
      </c>
      <c r="H579">
        <v>0</v>
      </c>
      <c r="I579" t="s">
        <v>16</v>
      </c>
      <c r="J579">
        <v>0</v>
      </c>
      <c r="K579">
        <v>0</v>
      </c>
    </row>
    <row r="580" spans="1:11" x14ac:dyDescent="0.3">
      <c r="A580">
        <v>1268</v>
      </c>
      <c r="B580">
        <v>45454.545449999998</v>
      </c>
      <c r="C580" t="s">
        <v>14</v>
      </c>
      <c r="D580">
        <v>0</v>
      </c>
      <c r="E580">
        <v>0</v>
      </c>
      <c r="F580">
        <v>0</v>
      </c>
      <c r="G580">
        <v>0</v>
      </c>
      <c r="H580">
        <v>1</v>
      </c>
      <c r="I580" t="s">
        <v>16</v>
      </c>
      <c r="J580">
        <v>0</v>
      </c>
      <c r="K580">
        <v>1</v>
      </c>
    </row>
    <row r="581" spans="1:11" x14ac:dyDescent="0.3">
      <c r="A581">
        <v>1272</v>
      </c>
      <c r="B581">
        <v>18181.818179999998</v>
      </c>
      <c r="C581" t="s">
        <v>14</v>
      </c>
      <c r="D581">
        <v>0</v>
      </c>
      <c r="E581">
        <v>0</v>
      </c>
      <c r="F581">
        <v>0</v>
      </c>
      <c r="G581">
        <v>0</v>
      </c>
      <c r="H581">
        <v>1</v>
      </c>
      <c r="I581" t="s">
        <v>16</v>
      </c>
      <c r="J581">
        <v>0</v>
      </c>
      <c r="K581">
        <v>0</v>
      </c>
    </row>
    <row r="582" spans="1:11" x14ac:dyDescent="0.3">
      <c r="A582">
        <v>1273</v>
      </c>
      <c r="B582">
        <v>9375</v>
      </c>
      <c r="C582" t="s">
        <v>14</v>
      </c>
      <c r="D582">
        <v>0</v>
      </c>
      <c r="E582">
        <v>0</v>
      </c>
      <c r="F582">
        <v>0</v>
      </c>
      <c r="G582">
        <v>0</v>
      </c>
      <c r="H582">
        <v>1</v>
      </c>
      <c r="I582" t="s">
        <v>16</v>
      </c>
      <c r="J582">
        <v>0</v>
      </c>
      <c r="K582">
        <v>0</v>
      </c>
    </row>
    <row r="583" spans="1:11" x14ac:dyDescent="0.3">
      <c r="A583">
        <v>1276</v>
      </c>
      <c r="B583">
        <v>5000</v>
      </c>
      <c r="C583" t="s">
        <v>14</v>
      </c>
      <c r="D583">
        <v>0</v>
      </c>
      <c r="E583">
        <v>0</v>
      </c>
      <c r="F583">
        <v>0</v>
      </c>
      <c r="G583">
        <v>0</v>
      </c>
      <c r="H583">
        <v>1</v>
      </c>
      <c r="I583" t="s">
        <v>16</v>
      </c>
      <c r="J583">
        <v>0</v>
      </c>
      <c r="K583">
        <v>0</v>
      </c>
    </row>
    <row r="584" spans="1:11" x14ac:dyDescent="0.3">
      <c r="A584">
        <v>1277</v>
      </c>
      <c r="B584">
        <v>36496.350359999997</v>
      </c>
      <c r="C584" t="s">
        <v>14</v>
      </c>
      <c r="D584">
        <v>0</v>
      </c>
      <c r="E584">
        <v>0</v>
      </c>
      <c r="F584">
        <v>0</v>
      </c>
      <c r="G584">
        <v>1</v>
      </c>
      <c r="H584">
        <v>0</v>
      </c>
      <c r="I584" t="s">
        <v>16</v>
      </c>
      <c r="J584">
        <v>0</v>
      </c>
      <c r="K584">
        <v>1</v>
      </c>
    </row>
    <row r="585" spans="1:11" x14ac:dyDescent="0.3">
      <c r="A585">
        <v>1278</v>
      </c>
      <c r="B585">
        <v>21645.021649999999</v>
      </c>
      <c r="C585" t="s">
        <v>12</v>
      </c>
      <c r="D585">
        <v>1</v>
      </c>
      <c r="E585">
        <v>0</v>
      </c>
      <c r="F585">
        <v>0</v>
      </c>
      <c r="G585">
        <v>1</v>
      </c>
      <c r="H585">
        <v>0</v>
      </c>
      <c r="I585" t="s">
        <v>16</v>
      </c>
      <c r="J585">
        <v>0</v>
      </c>
      <c r="K585">
        <v>0</v>
      </c>
    </row>
    <row r="586" spans="1:11" x14ac:dyDescent="0.3">
      <c r="A586">
        <v>1279</v>
      </c>
      <c r="B586">
        <v>10000</v>
      </c>
      <c r="C586" t="s">
        <v>12</v>
      </c>
      <c r="D586">
        <v>1</v>
      </c>
      <c r="E586">
        <v>1</v>
      </c>
      <c r="F586">
        <v>0</v>
      </c>
      <c r="G586">
        <v>1</v>
      </c>
      <c r="H586">
        <v>0</v>
      </c>
      <c r="I586" t="s">
        <v>16</v>
      </c>
      <c r="J586">
        <v>0</v>
      </c>
      <c r="K586">
        <v>0</v>
      </c>
    </row>
    <row r="587" spans="1:11" x14ac:dyDescent="0.3">
      <c r="A587">
        <v>1280</v>
      </c>
      <c r="B587">
        <v>11627.90698</v>
      </c>
      <c r="C587" t="s">
        <v>12</v>
      </c>
      <c r="D587">
        <v>1</v>
      </c>
      <c r="E587">
        <v>0</v>
      </c>
      <c r="F587">
        <v>0</v>
      </c>
      <c r="G587">
        <v>1</v>
      </c>
      <c r="H587">
        <v>0</v>
      </c>
      <c r="I587" t="s">
        <v>16</v>
      </c>
      <c r="J587">
        <v>0</v>
      </c>
      <c r="K587">
        <v>0</v>
      </c>
    </row>
    <row r="588" spans="1:11" x14ac:dyDescent="0.3">
      <c r="A588">
        <v>1282</v>
      </c>
      <c r="B588">
        <v>45454.545449999998</v>
      </c>
      <c r="C588" t="s">
        <v>14</v>
      </c>
      <c r="D588">
        <v>0</v>
      </c>
      <c r="E588">
        <v>0</v>
      </c>
      <c r="F588">
        <v>0</v>
      </c>
      <c r="G588">
        <v>1</v>
      </c>
      <c r="H588">
        <v>0</v>
      </c>
      <c r="I588" t="s">
        <v>16</v>
      </c>
      <c r="J588">
        <v>0</v>
      </c>
      <c r="K588">
        <v>0</v>
      </c>
    </row>
    <row r="589" spans="1:11" x14ac:dyDescent="0.3">
      <c r="A589">
        <v>1283</v>
      </c>
      <c r="B589">
        <v>16129.03226</v>
      </c>
      <c r="C589" t="s">
        <v>14</v>
      </c>
      <c r="D589">
        <v>0</v>
      </c>
      <c r="E589">
        <v>0</v>
      </c>
      <c r="F589">
        <v>0</v>
      </c>
      <c r="G589">
        <v>1</v>
      </c>
      <c r="H589">
        <v>0</v>
      </c>
      <c r="I589" t="s">
        <v>16</v>
      </c>
      <c r="J589">
        <v>0</v>
      </c>
      <c r="K589">
        <v>0</v>
      </c>
    </row>
    <row r="590" spans="1:11" x14ac:dyDescent="0.3">
      <c r="A590">
        <v>1284</v>
      </c>
      <c r="B590">
        <v>11904.7619</v>
      </c>
      <c r="C590" t="s">
        <v>12</v>
      </c>
      <c r="D590">
        <v>1</v>
      </c>
      <c r="E590">
        <v>0</v>
      </c>
      <c r="F590">
        <v>0</v>
      </c>
      <c r="G590">
        <v>1</v>
      </c>
      <c r="H590">
        <v>0</v>
      </c>
      <c r="I590" t="s">
        <v>16</v>
      </c>
      <c r="J590">
        <v>0</v>
      </c>
      <c r="K590">
        <v>0</v>
      </c>
    </row>
    <row r="591" spans="1:11" x14ac:dyDescent="0.3">
      <c r="A591">
        <v>1285</v>
      </c>
      <c r="B591">
        <v>16129.03226</v>
      </c>
      <c r="C591" t="s">
        <v>14</v>
      </c>
      <c r="D591">
        <v>0</v>
      </c>
      <c r="E591">
        <v>0</v>
      </c>
      <c r="F591">
        <v>0</v>
      </c>
      <c r="G591">
        <v>1</v>
      </c>
      <c r="H591">
        <v>0</v>
      </c>
      <c r="I591" t="s">
        <v>16</v>
      </c>
      <c r="J591">
        <v>0</v>
      </c>
      <c r="K591">
        <v>0</v>
      </c>
    </row>
    <row r="592" spans="1:11" x14ac:dyDescent="0.3">
      <c r="A592">
        <v>1287</v>
      </c>
      <c r="B592">
        <v>6666.6666670000004</v>
      </c>
      <c r="C592" t="s">
        <v>14</v>
      </c>
      <c r="D592">
        <v>0</v>
      </c>
      <c r="E592">
        <v>0</v>
      </c>
      <c r="F592">
        <v>0</v>
      </c>
      <c r="G592">
        <v>1</v>
      </c>
      <c r="H592">
        <v>0</v>
      </c>
      <c r="I592" t="s">
        <v>16</v>
      </c>
      <c r="J592">
        <v>0</v>
      </c>
      <c r="K592">
        <v>0</v>
      </c>
    </row>
    <row r="593" spans="1:11" x14ac:dyDescent="0.3">
      <c r="A593">
        <v>1289</v>
      </c>
      <c r="B593">
        <v>10000</v>
      </c>
      <c r="C593" t="s">
        <v>14</v>
      </c>
      <c r="D593">
        <v>0</v>
      </c>
      <c r="E593">
        <v>0</v>
      </c>
      <c r="F593">
        <v>0</v>
      </c>
      <c r="G593">
        <v>1</v>
      </c>
      <c r="H593">
        <v>0</v>
      </c>
      <c r="I593" t="s">
        <v>16</v>
      </c>
      <c r="J593">
        <v>0</v>
      </c>
      <c r="K593">
        <v>0</v>
      </c>
    </row>
    <row r="594" spans="1:11" x14ac:dyDescent="0.3">
      <c r="A594">
        <v>1290</v>
      </c>
      <c r="B594">
        <v>39682.539680000002</v>
      </c>
      <c r="C594" t="s">
        <v>14</v>
      </c>
      <c r="D594">
        <v>0</v>
      </c>
      <c r="E594">
        <v>0</v>
      </c>
      <c r="F594">
        <v>0</v>
      </c>
      <c r="G594">
        <v>1</v>
      </c>
      <c r="H594">
        <v>0</v>
      </c>
      <c r="I594" t="s">
        <v>16</v>
      </c>
      <c r="J594">
        <v>0</v>
      </c>
      <c r="K594">
        <v>0</v>
      </c>
    </row>
    <row r="595" spans="1:11" x14ac:dyDescent="0.3">
      <c r="A595">
        <v>1293</v>
      </c>
      <c r="B595">
        <v>15151.515149999999</v>
      </c>
      <c r="C595" t="s">
        <v>14</v>
      </c>
      <c r="D595">
        <v>0</v>
      </c>
      <c r="E595">
        <v>0</v>
      </c>
      <c r="F595">
        <v>0</v>
      </c>
      <c r="G595">
        <v>1</v>
      </c>
      <c r="H595">
        <v>0</v>
      </c>
      <c r="I595" t="s">
        <v>16</v>
      </c>
      <c r="J595">
        <v>0</v>
      </c>
      <c r="K595">
        <v>0</v>
      </c>
    </row>
    <row r="596" spans="1:11" x14ac:dyDescent="0.3">
      <c r="A596">
        <v>1295</v>
      </c>
      <c r="B596">
        <v>50000</v>
      </c>
      <c r="C596" t="s">
        <v>14</v>
      </c>
      <c r="D596">
        <v>0</v>
      </c>
      <c r="E596">
        <v>0</v>
      </c>
      <c r="F596">
        <v>0</v>
      </c>
      <c r="G596">
        <v>1</v>
      </c>
      <c r="H596">
        <v>0</v>
      </c>
      <c r="I596" t="s">
        <v>16</v>
      </c>
      <c r="J596">
        <v>0</v>
      </c>
      <c r="K596">
        <v>0</v>
      </c>
    </row>
    <row r="597" spans="1:11" x14ac:dyDescent="0.3">
      <c r="A597">
        <v>1300</v>
      </c>
      <c r="B597">
        <v>6250</v>
      </c>
      <c r="C597" t="s">
        <v>14</v>
      </c>
      <c r="D597">
        <v>0</v>
      </c>
      <c r="E597">
        <v>1</v>
      </c>
      <c r="F597">
        <v>0</v>
      </c>
      <c r="G597">
        <v>1</v>
      </c>
      <c r="H597">
        <v>0</v>
      </c>
      <c r="I597" t="s">
        <v>16</v>
      </c>
      <c r="J597">
        <v>1</v>
      </c>
      <c r="K597">
        <v>0</v>
      </c>
    </row>
    <row r="598" spans="1:11" x14ac:dyDescent="0.3">
      <c r="A598">
        <v>1304</v>
      </c>
      <c r="B598">
        <v>16666.666669999999</v>
      </c>
      <c r="C598" t="s">
        <v>14</v>
      </c>
      <c r="D598">
        <v>0</v>
      </c>
      <c r="E598">
        <v>0</v>
      </c>
      <c r="F598">
        <v>0</v>
      </c>
      <c r="G598">
        <v>1</v>
      </c>
      <c r="H598">
        <v>0</v>
      </c>
      <c r="I598" t="s">
        <v>16</v>
      </c>
      <c r="J598">
        <v>0</v>
      </c>
      <c r="K598">
        <v>0</v>
      </c>
    </row>
    <row r="599" spans="1:11" x14ac:dyDescent="0.3">
      <c r="A599">
        <v>3968</v>
      </c>
      <c r="B599">
        <v>5000</v>
      </c>
      <c r="C599" t="s">
        <v>14</v>
      </c>
      <c r="D599">
        <v>0</v>
      </c>
      <c r="E599">
        <v>1</v>
      </c>
      <c r="F599">
        <v>0</v>
      </c>
      <c r="G599">
        <v>0</v>
      </c>
      <c r="H599">
        <v>1</v>
      </c>
      <c r="I599" t="s">
        <v>18</v>
      </c>
      <c r="J599">
        <v>1</v>
      </c>
      <c r="K599">
        <v>1</v>
      </c>
    </row>
    <row r="600" spans="1:11" x14ac:dyDescent="0.3">
      <c r="A600">
        <v>1307</v>
      </c>
      <c r="B600">
        <v>9416.1958570000006</v>
      </c>
      <c r="C600" t="s">
        <v>14</v>
      </c>
      <c r="D600">
        <v>0</v>
      </c>
      <c r="E600">
        <v>0</v>
      </c>
      <c r="F600">
        <v>0</v>
      </c>
      <c r="G600">
        <v>1</v>
      </c>
      <c r="H600">
        <v>0</v>
      </c>
      <c r="I600" t="s">
        <v>16</v>
      </c>
      <c r="J600">
        <v>0</v>
      </c>
      <c r="K600">
        <v>0</v>
      </c>
    </row>
    <row r="601" spans="1:11" x14ac:dyDescent="0.3">
      <c r="A601">
        <v>1310</v>
      </c>
      <c r="B601">
        <v>12500</v>
      </c>
      <c r="C601" t="s">
        <v>14</v>
      </c>
      <c r="D601">
        <v>0</v>
      </c>
      <c r="E601">
        <v>0</v>
      </c>
      <c r="F601">
        <v>0</v>
      </c>
      <c r="G601">
        <v>0</v>
      </c>
      <c r="H601">
        <v>1</v>
      </c>
      <c r="I601" t="s">
        <v>16</v>
      </c>
      <c r="J601">
        <v>0</v>
      </c>
      <c r="K601">
        <v>0</v>
      </c>
    </row>
    <row r="602" spans="1:11" x14ac:dyDescent="0.3">
      <c r="A602">
        <v>1311</v>
      </c>
      <c r="B602">
        <v>8333.3333330000005</v>
      </c>
      <c r="C602" t="s">
        <v>14</v>
      </c>
      <c r="D602">
        <v>0</v>
      </c>
      <c r="E602">
        <v>1</v>
      </c>
      <c r="F602">
        <v>0</v>
      </c>
      <c r="G602">
        <v>1</v>
      </c>
      <c r="H602">
        <v>0</v>
      </c>
      <c r="I602" t="s">
        <v>16</v>
      </c>
      <c r="J602">
        <v>0</v>
      </c>
      <c r="K602">
        <v>0</v>
      </c>
    </row>
    <row r="603" spans="1:11" x14ac:dyDescent="0.3">
      <c r="A603">
        <v>1312</v>
      </c>
      <c r="B603">
        <v>38461.538460000003</v>
      </c>
      <c r="C603" t="s">
        <v>14</v>
      </c>
      <c r="D603">
        <v>0</v>
      </c>
      <c r="E603">
        <v>0</v>
      </c>
      <c r="F603">
        <v>0</v>
      </c>
      <c r="G603">
        <v>1</v>
      </c>
      <c r="H603">
        <v>0</v>
      </c>
      <c r="I603" t="s">
        <v>16</v>
      </c>
      <c r="J603">
        <v>0</v>
      </c>
      <c r="K603">
        <v>1</v>
      </c>
    </row>
    <row r="604" spans="1:11" x14ac:dyDescent="0.3">
      <c r="A604">
        <v>1313</v>
      </c>
      <c r="B604">
        <v>15000</v>
      </c>
      <c r="C604" t="s">
        <v>14</v>
      </c>
      <c r="D604">
        <v>0</v>
      </c>
      <c r="E604">
        <v>1</v>
      </c>
      <c r="F604">
        <v>0</v>
      </c>
      <c r="G604">
        <v>0</v>
      </c>
      <c r="H604">
        <v>1</v>
      </c>
      <c r="I604" t="s">
        <v>16</v>
      </c>
      <c r="J604">
        <v>1</v>
      </c>
      <c r="K604">
        <v>1</v>
      </c>
    </row>
    <row r="605" spans="1:11" x14ac:dyDescent="0.3">
      <c r="A605">
        <v>1314</v>
      </c>
      <c r="B605">
        <v>16129.03226</v>
      </c>
      <c r="C605" t="s">
        <v>14</v>
      </c>
      <c r="D605">
        <v>0</v>
      </c>
      <c r="E605">
        <v>1</v>
      </c>
      <c r="F605">
        <v>0</v>
      </c>
      <c r="G605">
        <v>0</v>
      </c>
      <c r="H605">
        <v>1</v>
      </c>
      <c r="I605" t="s">
        <v>16</v>
      </c>
      <c r="J605">
        <v>1</v>
      </c>
      <c r="K605">
        <v>1</v>
      </c>
    </row>
    <row r="606" spans="1:11" x14ac:dyDescent="0.3">
      <c r="A606">
        <v>1315</v>
      </c>
      <c r="B606">
        <v>6000</v>
      </c>
      <c r="C606" t="s">
        <v>14</v>
      </c>
      <c r="D606">
        <v>0</v>
      </c>
      <c r="E606">
        <v>1</v>
      </c>
      <c r="F606">
        <v>0</v>
      </c>
      <c r="G606">
        <v>1</v>
      </c>
      <c r="H606">
        <v>0</v>
      </c>
      <c r="I606" t="s">
        <v>16</v>
      </c>
      <c r="J606">
        <v>1</v>
      </c>
      <c r="K606">
        <v>0</v>
      </c>
    </row>
    <row r="607" spans="1:11" x14ac:dyDescent="0.3">
      <c r="A607">
        <v>1316</v>
      </c>
      <c r="B607">
        <v>9803.9215690000001</v>
      </c>
      <c r="C607" t="s">
        <v>14</v>
      </c>
      <c r="D607">
        <v>0</v>
      </c>
      <c r="E607">
        <v>1</v>
      </c>
      <c r="F607">
        <v>0</v>
      </c>
      <c r="G607">
        <v>1</v>
      </c>
      <c r="H607">
        <v>0</v>
      </c>
      <c r="I607" t="s">
        <v>16</v>
      </c>
      <c r="J607">
        <v>0</v>
      </c>
      <c r="K607">
        <v>0</v>
      </c>
    </row>
    <row r="608" spans="1:11" x14ac:dyDescent="0.3">
      <c r="A608">
        <v>1317</v>
      </c>
      <c r="B608">
        <v>6451.6129030000002</v>
      </c>
      <c r="C608" t="s">
        <v>12</v>
      </c>
      <c r="D608">
        <v>1</v>
      </c>
      <c r="E608">
        <v>0</v>
      </c>
      <c r="F608">
        <v>0</v>
      </c>
      <c r="G608">
        <v>1</v>
      </c>
      <c r="H608">
        <v>0</v>
      </c>
      <c r="I608" t="s">
        <v>16</v>
      </c>
      <c r="J608">
        <v>0</v>
      </c>
      <c r="K608">
        <v>0</v>
      </c>
    </row>
    <row r="609" spans="1:11" x14ac:dyDescent="0.3">
      <c r="A609">
        <v>1323</v>
      </c>
      <c r="B609">
        <v>9118.5410329999995</v>
      </c>
      <c r="C609" t="s">
        <v>14</v>
      </c>
      <c r="D609">
        <v>0</v>
      </c>
      <c r="E609">
        <v>0</v>
      </c>
      <c r="F609">
        <v>0</v>
      </c>
      <c r="G609">
        <v>1</v>
      </c>
      <c r="H609">
        <v>0</v>
      </c>
      <c r="I609" t="s">
        <v>16</v>
      </c>
      <c r="J609">
        <v>0</v>
      </c>
      <c r="K609">
        <v>1</v>
      </c>
    </row>
    <row r="610" spans="1:11" x14ac:dyDescent="0.3">
      <c r="A610">
        <v>1329</v>
      </c>
      <c r="B610">
        <v>4178.2729810000001</v>
      </c>
      <c r="C610" t="s">
        <v>14</v>
      </c>
      <c r="D610">
        <v>0</v>
      </c>
      <c r="E610">
        <v>0</v>
      </c>
      <c r="F610">
        <v>0</v>
      </c>
      <c r="G610">
        <v>1</v>
      </c>
      <c r="H610">
        <v>0</v>
      </c>
      <c r="I610" t="s">
        <v>16</v>
      </c>
      <c r="J610">
        <v>0</v>
      </c>
      <c r="K610">
        <v>0</v>
      </c>
    </row>
    <row r="611" spans="1:11" x14ac:dyDescent="0.3">
      <c r="A611">
        <v>1330</v>
      </c>
      <c r="B611">
        <v>12500</v>
      </c>
      <c r="C611" t="s">
        <v>14</v>
      </c>
      <c r="D611">
        <v>0</v>
      </c>
      <c r="E611">
        <v>0</v>
      </c>
      <c r="F611">
        <v>0</v>
      </c>
      <c r="G611">
        <v>1</v>
      </c>
      <c r="H611">
        <v>0</v>
      </c>
      <c r="I611" t="s">
        <v>16</v>
      </c>
      <c r="J611">
        <v>0</v>
      </c>
      <c r="K611">
        <v>1</v>
      </c>
    </row>
    <row r="612" spans="1:11" x14ac:dyDescent="0.3">
      <c r="A612">
        <v>3963</v>
      </c>
      <c r="B612">
        <v>83333.333329999994</v>
      </c>
      <c r="C612" t="s">
        <v>14</v>
      </c>
      <c r="D612">
        <v>0</v>
      </c>
      <c r="E612">
        <v>0</v>
      </c>
      <c r="F612">
        <v>0</v>
      </c>
      <c r="G612">
        <v>0</v>
      </c>
      <c r="H612">
        <v>1</v>
      </c>
      <c r="I612" t="s">
        <v>15</v>
      </c>
      <c r="J612">
        <v>0</v>
      </c>
      <c r="K612">
        <v>1</v>
      </c>
    </row>
    <row r="613" spans="1:11" x14ac:dyDescent="0.3">
      <c r="A613">
        <v>1333</v>
      </c>
      <c r="B613">
        <v>41666.666669999999</v>
      </c>
      <c r="C613" t="s">
        <v>14</v>
      </c>
      <c r="D613">
        <v>0</v>
      </c>
      <c r="E613">
        <v>0</v>
      </c>
      <c r="F613">
        <v>0</v>
      </c>
      <c r="G613">
        <v>1</v>
      </c>
      <c r="H613">
        <v>0</v>
      </c>
      <c r="I613" t="s">
        <v>16</v>
      </c>
      <c r="J613">
        <v>0</v>
      </c>
      <c r="K613">
        <v>0</v>
      </c>
    </row>
    <row r="614" spans="1:11" x14ac:dyDescent="0.3">
      <c r="A614">
        <v>1337</v>
      </c>
      <c r="B614">
        <v>33333.333330000001</v>
      </c>
      <c r="C614" t="s">
        <v>14</v>
      </c>
      <c r="D614">
        <v>0</v>
      </c>
      <c r="E614">
        <v>1</v>
      </c>
      <c r="F614">
        <v>0</v>
      </c>
      <c r="G614">
        <v>1</v>
      </c>
      <c r="H614">
        <v>0</v>
      </c>
      <c r="I614" t="s">
        <v>16</v>
      </c>
      <c r="J614">
        <v>0</v>
      </c>
      <c r="K614">
        <v>0</v>
      </c>
    </row>
    <row r="615" spans="1:11" x14ac:dyDescent="0.3">
      <c r="A615">
        <v>1338</v>
      </c>
      <c r="B615">
        <v>22727.272730000001</v>
      </c>
      <c r="C615" t="s">
        <v>14</v>
      </c>
      <c r="D615">
        <v>0</v>
      </c>
      <c r="E615">
        <v>0</v>
      </c>
      <c r="F615">
        <v>0</v>
      </c>
      <c r="G615">
        <v>1</v>
      </c>
      <c r="H615">
        <v>0</v>
      </c>
      <c r="I615" t="s">
        <v>16</v>
      </c>
      <c r="J615">
        <v>0</v>
      </c>
      <c r="K615">
        <v>0</v>
      </c>
    </row>
    <row r="616" spans="1:11" x14ac:dyDescent="0.3">
      <c r="A616">
        <v>1340</v>
      </c>
      <c r="B616">
        <v>-11904.7619</v>
      </c>
      <c r="C616" t="s">
        <v>14</v>
      </c>
      <c r="D616">
        <v>0</v>
      </c>
      <c r="E616">
        <v>0</v>
      </c>
      <c r="F616">
        <v>0</v>
      </c>
      <c r="G616">
        <v>1</v>
      </c>
      <c r="H616">
        <v>0</v>
      </c>
      <c r="I616" t="s">
        <v>16</v>
      </c>
      <c r="J616">
        <v>0</v>
      </c>
      <c r="K616">
        <v>0</v>
      </c>
    </row>
    <row r="617" spans="1:11" x14ac:dyDescent="0.3">
      <c r="A617">
        <v>1344</v>
      </c>
      <c r="B617">
        <v>41666.666669999999</v>
      </c>
      <c r="C617" t="s">
        <v>14</v>
      </c>
      <c r="D617">
        <v>0</v>
      </c>
      <c r="E617">
        <v>0</v>
      </c>
      <c r="F617">
        <v>0</v>
      </c>
      <c r="G617">
        <v>1</v>
      </c>
      <c r="H617">
        <v>0</v>
      </c>
      <c r="I617" t="s">
        <v>16</v>
      </c>
      <c r="J617">
        <v>0</v>
      </c>
      <c r="K617">
        <v>0</v>
      </c>
    </row>
    <row r="618" spans="1:11" x14ac:dyDescent="0.3">
      <c r="A618">
        <v>1345</v>
      </c>
      <c r="B618">
        <v>10869.56522</v>
      </c>
      <c r="C618" t="s">
        <v>14</v>
      </c>
      <c r="D618">
        <v>0</v>
      </c>
      <c r="E618">
        <v>0</v>
      </c>
      <c r="F618">
        <v>0</v>
      </c>
      <c r="G618">
        <v>1</v>
      </c>
      <c r="H618">
        <v>0</v>
      </c>
      <c r="I618" t="s">
        <v>16</v>
      </c>
      <c r="J618">
        <v>0</v>
      </c>
      <c r="K618">
        <v>0</v>
      </c>
    </row>
    <row r="619" spans="1:11" x14ac:dyDescent="0.3">
      <c r="A619">
        <v>1347</v>
      </c>
      <c r="B619">
        <v>6250</v>
      </c>
      <c r="C619" t="s">
        <v>14</v>
      </c>
      <c r="D619">
        <v>0</v>
      </c>
      <c r="E619">
        <v>0</v>
      </c>
      <c r="F619">
        <v>0</v>
      </c>
      <c r="G619">
        <v>0</v>
      </c>
      <c r="H619">
        <v>1</v>
      </c>
      <c r="I619" t="s">
        <v>16</v>
      </c>
      <c r="J619">
        <v>0</v>
      </c>
      <c r="K619">
        <v>1</v>
      </c>
    </row>
    <row r="620" spans="1:11" x14ac:dyDescent="0.3">
      <c r="A620">
        <v>1348</v>
      </c>
      <c r="B620">
        <v>22727.272730000001</v>
      </c>
      <c r="C620" t="s">
        <v>14</v>
      </c>
      <c r="D620">
        <v>0</v>
      </c>
      <c r="E620">
        <v>1</v>
      </c>
      <c r="F620">
        <v>0</v>
      </c>
      <c r="G620">
        <v>1</v>
      </c>
      <c r="H620">
        <v>0</v>
      </c>
      <c r="I620" t="s">
        <v>16</v>
      </c>
      <c r="J620">
        <v>0</v>
      </c>
      <c r="K620">
        <v>0</v>
      </c>
    </row>
    <row r="621" spans="1:11" x14ac:dyDescent="0.3">
      <c r="A621">
        <v>1349</v>
      </c>
      <c r="B621">
        <v>15625</v>
      </c>
      <c r="C621" t="s">
        <v>14</v>
      </c>
      <c r="D621">
        <v>0</v>
      </c>
      <c r="E621">
        <v>0</v>
      </c>
      <c r="F621">
        <v>0</v>
      </c>
      <c r="G621">
        <v>1</v>
      </c>
      <c r="H621">
        <v>0</v>
      </c>
      <c r="I621" t="s">
        <v>16</v>
      </c>
      <c r="J621">
        <v>0</v>
      </c>
      <c r="K621">
        <v>1</v>
      </c>
    </row>
    <row r="622" spans="1:11" x14ac:dyDescent="0.3">
      <c r="A622">
        <v>1352</v>
      </c>
      <c r="B622">
        <v>6666.6666670000004</v>
      </c>
      <c r="C622" t="s">
        <v>14</v>
      </c>
      <c r="D622">
        <v>0</v>
      </c>
      <c r="E622">
        <v>0</v>
      </c>
      <c r="F622">
        <v>0</v>
      </c>
      <c r="G622">
        <v>1</v>
      </c>
      <c r="H622">
        <v>0</v>
      </c>
      <c r="I622" t="s">
        <v>16</v>
      </c>
      <c r="J622">
        <v>1</v>
      </c>
      <c r="K622">
        <v>1</v>
      </c>
    </row>
    <row r="623" spans="1:11" x14ac:dyDescent="0.3">
      <c r="A623">
        <v>1356</v>
      </c>
      <c r="B623">
        <v>14285.71429</v>
      </c>
      <c r="C623" t="s">
        <v>12</v>
      </c>
      <c r="D623">
        <v>1</v>
      </c>
      <c r="E623">
        <v>0</v>
      </c>
      <c r="F623">
        <v>0</v>
      </c>
      <c r="G623">
        <v>1</v>
      </c>
      <c r="H623">
        <v>0</v>
      </c>
      <c r="I623" t="s">
        <v>16</v>
      </c>
      <c r="J623">
        <v>0</v>
      </c>
      <c r="K623">
        <v>1</v>
      </c>
    </row>
    <row r="624" spans="1:11" x14ac:dyDescent="0.3">
      <c r="A624">
        <v>1357</v>
      </c>
      <c r="B624">
        <v>50000</v>
      </c>
      <c r="C624" t="s">
        <v>14</v>
      </c>
      <c r="D624">
        <v>0</v>
      </c>
      <c r="E624">
        <v>0</v>
      </c>
      <c r="F624">
        <v>0</v>
      </c>
      <c r="G624">
        <v>1</v>
      </c>
      <c r="H624">
        <v>0</v>
      </c>
      <c r="I624" t="s">
        <v>16</v>
      </c>
      <c r="J624">
        <v>0</v>
      </c>
      <c r="K624">
        <v>0</v>
      </c>
    </row>
    <row r="625" spans="1:11" x14ac:dyDescent="0.3">
      <c r="A625">
        <v>3960</v>
      </c>
      <c r="B625">
        <v>20000</v>
      </c>
      <c r="C625" t="s">
        <v>14</v>
      </c>
      <c r="D625">
        <v>0</v>
      </c>
      <c r="E625">
        <v>0</v>
      </c>
      <c r="F625">
        <v>0</v>
      </c>
      <c r="G625">
        <v>0</v>
      </c>
      <c r="H625">
        <v>1</v>
      </c>
      <c r="I625" t="s">
        <v>15</v>
      </c>
      <c r="J625">
        <v>0</v>
      </c>
      <c r="K625">
        <v>1</v>
      </c>
    </row>
    <row r="626" spans="1:11" x14ac:dyDescent="0.3">
      <c r="A626">
        <v>1362</v>
      </c>
      <c r="B626">
        <v>6993.006993</v>
      </c>
      <c r="C626" t="s">
        <v>14</v>
      </c>
      <c r="D626">
        <v>0</v>
      </c>
      <c r="E626">
        <v>0</v>
      </c>
      <c r="F626">
        <v>0</v>
      </c>
      <c r="G626">
        <v>1</v>
      </c>
      <c r="H626">
        <v>0</v>
      </c>
      <c r="I626" t="s">
        <v>16</v>
      </c>
      <c r="J626">
        <v>0</v>
      </c>
      <c r="K626">
        <v>0</v>
      </c>
    </row>
    <row r="627" spans="1:11" x14ac:dyDescent="0.3">
      <c r="A627">
        <v>1364</v>
      </c>
      <c r="B627">
        <v>4878.0487800000001</v>
      </c>
      <c r="C627" t="s">
        <v>14</v>
      </c>
      <c r="D627">
        <v>0</v>
      </c>
      <c r="E627">
        <v>0</v>
      </c>
      <c r="F627">
        <v>0</v>
      </c>
      <c r="G627">
        <v>1</v>
      </c>
      <c r="H627">
        <v>0</v>
      </c>
      <c r="I627" t="s">
        <v>16</v>
      </c>
      <c r="J627">
        <v>0</v>
      </c>
      <c r="K627">
        <v>0</v>
      </c>
    </row>
    <row r="628" spans="1:11" x14ac:dyDescent="0.3">
      <c r="A628">
        <v>1365</v>
      </c>
      <c r="B628">
        <v>16666.666669999999</v>
      </c>
      <c r="C628" t="s">
        <v>14</v>
      </c>
      <c r="D628">
        <v>0</v>
      </c>
      <c r="E628">
        <v>0</v>
      </c>
      <c r="F628">
        <v>0</v>
      </c>
      <c r="G628">
        <v>1</v>
      </c>
      <c r="H628">
        <v>0</v>
      </c>
      <c r="I628" t="s">
        <v>16</v>
      </c>
      <c r="J628">
        <v>0</v>
      </c>
      <c r="K628">
        <v>0</v>
      </c>
    </row>
    <row r="629" spans="1:11" x14ac:dyDescent="0.3">
      <c r="A629">
        <v>1366</v>
      </c>
      <c r="B629">
        <v>5952.3809520000004</v>
      </c>
      <c r="C629" t="s">
        <v>14</v>
      </c>
      <c r="D629">
        <v>0</v>
      </c>
      <c r="E629">
        <v>1</v>
      </c>
      <c r="F629">
        <v>0</v>
      </c>
      <c r="G629">
        <v>1</v>
      </c>
      <c r="H629">
        <v>0</v>
      </c>
      <c r="I629" t="s">
        <v>16</v>
      </c>
      <c r="J629">
        <v>0</v>
      </c>
      <c r="K629">
        <v>0</v>
      </c>
    </row>
    <row r="630" spans="1:11" x14ac:dyDescent="0.3">
      <c r="A630">
        <v>1369</v>
      </c>
      <c r="B630">
        <v>4166.6666670000004</v>
      </c>
      <c r="C630" t="s">
        <v>14</v>
      </c>
      <c r="D630">
        <v>0</v>
      </c>
      <c r="E630">
        <v>0</v>
      </c>
      <c r="F630">
        <v>0</v>
      </c>
      <c r="G630">
        <v>1</v>
      </c>
      <c r="H630">
        <v>0</v>
      </c>
      <c r="I630" t="s">
        <v>16</v>
      </c>
      <c r="J630">
        <v>0</v>
      </c>
      <c r="K630">
        <v>0</v>
      </c>
    </row>
    <row r="631" spans="1:11" x14ac:dyDescent="0.3">
      <c r="A631">
        <v>1382</v>
      </c>
      <c r="B631">
        <v>5970.1492539999999</v>
      </c>
      <c r="C631" t="s">
        <v>12</v>
      </c>
      <c r="D631">
        <v>1</v>
      </c>
      <c r="E631">
        <v>1</v>
      </c>
      <c r="F631">
        <v>0</v>
      </c>
      <c r="G631">
        <v>0</v>
      </c>
      <c r="H631">
        <v>1</v>
      </c>
      <c r="I631" t="s">
        <v>16</v>
      </c>
      <c r="J631">
        <v>0</v>
      </c>
      <c r="K631">
        <v>0</v>
      </c>
    </row>
    <row r="632" spans="1:11" x14ac:dyDescent="0.3">
      <c r="A632">
        <v>1386</v>
      </c>
      <c r="B632">
        <v>40000</v>
      </c>
      <c r="C632" t="s">
        <v>14</v>
      </c>
      <c r="D632">
        <v>0</v>
      </c>
      <c r="E632">
        <v>1</v>
      </c>
      <c r="F632">
        <v>0</v>
      </c>
      <c r="G632">
        <v>0</v>
      </c>
      <c r="H632">
        <v>1</v>
      </c>
      <c r="I632" t="s">
        <v>16</v>
      </c>
      <c r="J632">
        <v>0</v>
      </c>
      <c r="K632">
        <v>0</v>
      </c>
    </row>
    <row r="633" spans="1:11" x14ac:dyDescent="0.3">
      <c r="A633">
        <v>1387</v>
      </c>
      <c r="B633">
        <v>25000</v>
      </c>
      <c r="C633" t="s">
        <v>14</v>
      </c>
      <c r="D633">
        <v>0</v>
      </c>
      <c r="E633">
        <v>0</v>
      </c>
      <c r="F633">
        <v>0</v>
      </c>
      <c r="G633">
        <v>0</v>
      </c>
      <c r="H633">
        <v>1</v>
      </c>
      <c r="I633" t="s">
        <v>16</v>
      </c>
      <c r="J633">
        <v>0</v>
      </c>
      <c r="K633">
        <v>0</v>
      </c>
    </row>
    <row r="634" spans="1:11" x14ac:dyDescent="0.3">
      <c r="A634">
        <v>1388</v>
      </c>
      <c r="B634">
        <v>30000</v>
      </c>
      <c r="C634" t="s">
        <v>14</v>
      </c>
      <c r="D634">
        <v>0</v>
      </c>
      <c r="E634">
        <v>0</v>
      </c>
      <c r="F634">
        <v>0</v>
      </c>
      <c r="G634">
        <v>1</v>
      </c>
      <c r="H634">
        <v>0</v>
      </c>
      <c r="I634" t="s">
        <v>16</v>
      </c>
      <c r="J634">
        <v>1</v>
      </c>
      <c r="K634">
        <v>1</v>
      </c>
    </row>
    <row r="635" spans="1:11" x14ac:dyDescent="0.3">
      <c r="A635">
        <v>1389</v>
      </c>
      <c r="B635">
        <v>5714.2857139999996</v>
      </c>
      <c r="C635" t="s">
        <v>14</v>
      </c>
      <c r="D635">
        <v>0</v>
      </c>
      <c r="E635">
        <v>0</v>
      </c>
      <c r="F635">
        <v>0</v>
      </c>
      <c r="G635">
        <v>1</v>
      </c>
      <c r="H635">
        <v>0</v>
      </c>
      <c r="I635" t="s">
        <v>16</v>
      </c>
      <c r="J635">
        <v>0</v>
      </c>
      <c r="K635">
        <v>1</v>
      </c>
    </row>
    <row r="636" spans="1:11" x14ac:dyDescent="0.3">
      <c r="A636">
        <v>3952</v>
      </c>
      <c r="B636">
        <v>84745.762709999995</v>
      </c>
      <c r="C636" t="s">
        <v>14</v>
      </c>
      <c r="D636">
        <v>0</v>
      </c>
      <c r="E636">
        <v>0</v>
      </c>
      <c r="F636">
        <v>0</v>
      </c>
      <c r="G636">
        <v>0</v>
      </c>
      <c r="H636">
        <v>1</v>
      </c>
      <c r="I636" t="s">
        <v>15</v>
      </c>
      <c r="J636">
        <v>1</v>
      </c>
      <c r="K636">
        <v>1</v>
      </c>
    </row>
    <row r="637" spans="1:11" x14ac:dyDescent="0.3">
      <c r="A637">
        <v>1391</v>
      </c>
      <c r="B637">
        <v>12121.21212</v>
      </c>
      <c r="C637" t="s">
        <v>14</v>
      </c>
      <c r="D637">
        <v>0</v>
      </c>
      <c r="E637">
        <v>0</v>
      </c>
      <c r="F637">
        <v>0</v>
      </c>
      <c r="G637">
        <v>1</v>
      </c>
      <c r="H637">
        <v>0</v>
      </c>
      <c r="I637" t="s">
        <v>16</v>
      </c>
      <c r="J637">
        <v>0</v>
      </c>
      <c r="K637">
        <v>1</v>
      </c>
    </row>
    <row r="638" spans="1:11" x14ac:dyDescent="0.3">
      <c r="A638">
        <v>1392</v>
      </c>
      <c r="B638">
        <v>10000</v>
      </c>
      <c r="C638" t="s">
        <v>14</v>
      </c>
      <c r="D638">
        <v>0</v>
      </c>
      <c r="E638">
        <v>0</v>
      </c>
      <c r="F638">
        <v>0</v>
      </c>
      <c r="G638">
        <v>1</v>
      </c>
      <c r="H638">
        <v>0</v>
      </c>
      <c r="I638" t="s">
        <v>16</v>
      </c>
      <c r="J638">
        <v>1</v>
      </c>
      <c r="K638">
        <v>1</v>
      </c>
    </row>
    <row r="639" spans="1:11" x14ac:dyDescent="0.3">
      <c r="A639">
        <v>1396</v>
      </c>
      <c r="B639">
        <v>4000</v>
      </c>
      <c r="C639" t="s">
        <v>14</v>
      </c>
      <c r="D639">
        <v>0</v>
      </c>
      <c r="E639">
        <v>0</v>
      </c>
      <c r="F639">
        <v>0</v>
      </c>
      <c r="G639">
        <v>0</v>
      </c>
      <c r="H639">
        <v>1</v>
      </c>
      <c r="I639" t="s">
        <v>16</v>
      </c>
      <c r="J639">
        <v>0</v>
      </c>
      <c r="K639">
        <v>0</v>
      </c>
    </row>
    <row r="640" spans="1:11" x14ac:dyDescent="0.3">
      <c r="A640">
        <v>1399</v>
      </c>
      <c r="B640">
        <v>-15000</v>
      </c>
      <c r="C640" t="s">
        <v>14</v>
      </c>
      <c r="D640">
        <v>0</v>
      </c>
      <c r="E640">
        <v>0</v>
      </c>
      <c r="F640">
        <v>0</v>
      </c>
      <c r="G640">
        <v>0</v>
      </c>
      <c r="H640">
        <v>1</v>
      </c>
      <c r="I640" t="s">
        <v>16</v>
      </c>
      <c r="J640">
        <v>0</v>
      </c>
      <c r="K640">
        <v>0</v>
      </c>
    </row>
    <row r="641" spans="1:11" x14ac:dyDescent="0.3">
      <c r="A641">
        <v>1401</v>
      </c>
      <c r="B641">
        <v>9090.9090909999995</v>
      </c>
      <c r="C641" t="s">
        <v>14</v>
      </c>
      <c r="D641">
        <v>0</v>
      </c>
      <c r="E641">
        <v>0</v>
      </c>
      <c r="F641">
        <v>0</v>
      </c>
      <c r="G641">
        <v>0</v>
      </c>
      <c r="H641">
        <v>1</v>
      </c>
      <c r="I641" t="s">
        <v>16</v>
      </c>
      <c r="J641">
        <v>0</v>
      </c>
      <c r="K641">
        <v>0</v>
      </c>
    </row>
    <row r="642" spans="1:11" x14ac:dyDescent="0.3">
      <c r="A642">
        <v>1404</v>
      </c>
      <c r="B642">
        <v>4761.9047620000001</v>
      </c>
      <c r="C642" t="s">
        <v>14</v>
      </c>
      <c r="D642">
        <v>0</v>
      </c>
      <c r="E642">
        <v>0</v>
      </c>
      <c r="F642">
        <v>0</v>
      </c>
      <c r="G642">
        <v>0</v>
      </c>
      <c r="H642">
        <v>1</v>
      </c>
      <c r="I642" t="s">
        <v>16</v>
      </c>
      <c r="J642">
        <v>0</v>
      </c>
      <c r="K642">
        <v>0</v>
      </c>
    </row>
    <row r="643" spans="1:11" x14ac:dyDescent="0.3">
      <c r="A643">
        <v>1410</v>
      </c>
      <c r="B643">
        <v>20000</v>
      </c>
      <c r="C643" t="s">
        <v>14</v>
      </c>
      <c r="D643">
        <v>0</v>
      </c>
      <c r="E643">
        <v>0</v>
      </c>
      <c r="F643">
        <v>0</v>
      </c>
      <c r="G643">
        <v>0</v>
      </c>
      <c r="H643">
        <v>1</v>
      </c>
      <c r="I643" t="s">
        <v>16</v>
      </c>
      <c r="J643">
        <v>0</v>
      </c>
      <c r="K643">
        <v>0</v>
      </c>
    </row>
    <row r="644" spans="1:11" x14ac:dyDescent="0.3">
      <c r="A644">
        <v>3948</v>
      </c>
      <c r="B644">
        <v>50000</v>
      </c>
      <c r="C644" t="s">
        <v>14</v>
      </c>
      <c r="D644">
        <v>0</v>
      </c>
      <c r="E644">
        <v>0</v>
      </c>
      <c r="F644">
        <v>0</v>
      </c>
      <c r="G644">
        <v>0</v>
      </c>
      <c r="H644">
        <v>1</v>
      </c>
      <c r="I644" t="s">
        <v>15</v>
      </c>
      <c r="J644">
        <v>1</v>
      </c>
      <c r="K644">
        <v>1</v>
      </c>
    </row>
    <row r="645" spans="1:11" x14ac:dyDescent="0.3">
      <c r="A645">
        <v>1421</v>
      </c>
      <c r="B645">
        <v>12500</v>
      </c>
      <c r="C645" t="s">
        <v>14</v>
      </c>
      <c r="D645">
        <v>0</v>
      </c>
      <c r="E645">
        <v>0</v>
      </c>
      <c r="F645">
        <v>0</v>
      </c>
      <c r="G645">
        <v>1</v>
      </c>
      <c r="H645">
        <v>0</v>
      </c>
      <c r="I645" t="s">
        <v>16</v>
      </c>
      <c r="J645">
        <v>0</v>
      </c>
      <c r="K645">
        <v>0</v>
      </c>
    </row>
    <row r="646" spans="1:11" x14ac:dyDescent="0.3">
      <c r="A646">
        <v>1423</v>
      </c>
      <c r="B646">
        <v>4375</v>
      </c>
      <c r="C646" t="s">
        <v>14</v>
      </c>
      <c r="D646">
        <v>0</v>
      </c>
      <c r="E646">
        <v>0</v>
      </c>
      <c r="F646">
        <v>0</v>
      </c>
      <c r="G646">
        <v>1</v>
      </c>
      <c r="H646">
        <v>0</v>
      </c>
      <c r="I646" t="s">
        <v>16</v>
      </c>
      <c r="J646">
        <v>0</v>
      </c>
      <c r="K646">
        <v>0</v>
      </c>
    </row>
    <row r="647" spans="1:11" x14ac:dyDescent="0.3">
      <c r="A647">
        <v>1424</v>
      </c>
      <c r="B647">
        <v>20000</v>
      </c>
      <c r="C647" t="s">
        <v>12</v>
      </c>
      <c r="D647">
        <v>1</v>
      </c>
      <c r="E647">
        <v>0</v>
      </c>
      <c r="F647">
        <v>0</v>
      </c>
      <c r="G647">
        <v>0</v>
      </c>
      <c r="H647">
        <v>1</v>
      </c>
      <c r="I647" t="s">
        <v>16</v>
      </c>
      <c r="J647">
        <v>0</v>
      </c>
      <c r="K647">
        <v>0</v>
      </c>
    </row>
    <row r="648" spans="1:11" x14ac:dyDescent="0.3">
      <c r="A648">
        <v>1429</v>
      </c>
      <c r="B648">
        <v>-13636.36364</v>
      </c>
      <c r="C648" t="s">
        <v>14</v>
      </c>
      <c r="D648">
        <v>0</v>
      </c>
      <c r="E648">
        <v>0</v>
      </c>
      <c r="F648">
        <v>0</v>
      </c>
      <c r="G648">
        <v>1</v>
      </c>
      <c r="H648">
        <v>0</v>
      </c>
      <c r="I648" t="s">
        <v>16</v>
      </c>
      <c r="J648">
        <v>0</v>
      </c>
      <c r="K648">
        <v>0</v>
      </c>
    </row>
    <row r="649" spans="1:11" x14ac:dyDescent="0.3">
      <c r="A649">
        <v>1430</v>
      </c>
      <c r="B649">
        <v>15625</v>
      </c>
      <c r="C649" t="s">
        <v>14</v>
      </c>
      <c r="D649">
        <v>0</v>
      </c>
      <c r="E649">
        <v>0</v>
      </c>
      <c r="F649">
        <v>0</v>
      </c>
      <c r="G649">
        <v>1</v>
      </c>
      <c r="H649">
        <v>0</v>
      </c>
      <c r="I649" t="s">
        <v>16</v>
      </c>
      <c r="J649">
        <v>0</v>
      </c>
      <c r="K649">
        <v>0</v>
      </c>
    </row>
    <row r="650" spans="1:11" x14ac:dyDescent="0.3">
      <c r="A650">
        <v>1431</v>
      </c>
      <c r="B650">
        <v>33333.333330000001</v>
      </c>
      <c r="C650" t="s">
        <v>14</v>
      </c>
      <c r="D650">
        <v>0</v>
      </c>
      <c r="E650">
        <v>0</v>
      </c>
      <c r="F650">
        <v>0</v>
      </c>
      <c r="G650">
        <v>1</v>
      </c>
      <c r="H650">
        <v>0</v>
      </c>
      <c r="I650" t="s">
        <v>16</v>
      </c>
      <c r="J650">
        <v>0</v>
      </c>
      <c r="K650">
        <v>0</v>
      </c>
    </row>
    <row r="651" spans="1:11" x14ac:dyDescent="0.3">
      <c r="A651">
        <v>1436</v>
      </c>
      <c r="B651">
        <v>8333.3333330000005</v>
      </c>
      <c r="C651" t="s">
        <v>14</v>
      </c>
      <c r="D651">
        <v>0</v>
      </c>
      <c r="E651">
        <v>0</v>
      </c>
      <c r="F651">
        <v>0</v>
      </c>
      <c r="G651">
        <v>0</v>
      </c>
      <c r="H651">
        <v>1</v>
      </c>
      <c r="I651" t="s">
        <v>16</v>
      </c>
      <c r="J651">
        <v>1</v>
      </c>
      <c r="K651">
        <v>1</v>
      </c>
    </row>
    <row r="652" spans="1:11" x14ac:dyDescent="0.3">
      <c r="A652">
        <v>1437</v>
      </c>
      <c r="B652">
        <v>12500</v>
      </c>
      <c r="C652" t="s">
        <v>14</v>
      </c>
      <c r="D652">
        <v>0</v>
      </c>
      <c r="E652">
        <v>0</v>
      </c>
      <c r="F652">
        <v>0</v>
      </c>
      <c r="G652">
        <v>0</v>
      </c>
      <c r="H652">
        <v>1</v>
      </c>
      <c r="I652" t="s">
        <v>16</v>
      </c>
      <c r="J652">
        <v>0</v>
      </c>
      <c r="K652">
        <v>1</v>
      </c>
    </row>
    <row r="653" spans="1:11" x14ac:dyDescent="0.3">
      <c r="A653">
        <v>1438</v>
      </c>
      <c r="B653">
        <v>33333.333330000001</v>
      </c>
      <c r="C653" t="s">
        <v>14</v>
      </c>
      <c r="D653">
        <v>0</v>
      </c>
      <c r="E653">
        <v>0</v>
      </c>
      <c r="F653">
        <v>0</v>
      </c>
      <c r="G653">
        <v>0</v>
      </c>
      <c r="H653">
        <v>1</v>
      </c>
      <c r="I653" t="s">
        <v>16</v>
      </c>
      <c r="J653">
        <v>1</v>
      </c>
      <c r="K653">
        <v>0</v>
      </c>
    </row>
    <row r="654" spans="1:11" x14ac:dyDescent="0.3">
      <c r="A654">
        <v>1439</v>
      </c>
      <c r="B654">
        <v>6666.6666670000004</v>
      </c>
      <c r="C654" t="s">
        <v>14</v>
      </c>
      <c r="D654">
        <v>0</v>
      </c>
      <c r="E654">
        <v>0</v>
      </c>
      <c r="F654">
        <v>0</v>
      </c>
      <c r="G654">
        <v>0</v>
      </c>
      <c r="H654">
        <v>1</v>
      </c>
      <c r="I654" t="s">
        <v>16</v>
      </c>
      <c r="J654">
        <v>0</v>
      </c>
      <c r="K654">
        <v>0</v>
      </c>
    </row>
    <row r="655" spans="1:11" x14ac:dyDescent="0.3">
      <c r="A655">
        <v>1440</v>
      </c>
      <c r="B655">
        <v>50000</v>
      </c>
      <c r="C655" t="s">
        <v>14</v>
      </c>
      <c r="D655">
        <v>0</v>
      </c>
      <c r="E655">
        <v>0</v>
      </c>
      <c r="F655">
        <v>0</v>
      </c>
      <c r="G655">
        <v>0</v>
      </c>
      <c r="H655">
        <v>1</v>
      </c>
      <c r="I655" t="s">
        <v>16</v>
      </c>
      <c r="J655">
        <v>1</v>
      </c>
      <c r="K655">
        <v>0</v>
      </c>
    </row>
    <row r="656" spans="1:11" x14ac:dyDescent="0.3">
      <c r="A656">
        <v>1443</v>
      </c>
      <c r="B656">
        <v>5000</v>
      </c>
      <c r="C656" t="s">
        <v>14</v>
      </c>
      <c r="D656">
        <v>0</v>
      </c>
      <c r="E656">
        <v>0</v>
      </c>
      <c r="F656">
        <v>0</v>
      </c>
      <c r="G656">
        <v>0</v>
      </c>
      <c r="H656">
        <v>1</v>
      </c>
      <c r="I656" t="s">
        <v>16</v>
      </c>
      <c r="J656">
        <v>1</v>
      </c>
      <c r="K656">
        <v>1</v>
      </c>
    </row>
    <row r="657" spans="1:11" x14ac:dyDescent="0.3">
      <c r="A657">
        <v>1447</v>
      </c>
      <c r="B657">
        <v>31250</v>
      </c>
      <c r="C657" t="s">
        <v>14</v>
      </c>
      <c r="D657">
        <v>0</v>
      </c>
      <c r="E657">
        <v>0</v>
      </c>
      <c r="F657">
        <v>0</v>
      </c>
      <c r="G657">
        <v>0</v>
      </c>
      <c r="H657">
        <v>1</v>
      </c>
      <c r="I657" t="s">
        <v>16</v>
      </c>
      <c r="J657">
        <v>1</v>
      </c>
      <c r="K657">
        <v>0</v>
      </c>
    </row>
    <row r="658" spans="1:11" x14ac:dyDescent="0.3">
      <c r="A658">
        <v>1455</v>
      </c>
      <c r="B658">
        <v>25000</v>
      </c>
      <c r="C658" t="s">
        <v>14</v>
      </c>
      <c r="D658">
        <v>0</v>
      </c>
      <c r="E658">
        <v>1</v>
      </c>
      <c r="F658">
        <v>0</v>
      </c>
      <c r="G658">
        <v>1</v>
      </c>
      <c r="H658">
        <v>0</v>
      </c>
      <c r="I658" t="s">
        <v>16</v>
      </c>
      <c r="J658">
        <v>0</v>
      </c>
      <c r="K658">
        <v>0</v>
      </c>
    </row>
    <row r="659" spans="1:11" x14ac:dyDescent="0.3">
      <c r="A659">
        <v>1457</v>
      </c>
      <c r="B659">
        <v>21551.724139999998</v>
      </c>
      <c r="C659" t="s">
        <v>14</v>
      </c>
      <c r="D659">
        <v>0</v>
      </c>
      <c r="E659">
        <v>0</v>
      </c>
      <c r="F659">
        <v>0</v>
      </c>
      <c r="G659">
        <v>1</v>
      </c>
      <c r="H659">
        <v>0</v>
      </c>
      <c r="I659" t="s">
        <v>16</v>
      </c>
      <c r="J659">
        <v>0</v>
      </c>
      <c r="K659">
        <v>1</v>
      </c>
    </row>
    <row r="660" spans="1:11" x14ac:dyDescent="0.3">
      <c r="A660">
        <v>1463</v>
      </c>
      <c r="B660">
        <v>41666.666669999999</v>
      </c>
      <c r="C660" t="s">
        <v>14</v>
      </c>
      <c r="D660">
        <v>0</v>
      </c>
      <c r="E660">
        <v>0</v>
      </c>
      <c r="F660">
        <v>0</v>
      </c>
      <c r="G660">
        <v>1</v>
      </c>
      <c r="H660">
        <v>0</v>
      </c>
      <c r="I660" t="s">
        <v>16</v>
      </c>
      <c r="J660">
        <v>0</v>
      </c>
      <c r="K660">
        <v>1</v>
      </c>
    </row>
    <row r="661" spans="1:11" x14ac:dyDescent="0.3">
      <c r="A661">
        <v>1464</v>
      </c>
      <c r="B661">
        <v>6097.5609759999998</v>
      </c>
      <c r="C661" t="s">
        <v>14</v>
      </c>
      <c r="D661">
        <v>0</v>
      </c>
      <c r="E661">
        <v>0</v>
      </c>
      <c r="F661">
        <v>0</v>
      </c>
      <c r="G661">
        <v>1</v>
      </c>
      <c r="H661">
        <v>0</v>
      </c>
      <c r="I661" t="s">
        <v>16</v>
      </c>
      <c r="J661">
        <v>1</v>
      </c>
      <c r="K661">
        <v>0</v>
      </c>
    </row>
    <row r="662" spans="1:11" x14ac:dyDescent="0.3">
      <c r="A662">
        <v>1466</v>
      </c>
      <c r="B662">
        <v>47619.047619999998</v>
      </c>
      <c r="C662" t="s">
        <v>14</v>
      </c>
      <c r="D662">
        <v>0</v>
      </c>
      <c r="E662">
        <v>0</v>
      </c>
      <c r="F662">
        <v>0</v>
      </c>
      <c r="G662">
        <v>1</v>
      </c>
      <c r="H662">
        <v>0</v>
      </c>
      <c r="I662" t="s">
        <v>16</v>
      </c>
      <c r="J662">
        <v>0</v>
      </c>
      <c r="K662">
        <v>0</v>
      </c>
    </row>
    <row r="663" spans="1:11" x14ac:dyDescent="0.3">
      <c r="A663">
        <v>1472</v>
      </c>
      <c r="B663">
        <v>2400</v>
      </c>
      <c r="C663" t="s">
        <v>14</v>
      </c>
      <c r="D663">
        <v>0</v>
      </c>
      <c r="E663">
        <v>0</v>
      </c>
      <c r="F663">
        <v>0</v>
      </c>
      <c r="G663">
        <v>1</v>
      </c>
      <c r="H663">
        <v>0</v>
      </c>
      <c r="I663" t="s">
        <v>16</v>
      </c>
      <c r="J663">
        <v>1</v>
      </c>
      <c r="K663">
        <v>0</v>
      </c>
    </row>
    <row r="664" spans="1:11" x14ac:dyDescent="0.3">
      <c r="A664">
        <v>1473</v>
      </c>
      <c r="B664">
        <v>80000</v>
      </c>
      <c r="C664" t="s">
        <v>14</v>
      </c>
      <c r="D664">
        <v>0</v>
      </c>
      <c r="E664">
        <v>1</v>
      </c>
      <c r="F664">
        <v>0</v>
      </c>
      <c r="G664">
        <v>1</v>
      </c>
      <c r="H664">
        <v>0</v>
      </c>
      <c r="I664" t="s">
        <v>16</v>
      </c>
      <c r="J664">
        <v>0</v>
      </c>
      <c r="K664">
        <v>1</v>
      </c>
    </row>
    <row r="665" spans="1:11" x14ac:dyDescent="0.3">
      <c r="A665">
        <v>1474</v>
      </c>
      <c r="B665">
        <v>10000</v>
      </c>
      <c r="C665" t="s">
        <v>14</v>
      </c>
      <c r="D665">
        <v>0</v>
      </c>
      <c r="E665">
        <v>0</v>
      </c>
      <c r="F665">
        <v>0</v>
      </c>
      <c r="G665">
        <v>1</v>
      </c>
      <c r="H665">
        <v>0</v>
      </c>
      <c r="I665" t="s">
        <v>16</v>
      </c>
      <c r="J665">
        <v>0</v>
      </c>
      <c r="K665">
        <v>1</v>
      </c>
    </row>
    <row r="666" spans="1:11" x14ac:dyDescent="0.3">
      <c r="A666">
        <v>1475</v>
      </c>
      <c r="B666">
        <v>5000</v>
      </c>
      <c r="C666" t="s">
        <v>14</v>
      </c>
      <c r="D666">
        <v>0</v>
      </c>
      <c r="E666">
        <v>0</v>
      </c>
      <c r="F666">
        <v>0</v>
      </c>
      <c r="G666">
        <v>1</v>
      </c>
      <c r="H666">
        <v>0</v>
      </c>
      <c r="I666" t="s">
        <v>16</v>
      </c>
      <c r="J666">
        <v>1</v>
      </c>
      <c r="K666">
        <v>1</v>
      </c>
    </row>
    <row r="667" spans="1:11" x14ac:dyDescent="0.3">
      <c r="A667">
        <v>1477</v>
      </c>
      <c r="B667">
        <v>3780.7183359999999</v>
      </c>
      <c r="C667" t="s">
        <v>14</v>
      </c>
      <c r="D667">
        <v>0</v>
      </c>
      <c r="E667">
        <v>1</v>
      </c>
      <c r="F667">
        <v>0</v>
      </c>
      <c r="G667">
        <v>1</v>
      </c>
      <c r="H667">
        <v>0</v>
      </c>
      <c r="I667" t="s">
        <v>16</v>
      </c>
      <c r="J667">
        <v>1</v>
      </c>
      <c r="K667">
        <v>0</v>
      </c>
    </row>
    <row r="668" spans="1:11" x14ac:dyDescent="0.3">
      <c r="A668">
        <v>1478</v>
      </c>
      <c r="B668">
        <v>6666.6666670000004</v>
      </c>
      <c r="C668" t="s">
        <v>14</v>
      </c>
      <c r="D668">
        <v>0</v>
      </c>
      <c r="E668">
        <v>1</v>
      </c>
      <c r="F668">
        <v>0</v>
      </c>
      <c r="G668">
        <v>1</v>
      </c>
      <c r="H668">
        <v>0</v>
      </c>
      <c r="I668" t="s">
        <v>16</v>
      </c>
      <c r="J668">
        <v>0</v>
      </c>
      <c r="K668">
        <v>0</v>
      </c>
    </row>
    <row r="669" spans="1:11" x14ac:dyDescent="0.3">
      <c r="A669">
        <v>1484</v>
      </c>
      <c r="B669">
        <v>90909.090909999999</v>
      </c>
      <c r="C669" t="s">
        <v>14</v>
      </c>
      <c r="D669">
        <v>0</v>
      </c>
      <c r="E669">
        <v>1</v>
      </c>
      <c r="F669">
        <v>0</v>
      </c>
      <c r="G669">
        <v>1</v>
      </c>
      <c r="H669">
        <v>0</v>
      </c>
      <c r="I669" t="s">
        <v>16</v>
      </c>
      <c r="J669">
        <v>1</v>
      </c>
      <c r="K669">
        <v>0</v>
      </c>
    </row>
    <row r="670" spans="1:11" x14ac:dyDescent="0.3">
      <c r="A670">
        <v>1490</v>
      </c>
      <c r="B670">
        <v>86956.521739999996</v>
      </c>
      <c r="C670" t="s">
        <v>14</v>
      </c>
      <c r="D670">
        <v>0</v>
      </c>
      <c r="E670">
        <v>1</v>
      </c>
      <c r="F670">
        <v>0</v>
      </c>
      <c r="G670">
        <v>1</v>
      </c>
      <c r="H670">
        <v>0</v>
      </c>
      <c r="I670" t="s">
        <v>16</v>
      </c>
      <c r="J670">
        <v>1</v>
      </c>
      <c r="K670">
        <v>0</v>
      </c>
    </row>
    <row r="671" spans="1:11" x14ac:dyDescent="0.3">
      <c r="A671">
        <v>1492</v>
      </c>
      <c r="B671">
        <v>3000</v>
      </c>
      <c r="C671" t="s">
        <v>14</v>
      </c>
      <c r="D671">
        <v>0</v>
      </c>
      <c r="E671">
        <v>0</v>
      </c>
      <c r="F671">
        <v>0</v>
      </c>
      <c r="G671">
        <v>1</v>
      </c>
      <c r="H671">
        <v>0</v>
      </c>
      <c r="I671" t="s">
        <v>16</v>
      </c>
      <c r="J671">
        <v>0</v>
      </c>
      <c r="K671">
        <v>0</v>
      </c>
    </row>
    <row r="672" spans="1:11" x14ac:dyDescent="0.3">
      <c r="A672">
        <v>1493</v>
      </c>
      <c r="B672">
        <v>5000</v>
      </c>
      <c r="C672" t="s">
        <v>14</v>
      </c>
      <c r="D672">
        <v>0</v>
      </c>
      <c r="E672">
        <v>0</v>
      </c>
      <c r="F672">
        <v>0</v>
      </c>
      <c r="G672">
        <v>1</v>
      </c>
      <c r="H672">
        <v>0</v>
      </c>
      <c r="I672" t="s">
        <v>16</v>
      </c>
      <c r="J672">
        <v>1</v>
      </c>
      <c r="K672">
        <v>1</v>
      </c>
    </row>
    <row r="673" spans="1:11" x14ac:dyDescent="0.3">
      <c r="A673">
        <v>1499</v>
      </c>
      <c r="B673">
        <v>9090.9090909999995</v>
      </c>
      <c r="C673" t="s">
        <v>14</v>
      </c>
      <c r="D673">
        <v>0</v>
      </c>
      <c r="E673">
        <v>0</v>
      </c>
      <c r="F673">
        <v>0</v>
      </c>
      <c r="G673">
        <v>1</v>
      </c>
      <c r="H673">
        <v>0</v>
      </c>
      <c r="I673" t="s">
        <v>16</v>
      </c>
      <c r="J673">
        <v>1</v>
      </c>
      <c r="K673">
        <v>0</v>
      </c>
    </row>
    <row r="674" spans="1:11" x14ac:dyDescent="0.3">
      <c r="A674">
        <v>1502</v>
      </c>
      <c r="B674">
        <v>2500</v>
      </c>
      <c r="C674" t="s">
        <v>12</v>
      </c>
      <c r="D674">
        <v>1</v>
      </c>
      <c r="E674">
        <v>0</v>
      </c>
      <c r="F674">
        <v>0</v>
      </c>
      <c r="G674">
        <v>1</v>
      </c>
      <c r="H674">
        <v>0</v>
      </c>
      <c r="I674" t="s">
        <v>16</v>
      </c>
      <c r="J674">
        <v>0</v>
      </c>
      <c r="K674">
        <v>0</v>
      </c>
    </row>
    <row r="675" spans="1:11" x14ac:dyDescent="0.3">
      <c r="A675">
        <v>1505</v>
      </c>
      <c r="B675">
        <v>25000</v>
      </c>
      <c r="C675" t="s">
        <v>12</v>
      </c>
      <c r="D675">
        <v>1</v>
      </c>
      <c r="E675">
        <v>0</v>
      </c>
      <c r="F675">
        <v>0</v>
      </c>
      <c r="G675">
        <v>1</v>
      </c>
      <c r="H675">
        <v>0</v>
      </c>
      <c r="I675" t="s">
        <v>16</v>
      </c>
      <c r="J675">
        <v>1</v>
      </c>
      <c r="K675">
        <v>1</v>
      </c>
    </row>
    <row r="676" spans="1:11" x14ac:dyDescent="0.3">
      <c r="A676">
        <v>1506</v>
      </c>
      <c r="B676">
        <v>50000</v>
      </c>
      <c r="C676" t="s">
        <v>14</v>
      </c>
      <c r="D676">
        <v>0</v>
      </c>
      <c r="E676">
        <v>1</v>
      </c>
      <c r="F676">
        <v>0</v>
      </c>
      <c r="G676">
        <v>1</v>
      </c>
      <c r="H676">
        <v>0</v>
      </c>
      <c r="I676" t="s">
        <v>16</v>
      </c>
      <c r="J676">
        <v>0</v>
      </c>
      <c r="K676">
        <v>1</v>
      </c>
    </row>
    <row r="677" spans="1:11" x14ac:dyDescent="0.3">
      <c r="A677">
        <v>1507</v>
      </c>
      <c r="B677">
        <v>83333.333329999994</v>
      </c>
      <c r="C677" t="s">
        <v>14</v>
      </c>
      <c r="D677">
        <v>0</v>
      </c>
      <c r="E677">
        <v>0</v>
      </c>
      <c r="F677">
        <v>0</v>
      </c>
      <c r="G677">
        <v>1</v>
      </c>
      <c r="H677">
        <v>0</v>
      </c>
      <c r="I677" t="s">
        <v>16</v>
      </c>
      <c r="J677">
        <v>0</v>
      </c>
      <c r="K677">
        <v>0</v>
      </c>
    </row>
    <row r="678" spans="1:11" x14ac:dyDescent="0.3">
      <c r="A678">
        <v>1508</v>
      </c>
      <c r="B678">
        <v>71428.571429999996</v>
      </c>
      <c r="C678" t="s">
        <v>14</v>
      </c>
      <c r="D678">
        <v>0</v>
      </c>
      <c r="E678">
        <v>0</v>
      </c>
      <c r="F678">
        <v>0</v>
      </c>
      <c r="G678">
        <v>1</v>
      </c>
      <c r="H678">
        <v>0</v>
      </c>
      <c r="I678" t="s">
        <v>16</v>
      </c>
      <c r="J678">
        <v>1</v>
      </c>
      <c r="K678">
        <v>0</v>
      </c>
    </row>
    <row r="679" spans="1:11" x14ac:dyDescent="0.3">
      <c r="A679">
        <v>1509</v>
      </c>
      <c r="B679">
        <v>83333.333329999994</v>
      </c>
      <c r="C679" t="s">
        <v>14</v>
      </c>
      <c r="D679">
        <v>0</v>
      </c>
      <c r="E679">
        <v>0</v>
      </c>
      <c r="F679">
        <v>0</v>
      </c>
      <c r="G679">
        <v>1</v>
      </c>
      <c r="H679">
        <v>0</v>
      </c>
      <c r="I679" t="s">
        <v>16</v>
      </c>
      <c r="J679">
        <v>0</v>
      </c>
      <c r="K679">
        <v>0</v>
      </c>
    </row>
    <row r="680" spans="1:11" x14ac:dyDescent="0.3">
      <c r="A680">
        <v>1512</v>
      </c>
      <c r="B680">
        <v>33333.333330000001</v>
      </c>
      <c r="C680" t="s">
        <v>14</v>
      </c>
      <c r="D680">
        <v>0</v>
      </c>
      <c r="E680">
        <v>0</v>
      </c>
      <c r="F680">
        <v>0</v>
      </c>
      <c r="G680">
        <v>1</v>
      </c>
      <c r="H680">
        <v>0</v>
      </c>
      <c r="I680" t="s">
        <v>16</v>
      </c>
      <c r="J680">
        <v>0</v>
      </c>
      <c r="K680">
        <v>0</v>
      </c>
    </row>
    <row r="681" spans="1:11" x14ac:dyDescent="0.3">
      <c r="A681">
        <v>1514</v>
      </c>
      <c r="B681">
        <v>30000</v>
      </c>
      <c r="C681" t="s">
        <v>14</v>
      </c>
      <c r="D681">
        <v>0</v>
      </c>
      <c r="E681">
        <v>1</v>
      </c>
      <c r="F681">
        <v>0</v>
      </c>
      <c r="G681">
        <v>1</v>
      </c>
      <c r="H681">
        <v>0</v>
      </c>
      <c r="I681" t="s">
        <v>16</v>
      </c>
      <c r="J681">
        <v>0</v>
      </c>
      <c r="K681">
        <v>0</v>
      </c>
    </row>
    <row r="682" spans="1:11" x14ac:dyDescent="0.3">
      <c r="A682">
        <v>1524</v>
      </c>
      <c r="B682">
        <v>27272.727269999999</v>
      </c>
      <c r="C682" t="s">
        <v>12</v>
      </c>
      <c r="D682">
        <v>1</v>
      </c>
      <c r="E682">
        <v>1</v>
      </c>
      <c r="F682">
        <v>0</v>
      </c>
      <c r="G682">
        <v>1</v>
      </c>
      <c r="H682">
        <v>0</v>
      </c>
      <c r="I682" t="s">
        <v>16</v>
      </c>
      <c r="J682">
        <v>1</v>
      </c>
      <c r="K682">
        <v>0</v>
      </c>
    </row>
    <row r="683" spans="1:11" x14ac:dyDescent="0.3">
      <c r="A683">
        <v>1525</v>
      </c>
      <c r="B683">
        <v>37500</v>
      </c>
      <c r="C683" t="s">
        <v>14</v>
      </c>
      <c r="D683">
        <v>0</v>
      </c>
      <c r="E683">
        <v>0</v>
      </c>
      <c r="F683">
        <v>0</v>
      </c>
      <c r="G683">
        <v>1</v>
      </c>
      <c r="H683">
        <v>0</v>
      </c>
      <c r="I683" t="s">
        <v>16</v>
      </c>
      <c r="J683">
        <v>1</v>
      </c>
      <c r="K683">
        <v>0</v>
      </c>
    </row>
    <row r="684" spans="1:11" x14ac:dyDescent="0.3">
      <c r="A684">
        <v>1526</v>
      </c>
      <c r="B684">
        <v>10000</v>
      </c>
      <c r="C684" t="s">
        <v>14</v>
      </c>
      <c r="D684">
        <v>0</v>
      </c>
      <c r="E684">
        <v>1</v>
      </c>
      <c r="F684">
        <v>0</v>
      </c>
      <c r="G684">
        <v>1</v>
      </c>
      <c r="H684">
        <v>0</v>
      </c>
      <c r="I684" t="s">
        <v>16</v>
      </c>
      <c r="J684">
        <v>0</v>
      </c>
      <c r="K684">
        <v>1</v>
      </c>
    </row>
    <row r="685" spans="1:11" x14ac:dyDescent="0.3">
      <c r="A685">
        <v>1527</v>
      </c>
      <c r="B685">
        <v>38461.538460000003</v>
      </c>
      <c r="C685" t="s">
        <v>14</v>
      </c>
      <c r="D685">
        <v>0</v>
      </c>
      <c r="E685">
        <v>1</v>
      </c>
      <c r="F685">
        <v>0</v>
      </c>
      <c r="G685">
        <v>1</v>
      </c>
      <c r="H685">
        <v>0</v>
      </c>
      <c r="I685" t="s">
        <v>16</v>
      </c>
      <c r="J685">
        <v>0</v>
      </c>
      <c r="K685">
        <v>1</v>
      </c>
    </row>
    <row r="686" spans="1:11" x14ac:dyDescent="0.3">
      <c r="A686">
        <v>1529</v>
      </c>
      <c r="B686">
        <v>33333.333330000001</v>
      </c>
      <c r="C686" t="s">
        <v>12</v>
      </c>
      <c r="D686">
        <v>1</v>
      </c>
      <c r="E686">
        <v>0</v>
      </c>
      <c r="F686">
        <v>0</v>
      </c>
      <c r="G686">
        <v>1</v>
      </c>
      <c r="H686">
        <v>0</v>
      </c>
      <c r="I686" t="s">
        <v>16</v>
      </c>
      <c r="J686">
        <v>1</v>
      </c>
      <c r="K686">
        <v>1</v>
      </c>
    </row>
    <row r="687" spans="1:11" x14ac:dyDescent="0.3">
      <c r="A687">
        <v>1531</v>
      </c>
      <c r="B687">
        <v>68181.818180000002</v>
      </c>
      <c r="C687" t="s">
        <v>14</v>
      </c>
      <c r="D687">
        <v>0</v>
      </c>
      <c r="E687">
        <v>0</v>
      </c>
      <c r="F687">
        <v>0</v>
      </c>
      <c r="G687">
        <v>1</v>
      </c>
      <c r="H687">
        <v>0</v>
      </c>
      <c r="I687" t="s">
        <v>16</v>
      </c>
      <c r="J687">
        <v>1</v>
      </c>
      <c r="K687">
        <v>1</v>
      </c>
    </row>
    <row r="688" spans="1:11" x14ac:dyDescent="0.3">
      <c r="A688">
        <v>1532</v>
      </c>
      <c r="B688">
        <v>42553.191489999997</v>
      </c>
      <c r="C688" t="s">
        <v>14</v>
      </c>
      <c r="D688">
        <v>0</v>
      </c>
      <c r="E688">
        <v>0</v>
      </c>
      <c r="F688">
        <v>0</v>
      </c>
      <c r="G688">
        <v>1</v>
      </c>
      <c r="H688">
        <v>0</v>
      </c>
      <c r="I688" t="s">
        <v>16</v>
      </c>
      <c r="J688">
        <v>1</v>
      </c>
      <c r="K688">
        <v>0</v>
      </c>
    </row>
    <row r="689" spans="1:11" x14ac:dyDescent="0.3">
      <c r="A689">
        <v>1533</v>
      </c>
      <c r="B689">
        <v>10000</v>
      </c>
      <c r="C689" t="s">
        <v>14</v>
      </c>
      <c r="D689">
        <v>0</v>
      </c>
      <c r="E689">
        <v>0</v>
      </c>
      <c r="F689">
        <v>0</v>
      </c>
      <c r="G689">
        <v>1</v>
      </c>
      <c r="H689">
        <v>0</v>
      </c>
      <c r="I689" t="s">
        <v>16</v>
      </c>
      <c r="J689">
        <v>1</v>
      </c>
      <c r="K689">
        <v>1</v>
      </c>
    </row>
    <row r="690" spans="1:11" x14ac:dyDescent="0.3">
      <c r="A690">
        <v>1534</v>
      </c>
      <c r="B690">
        <v>47505.938240000003</v>
      </c>
      <c r="C690" t="s">
        <v>14</v>
      </c>
      <c r="D690">
        <v>0</v>
      </c>
      <c r="E690">
        <v>0</v>
      </c>
      <c r="F690">
        <v>0</v>
      </c>
      <c r="G690">
        <v>1</v>
      </c>
      <c r="H690">
        <v>0</v>
      </c>
      <c r="I690" t="s">
        <v>16</v>
      </c>
      <c r="J690">
        <v>0</v>
      </c>
      <c r="K690">
        <v>0</v>
      </c>
    </row>
    <row r="691" spans="1:11" x14ac:dyDescent="0.3">
      <c r="A691">
        <v>1535</v>
      </c>
      <c r="B691">
        <v>28571.42857</v>
      </c>
      <c r="C691" t="s">
        <v>12</v>
      </c>
      <c r="D691">
        <v>1</v>
      </c>
      <c r="E691">
        <v>0</v>
      </c>
      <c r="F691">
        <v>0</v>
      </c>
      <c r="G691">
        <v>1</v>
      </c>
      <c r="H691">
        <v>0</v>
      </c>
      <c r="I691" t="s">
        <v>16</v>
      </c>
      <c r="J691">
        <v>1</v>
      </c>
      <c r="K691">
        <v>0</v>
      </c>
    </row>
    <row r="692" spans="1:11" x14ac:dyDescent="0.3">
      <c r="A692">
        <v>1536</v>
      </c>
      <c r="B692">
        <v>25000</v>
      </c>
      <c r="C692" t="s">
        <v>14</v>
      </c>
      <c r="D692">
        <v>0</v>
      </c>
      <c r="E692">
        <v>0</v>
      </c>
      <c r="F692">
        <v>0</v>
      </c>
      <c r="G692">
        <v>1</v>
      </c>
      <c r="H692">
        <v>0</v>
      </c>
      <c r="I692" t="s">
        <v>16</v>
      </c>
      <c r="J692">
        <v>0</v>
      </c>
      <c r="K692">
        <v>1</v>
      </c>
    </row>
    <row r="693" spans="1:11" x14ac:dyDescent="0.3">
      <c r="A693">
        <v>1537</v>
      </c>
      <c r="B693">
        <v>50000</v>
      </c>
      <c r="C693" t="s">
        <v>14</v>
      </c>
      <c r="D693">
        <v>0</v>
      </c>
      <c r="E693">
        <v>0</v>
      </c>
      <c r="F693">
        <v>0</v>
      </c>
      <c r="G693">
        <v>1</v>
      </c>
      <c r="H693">
        <v>0</v>
      </c>
      <c r="I693" t="s">
        <v>16</v>
      </c>
      <c r="J693">
        <v>1</v>
      </c>
      <c r="K693">
        <v>0</v>
      </c>
    </row>
    <row r="694" spans="1:11" x14ac:dyDescent="0.3">
      <c r="A694">
        <v>1538</v>
      </c>
      <c r="B694">
        <v>29411.764709999999</v>
      </c>
      <c r="C694" t="s">
        <v>12</v>
      </c>
      <c r="D694">
        <v>1</v>
      </c>
      <c r="E694">
        <v>0</v>
      </c>
      <c r="F694">
        <v>0</v>
      </c>
      <c r="G694">
        <v>1</v>
      </c>
      <c r="H694">
        <v>0</v>
      </c>
      <c r="I694" t="s">
        <v>16</v>
      </c>
      <c r="J694">
        <v>1</v>
      </c>
      <c r="K694">
        <v>1</v>
      </c>
    </row>
    <row r="695" spans="1:11" x14ac:dyDescent="0.3">
      <c r="A695">
        <v>1539</v>
      </c>
      <c r="B695">
        <v>68181.818180000002</v>
      </c>
      <c r="C695" t="s">
        <v>14</v>
      </c>
      <c r="D695">
        <v>0</v>
      </c>
      <c r="E695">
        <v>1</v>
      </c>
      <c r="F695">
        <v>0</v>
      </c>
      <c r="G695">
        <v>1</v>
      </c>
      <c r="H695">
        <v>0</v>
      </c>
      <c r="I695" t="s">
        <v>16</v>
      </c>
      <c r="J695">
        <v>1</v>
      </c>
      <c r="K695">
        <v>0</v>
      </c>
    </row>
    <row r="696" spans="1:11" x14ac:dyDescent="0.3">
      <c r="A696">
        <v>1540</v>
      </c>
      <c r="B696">
        <v>13333.333329999999</v>
      </c>
      <c r="C696" t="s">
        <v>14</v>
      </c>
      <c r="D696">
        <v>0</v>
      </c>
      <c r="E696">
        <v>1</v>
      </c>
      <c r="F696">
        <v>0</v>
      </c>
      <c r="G696">
        <v>1</v>
      </c>
      <c r="H696">
        <v>0</v>
      </c>
      <c r="I696" t="s">
        <v>16</v>
      </c>
      <c r="J696">
        <v>0</v>
      </c>
      <c r="K696">
        <v>0</v>
      </c>
    </row>
    <row r="697" spans="1:11" x14ac:dyDescent="0.3">
      <c r="A697">
        <v>1541</v>
      </c>
      <c r="B697">
        <v>8333.3333330000005</v>
      </c>
      <c r="C697" t="s">
        <v>14</v>
      </c>
      <c r="D697">
        <v>0</v>
      </c>
      <c r="E697">
        <v>1</v>
      </c>
      <c r="F697">
        <v>0</v>
      </c>
      <c r="G697">
        <v>1</v>
      </c>
      <c r="H697">
        <v>0</v>
      </c>
      <c r="I697" t="s">
        <v>16</v>
      </c>
      <c r="J697">
        <v>0</v>
      </c>
      <c r="K697">
        <v>0</v>
      </c>
    </row>
    <row r="698" spans="1:11" x14ac:dyDescent="0.3">
      <c r="A698">
        <v>1543</v>
      </c>
      <c r="B698">
        <v>18181.818179999998</v>
      </c>
      <c r="C698" t="s">
        <v>14</v>
      </c>
      <c r="D698">
        <v>0</v>
      </c>
      <c r="E698">
        <v>0</v>
      </c>
      <c r="F698">
        <v>0</v>
      </c>
      <c r="G698">
        <v>1</v>
      </c>
      <c r="H698">
        <v>0</v>
      </c>
      <c r="I698" t="s">
        <v>16</v>
      </c>
      <c r="J698">
        <v>0</v>
      </c>
      <c r="K698">
        <v>1</v>
      </c>
    </row>
    <row r="699" spans="1:11" x14ac:dyDescent="0.3">
      <c r="A699">
        <v>1544</v>
      </c>
      <c r="B699">
        <v>10000</v>
      </c>
      <c r="C699" t="s">
        <v>14</v>
      </c>
      <c r="D699">
        <v>0</v>
      </c>
      <c r="E699">
        <v>0</v>
      </c>
      <c r="F699">
        <v>0</v>
      </c>
      <c r="G699">
        <v>1</v>
      </c>
      <c r="H699">
        <v>0</v>
      </c>
      <c r="I699" t="s">
        <v>16</v>
      </c>
      <c r="J699">
        <v>0</v>
      </c>
      <c r="K699">
        <v>0</v>
      </c>
    </row>
    <row r="700" spans="1:11" x14ac:dyDescent="0.3">
      <c r="A700">
        <v>1545</v>
      </c>
      <c r="B700">
        <v>60000</v>
      </c>
      <c r="C700" t="s">
        <v>14</v>
      </c>
      <c r="D700">
        <v>0</v>
      </c>
      <c r="E700">
        <v>0</v>
      </c>
      <c r="F700">
        <v>0</v>
      </c>
      <c r="G700">
        <v>1</v>
      </c>
      <c r="H700">
        <v>0</v>
      </c>
      <c r="I700" t="s">
        <v>16</v>
      </c>
      <c r="J700">
        <v>0</v>
      </c>
      <c r="K700">
        <v>0</v>
      </c>
    </row>
    <row r="701" spans="1:11" x14ac:dyDescent="0.3">
      <c r="A701">
        <v>1546</v>
      </c>
      <c r="B701">
        <v>41666.666669999999</v>
      </c>
      <c r="C701" t="s">
        <v>14</v>
      </c>
      <c r="D701">
        <v>0</v>
      </c>
      <c r="E701">
        <v>1</v>
      </c>
      <c r="F701">
        <v>0</v>
      </c>
      <c r="G701">
        <v>1</v>
      </c>
      <c r="H701">
        <v>0</v>
      </c>
      <c r="I701" t="s">
        <v>16</v>
      </c>
      <c r="J701">
        <v>1</v>
      </c>
      <c r="K701">
        <v>0</v>
      </c>
    </row>
    <row r="702" spans="1:11" x14ac:dyDescent="0.3">
      <c r="A702">
        <v>1547</v>
      </c>
      <c r="B702">
        <v>40000</v>
      </c>
      <c r="C702" t="s">
        <v>14</v>
      </c>
      <c r="D702">
        <v>0</v>
      </c>
      <c r="E702">
        <v>0</v>
      </c>
      <c r="F702">
        <v>0</v>
      </c>
      <c r="G702">
        <v>1</v>
      </c>
      <c r="H702">
        <v>0</v>
      </c>
      <c r="I702" t="s">
        <v>16</v>
      </c>
      <c r="J702">
        <v>1</v>
      </c>
      <c r="K702">
        <v>0</v>
      </c>
    </row>
    <row r="703" spans="1:11" x14ac:dyDescent="0.3">
      <c r="A703">
        <v>1548</v>
      </c>
      <c r="B703">
        <v>9615.3846150000008</v>
      </c>
      <c r="C703" t="s">
        <v>14</v>
      </c>
      <c r="D703">
        <v>0</v>
      </c>
      <c r="E703">
        <v>0</v>
      </c>
      <c r="F703">
        <v>0</v>
      </c>
      <c r="G703">
        <v>1</v>
      </c>
      <c r="H703">
        <v>0</v>
      </c>
      <c r="I703" t="s">
        <v>16</v>
      </c>
      <c r="J703">
        <v>0</v>
      </c>
      <c r="K703">
        <v>0</v>
      </c>
    </row>
    <row r="704" spans="1:11" x14ac:dyDescent="0.3">
      <c r="A704">
        <v>1549</v>
      </c>
      <c r="B704">
        <v>13888.88889</v>
      </c>
      <c r="C704" t="s">
        <v>14</v>
      </c>
      <c r="D704">
        <v>0</v>
      </c>
      <c r="E704">
        <v>1</v>
      </c>
      <c r="F704">
        <v>0</v>
      </c>
      <c r="G704">
        <v>1</v>
      </c>
      <c r="H704">
        <v>0</v>
      </c>
      <c r="I704" t="s">
        <v>16</v>
      </c>
      <c r="J704">
        <v>0</v>
      </c>
      <c r="K704">
        <v>0</v>
      </c>
    </row>
    <row r="705" spans="1:11" x14ac:dyDescent="0.3">
      <c r="A705">
        <v>3947</v>
      </c>
      <c r="B705">
        <v>50000</v>
      </c>
      <c r="C705" t="s">
        <v>14</v>
      </c>
      <c r="D705">
        <v>0</v>
      </c>
      <c r="E705">
        <v>0</v>
      </c>
      <c r="F705">
        <v>0</v>
      </c>
      <c r="G705">
        <v>0</v>
      </c>
      <c r="H705">
        <v>1</v>
      </c>
      <c r="I705" t="s">
        <v>15</v>
      </c>
      <c r="J705">
        <v>1</v>
      </c>
      <c r="K705">
        <v>1</v>
      </c>
    </row>
    <row r="706" spans="1:11" x14ac:dyDescent="0.3">
      <c r="A706">
        <v>1552</v>
      </c>
      <c r="B706">
        <v>10000</v>
      </c>
      <c r="C706" t="s">
        <v>14</v>
      </c>
      <c r="D706">
        <v>0</v>
      </c>
      <c r="E706">
        <v>0</v>
      </c>
      <c r="F706">
        <v>0</v>
      </c>
      <c r="G706">
        <v>1</v>
      </c>
      <c r="H706">
        <v>0</v>
      </c>
      <c r="I706" t="s">
        <v>16</v>
      </c>
      <c r="J706">
        <v>0</v>
      </c>
      <c r="K706">
        <v>0</v>
      </c>
    </row>
    <row r="707" spans="1:11" x14ac:dyDescent="0.3">
      <c r="A707">
        <v>1555</v>
      </c>
      <c r="B707">
        <v>15625</v>
      </c>
      <c r="C707" t="s">
        <v>14</v>
      </c>
      <c r="D707">
        <v>0</v>
      </c>
      <c r="E707">
        <v>1</v>
      </c>
      <c r="F707">
        <v>0</v>
      </c>
      <c r="G707">
        <v>1</v>
      </c>
      <c r="H707">
        <v>0</v>
      </c>
      <c r="I707" t="s">
        <v>16</v>
      </c>
      <c r="J707">
        <v>0</v>
      </c>
      <c r="K707">
        <v>0</v>
      </c>
    </row>
    <row r="708" spans="1:11" x14ac:dyDescent="0.3">
      <c r="A708">
        <v>1556</v>
      </c>
      <c r="B708">
        <v>7936.5079370000003</v>
      </c>
      <c r="C708" t="s">
        <v>14</v>
      </c>
      <c r="D708">
        <v>0</v>
      </c>
      <c r="E708">
        <v>0</v>
      </c>
      <c r="F708">
        <v>0</v>
      </c>
      <c r="G708">
        <v>1</v>
      </c>
      <c r="H708">
        <v>0</v>
      </c>
      <c r="I708" t="s">
        <v>16</v>
      </c>
      <c r="J708">
        <v>0</v>
      </c>
      <c r="K708">
        <v>0</v>
      </c>
    </row>
    <row r="709" spans="1:11" x14ac:dyDescent="0.3">
      <c r="A709">
        <v>1557</v>
      </c>
      <c r="B709">
        <v>31250</v>
      </c>
      <c r="C709" t="s">
        <v>12</v>
      </c>
      <c r="D709">
        <v>1</v>
      </c>
      <c r="E709">
        <v>0</v>
      </c>
      <c r="F709">
        <v>0</v>
      </c>
      <c r="G709">
        <v>1</v>
      </c>
      <c r="H709">
        <v>0</v>
      </c>
      <c r="I709" t="s">
        <v>16</v>
      </c>
      <c r="J709">
        <v>0</v>
      </c>
      <c r="K709">
        <v>0</v>
      </c>
    </row>
    <row r="710" spans="1:11" x14ac:dyDescent="0.3">
      <c r="A710">
        <v>3945</v>
      </c>
      <c r="B710">
        <v>50000</v>
      </c>
      <c r="C710" t="s">
        <v>14</v>
      </c>
      <c r="D710">
        <v>0</v>
      </c>
      <c r="E710">
        <v>0</v>
      </c>
      <c r="F710">
        <v>0</v>
      </c>
      <c r="G710">
        <v>0</v>
      </c>
      <c r="H710">
        <v>1</v>
      </c>
      <c r="I710" t="s">
        <v>15</v>
      </c>
      <c r="J710">
        <v>1</v>
      </c>
      <c r="K710">
        <v>1</v>
      </c>
    </row>
    <row r="711" spans="1:11" x14ac:dyDescent="0.3">
      <c r="A711">
        <v>3939</v>
      </c>
      <c r="B711">
        <v>114833.3333</v>
      </c>
      <c r="C711" t="s">
        <v>14</v>
      </c>
      <c r="D711">
        <v>0</v>
      </c>
      <c r="E711">
        <v>0</v>
      </c>
      <c r="F711">
        <v>0</v>
      </c>
      <c r="G711">
        <v>0</v>
      </c>
      <c r="H711">
        <v>1</v>
      </c>
      <c r="I711" t="s">
        <v>15</v>
      </c>
      <c r="J711">
        <v>0</v>
      </c>
      <c r="K711">
        <v>1</v>
      </c>
    </row>
    <row r="712" spans="1:11" x14ac:dyDescent="0.3">
      <c r="A712">
        <v>1562</v>
      </c>
      <c r="B712">
        <v>4000</v>
      </c>
      <c r="C712" t="s">
        <v>14</v>
      </c>
      <c r="D712">
        <v>0</v>
      </c>
      <c r="E712">
        <v>0</v>
      </c>
      <c r="F712">
        <v>0</v>
      </c>
      <c r="G712">
        <v>1</v>
      </c>
      <c r="H712">
        <v>0</v>
      </c>
      <c r="I712" t="s">
        <v>16</v>
      </c>
      <c r="J712">
        <v>1</v>
      </c>
      <c r="K712">
        <v>0</v>
      </c>
    </row>
    <row r="713" spans="1:11" x14ac:dyDescent="0.3">
      <c r="A713">
        <v>3933</v>
      </c>
      <c r="B713">
        <v>150000</v>
      </c>
      <c r="C713" t="s">
        <v>14</v>
      </c>
      <c r="D713">
        <v>0</v>
      </c>
      <c r="E713">
        <v>0</v>
      </c>
      <c r="F713">
        <v>0</v>
      </c>
      <c r="G713">
        <v>0</v>
      </c>
      <c r="H713">
        <v>1</v>
      </c>
      <c r="I713" t="s">
        <v>15</v>
      </c>
      <c r="J713">
        <v>1</v>
      </c>
      <c r="K713">
        <v>0</v>
      </c>
    </row>
    <row r="714" spans="1:11" x14ac:dyDescent="0.3">
      <c r="A714">
        <v>1564</v>
      </c>
      <c r="B714">
        <v>78125</v>
      </c>
      <c r="C714" t="s">
        <v>14</v>
      </c>
      <c r="D714">
        <v>0</v>
      </c>
      <c r="E714">
        <v>0</v>
      </c>
      <c r="F714">
        <v>0</v>
      </c>
      <c r="G714">
        <v>1</v>
      </c>
      <c r="H714">
        <v>0</v>
      </c>
      <c r="I714" t="s">
        <v>16</v>
      </c>
      <c r="J714">
        <v>0</v>
      </c>
      <c r="K714">
        <v>0</v>
      </c>
    </row>
    <row r="715" spans="1:11" x14ac:dyDescent="0.3">
      <c r="A715">
        <v>1565</v>
      </c>
      <c r="B715">
        <v>-16666.666669999999</v>
      </c>
      <c r="C715" t="s">
        <v>14</v>
      </c>
      <c r="D715">
        <v>0</v>
      </c>
      <c r="E715">
        <v>0</v>
      </c>
      <c r="F715">
        <v>0</v>
      </c>
      <c r="G715">
        <v>1</v>
      </c>
      <c r="H715">
        <v>0</v>
      </c>
      <c r="I715" t="s">
        <v>16</v>
      </c>
      <c r="J715">
        <v>0</v>
      </c>
      <c r="K715">
        <v>0</v>
      </c>
    </row>
    <row r="716" spans="1:11" x14ac:dyDescent="0.3">
      <c r="A716">
        <v>1566</v>
      </c>
      <c r="B716">
        <v>5791.5057919999999</v>
      </c>
      <c r="C716" t="s">
        <v>14</v>
      </c>
      <c r="D716">
        <v>0</v>
      </c>
      <c r="E716">
        <v>1</v>
      </c>
      <c r="F716">
        <v>0</v>
      </c>
      <c r="G716">
        <v>1</v>
      </c>
      <c r="H716">
        <v>0</v>
      </c>
      <c r="I716" t="s">
        <v>16</v>
      </c>
      <c r="J716">
        <v>0</v>
      </c>
      <c r="K716">
        <v>0</v>
      </c>
    </row>
    <row r="717" spans="1:11" x14ac:dyDescent="0.3">
      <c r="A717">
        <v>3927</v>
      </c>
      <c r="B717">
        <v>66666.666670000006</v>
      </c>
      <c r="C717" t="s">
        <v>14</v>
      </c>
      <c r="D717">
        <v>0</v>
      </c>
      <c r="E717">
        <v>0</v>
      </c>
      <c r="F717">
        <v>0</v>
      </c>
      <c r="G717">
        <v>0</v>
      </c>
      <c r="H717">
        <v>1</v>
      </c>
      <c r="I717" t="s">
        <v>15</v>
      </c>
      <c r="J717">
        <v>1</v>
      </c>
      <c r="K717">
        <v>0</v>
      </c>
    </row>
    <row r="718" spans="1:11" x14ac:dyDescent="0.3">
      <c r="A718">
        <v>1569</v>
      </c>
      <c r="B718">
        <v>7923.9302690000004</v>
      </c>
      <c r="C718" t="s">
        <v>12</v>
      </c>
      <c r="D718">
        <v>1</v>
      </c>
      <c r="E718">
        <v>0</v>
      </c>
      <c r="F718">
        <v>0</v>
      </c>
      <c r="G718">
        <v>1</v>
      </c>
      <c r="H718">
        <v>0</v>
      </c>
      <c r="I718" t="s">
        <v>16</v>
      </c>
      <c r="J718">
        <v>1</v>
      </c>
      <c r="K718">
        <v>0</v>
      </c>
    </row>
    <row r="719" spans="1:11" x14ac:dyDescent="0.3">
      <c r="A719">
        <v>1572</v>
      </c>
      <c r="B719">
        <v>17241.37931</v>
      </c>
      <c r="C719" t="s">
        <v>12</v>
      </c>
      <c r="D719">
        <v>1</v>
      </c>
      <c r="E719">
        <v>0</v>
      </c>
      <c r="F719">
        <v>0</v>
      </c>
      <c r="G719">
        <v>0</v>
      </c>
      <c r="H719">
        <v>1</v>
      </c>
      <c r="I719" t="s">
        <v>16</v>
      </c>
      <c r="J719">
        <v>0</v>
      </c>
      <c r="K719">
        <v>1</v>
      </c>
    </row>
    <row r="720" spans="1:11" x14ac:dyDescent="0.3">
      <c r="A720">
        <v>1573</v>
      </c>
      <c r="B720">
        <v>13333.333329999999</v>
      </c>
      <c r="C720" t="s">
        <v>14</v>
      </c>
      <c r="D720">
        <v>0</v>
      </c>
      <c r="E720">
        <v>0</v>
      </c>
      <c r="F720">
        <v>0</v>
      </c>
      <c r="G720">
        <v>0</v>
      </c>
      <c r="H720">
        <v>1</v>
      </c>
      <c r="I720" t="s">
        <v>16</v>
      </c>
      <c r="J720">
        <v>0</v>
      </c>
      <c r="K720">
        <v>0</v>
      </c>
    </row>
    <row r="721" spans="1:11" x14ac:dyDescent="0.3">
      <c r="A721">
        <v>1574</v>
      </c>
      <c r="B721">
        <v>10000</v>
      </c>
      <c r="C721" t="s">
        <v>14</v>
      </c>
      <c r="D721">
        <v>0</v>
      </c>
      <c r="E721">
        <v>0</v>
      </c>
      <c r="F721">
        <v>0</v>
      </c>
      <c r="G721">
        <v>0</v>
      </c>
      <c r="H721">
        <v>1</v>
      </c>
      <c r="I721" t="s">
        <v>16</v>
      </c>
      <c r="J721">
        <v>1</v>
      </c>
      <c r="K721">
        <v>0</v>
      </c>
    </row>
    <row r="722" spans="1:11" x14ac:dyDescent="0.3">
      <c r="A722">
        <v>1575</v>
      </c>
      <c r="B722">
        <v>5000</v>
      </c>
      <c r="C722" t="s">
        <v>12</v>
      </c>
      <c r="D722">
        <v>1</v>
      </c>
      <c r="E722">
        <v>0</v>
      </c>
      <c r="F722">
        <v>0</v>
      </c>
      <c r="G722">
        <v>0</v>
      </c>
      <c r="H722">
        <v>1</v>
      </c>
      <c r="I722" t="s">
        <v>16</v>
      </c>
      <c r="J722">
        <v>1</v>
      </c>
      <c r="K722">
        <v>1</v>
      </c>
    </row>
    <row r="723" spans="1:11" x14ac:dyDescent="0.3">
      <c r="A723">
        <v>1576</v>
      </c>
      <c r="B723">
        <v>10000</v>
      </c>
      <c r="C723" t="s">
        <v>14</v>
      </c>
      <c r="D723">
        <v>0</v>
      </c>
      <c r="E723">
        <v>0</v>
      </c>
      <c r="F723">
        <v>0</v>
      </c>
      <c r="G723">
        <v>0</v>
      </c>
      <c r="H723">
        <v>1</v>
      </c>
      <c r="I723" t="s">
        <v>16</v>
      </c>
      <c r="J723">
        <v>1</v>
      </c>
      <c r="K723">
        <v>0</v>
      </c>
    </row>
    <row r="724" spans="1:11" x14ac:dyDescent="0.3">
      <c r="A724">
        <v>1577</v>
      </c>
      <c r="B724">
        <v>10000</v>
      </c>
      <c r="C724" t="s">
        <v>14</v>
      </c>
      <c r="D724">
        <v>0</v>
      </c>
      <c r="E724">
        <v>0</v>
      </c>
      <c r="F724">
        <v>0</v>
      </c>
      <c r="G724">
        <v>0</v>
      </c>
      <c r="H724">
        <v>1</v>
      </c>
      <c r="I724" t="s">
        <v>16</v>
      </c>
      <c r="J724">
        <v>0</v>
      </c>
      <c r="K724">
        <v>0</v>
      </c>
    </row>
    <row r="725" spans="1:11" x14ac:dyDescent="0.3">
      <c r="A725">
        <v>1579</v>
      </c>
      <c r="B725">
        <v>7500</v>
      </c>
      <c r="C725" t="s">
        <v>12</v>
      </c>
      <c r="D725">
        <v>1</v>
      </c>
      <c r="E725">
        <v>0</v>
      </c>
      <c r="F725">
        <v>0</v>
      </c>
      <c r="G725">
        <v>1</v>
      </c>
      <c r="H725">
        <v>0</v>
      </c>
      <c r="I725" t="s">
        <v>16</v>
      </c>
      <c r="J725">
        <v>1</v>
      </c>
      <c r="K725">
        <v>0</v>
      </c>
    </row>
    <row r="726" spans="1:11" x14ac:dyDescent="0.3">
      <c r="A726">
        <v>1582</v>
      </c>
      <c r="B726">
        <v>13333.333329999999</v>
      </c>
      <c r="C726" t="s">
        <v>14</v>
      </c>
      <c r="D726">
        <v>0</v>
      </c>
      <c r="E726">
        <v>0</v>
      </c>
      <c r="F726">
        <v>0</v>
      </c>
      <c r="G726">
        <v>0</v>
      </c>
      <c r="H726">
        <v>1</v>
      </c>
      <c r="I726" t="s">
        <v>16</v>
      </c>
      <c r="J726">
        <v>1</v>
      </c>
      <c r="K726">
        <v>0</v>
      </c>
    </row>
    <row r="727" spans="1:11" x14ac:dyDescent="0.3">
      <c r="A727">
        <v>1583</v>
      </c>
      <c r="B727">
        <v>23437.5</v>
      </c>
      <c r="C727" t="s">
        <v>14</v>
      </c>
      <c r="D727">
        <v>0</v>
      </c>
      <c r="E727">
        <v>0</v>
      </c>
      <c r="F727">
        <v>0</v>
      </c>
      <c r="G727">
        <v>0</v>
      </c>
      <c r="H727">
        <v>1</v>
      </c>
      <c r="I727" t="s">
        <v>16</v>
      </c>
      <c r="J727">
        <v>1</v>
      </c>
      <c r="K727">
        <v>0</v>
      </c>
    </row>
    <row r="728" spans="1:11" x14ac:dyDescent="0.3">
      <c r="A728">
        <v>1585</v>
      </c>
      <c r="B728">
        <v>13333.333329999999</v>
      </c>
      <c r="C728" t="s">
        <v>14</v>
      </c>
      <c r="D728">
        <v>0</v>
      </c>
      <c r="E728">
        <v>0</v>
      </c>
      <c r="F728">
        <v>0</v>
      </c>
      <c r="G728">
        <v>1</v>
      </c>
      <c r="H728">
        <v>0</v>
      </c>
      <c r="I728" t="s">
        <v>16</v>
      </c>
      <c r="J728">
        <v>1</v>
      </c>
      <c r="K728">
        <v>1</v>
      </c>
    </row>
    <row r="729" spans="1:11" x14ac:dyDescent="0.3">
      <c r="A729">
        <v>1586</v>
      </c>
      <c r="B729">
        <v>7142.8571430000002</v>
      </c>
      <c r="C729" t="s">
        <v>14</v>
      </c>
      <c r="D729">
        <v>0</v>
      </c>
      <c r="E729">
        <v>0</v>
      </c>
      <c r="F729">
        <v>0</v>
      </c>
      <c r="G729">
        <v>0</v>
      </c>
      <c r="H729">
        <v>1</v>
      </c>
      <c r="I729" t="s">
        <v>16</v>
      </c>
      <c r="J729">
        <v>1</v>
      </c>
      <c r="K729">
        <v>0</v>
      </c>
    </row>
    <row r="730" spans="1:11" x14ac:dyDescent="0.3">
      <c r="A730">
        <v>1588</v>
      </c>
      <c r="B730">
        <v>8333.3333330000005</v>
      </c>
      <c r="C730" t="s">
        <v>14</v>
      </c>
      <c r="D730">
        <v>0</v>
      </c>
      <c r="E730">
        <v>0</v>
      </c>
      <c r="F730">
        <v>0</v>
      </c>
      <c r="G730">
        <v>0</v>
      </c>
      <c r="H730">
        <v>1</v>
      </c>
      <c r="I730" t="s">
        <v>16</v>
      </c>
      <c r="J730">
        <v>1</v>
      </c>
      <c r="K730">
        <v>0</v>
      </c>
    </row>
    <row r="731" spans="1:11" x14ac:dyDescent="0.3">
      <c r="A731">
        <v>1589</v>
      </c>
      <c r="B731">
        <v>8000</v>
      </c>
      <c r="C731" t="s">
        <v>14</v>
      </c>
      <c r="D731">
        <v>0</v>
      </c>
      <c r="E731">
        <v>0</v>
      </c>
      <c r="F731">
        <v>0</v>
      </c>
      <c r="G731">
        <v>0</v>
      </c>
      <c r="H731">
        <v>1</v>
      </c>
      <c r="I731" t="s">
        <v>16</v>
      </c>
      <c r="J731">
        <v>1</v>
      </c>
      <c r="K731">
        <v>0</v>
      </c>
    </row>
    <row r="732" spans="1:11" x14ac:dyDescent="0.3">
      <c r="A732">
        <v>1590</v>
      </c>
      <c r="B732">
        <v>6250</v>
      </c>
      <c r="C732" t="s">
        <v>14</v>
      </c>
      <c r="D732">
        <v>0</v>
      </c>
      <c r="E732">
        <v>0</v>
      </c>
      <c r="F732">
        <v>0</v>
      </c>
      <c r="G732">
        <v>0</v>
      </c>
      <c r="H732">
        <v>1</v>
      </c>
      <c r="I732" t="s">
        <v>16</v>
      </c>
      <c r="J732">
        <v>1</v>
      </c>
      <c r="K732">
        <v>0</v>
      </c>
    </row>
    <row r="733" spans="1:11" x14ac:dyDescent="0.3">
      <c r="A733">
        <v>1591</v>
      </c>
      <c r="B733">
        <v>6666.6666670000004</v>
      </c>
      <c r="C733" t="s">
        <v>14</v>
      </c>
      <c r="D733">
        <v>0</v>
      </c>
      <c r="E733">
        <v>0</v>
      </c>
      <c r="F733">
        <v>0</v>
      </c>
      <c r="G733">
        <v>0</v>
      </c>
      <c r="H733">
        <v>1</v>
      </c>
      <c r="I733" t="s">
        <v>16</v>
      </c>
      <c r="J733">
        <v>1</v>
      </c>
      <c r="K733">
        <v>0</v>
      </c>
    </row>
    <row r="734" spans="1:11" x14ac:dyDescent="0.3">
      <c r="A734">
        <v>1593</v>
      </c>
      <c r="B734">
        <v>6153.8461539999998</v>
      </c>
      <c r="C734" t="s">
        <v>12</v>
      </c>
      <c r="D734">
        <v>1</v>
      </c>
      <c r="E734">
        <v>0</v>
      </c>
      <c r="F734">
        <v>0</v>
      </c>
      <c r="G734">
        <v>0</v>
      </c>
      <c r="H734">
        <v>1</v>
      </c>
      <c r="I734" t="s">
        <v>16</v>
      </c>
      <c r="J734">
        <v>1</v>
      </c>
      <c r="K734">
        <v>0</v>
      </c>
    </row>
    <row r="735" spans="1:11" x14ac:dyDescent="0.3">
      <c r="A735">
        <v>1595</v>
      </c>
      <c r="B735">
        <v>5000</v>
      </c>
      <c r="C735" t="s">
        <v>12</v>
      </c>
      <c r="D735">
        <v>1</v>
      </c>
      <c r="E735">
        <v>0</v>
      </c>
      <c r="F735">
        <v>0</v>
      </c>
      <c r="G735">
        <v>1</v>
      </c>
      <c r="H735">
        <v>0</v>
      </c>
      <c r="I735" t="s">
        <v>16</v>
      </c>
      <c r="J735">
        <v>0</v>
      </c>
      <c r="K735">
        <v>0</v>
      </c>
    </row>
    <row r="736" spans="1:11" x14ac:dyDescent="0.3">
      <c r="A736">
        <v>1597</v>
      </c>
      <c r="B736">
        <v>20000</v>
      </c>
      <c r="C736" t="s">
        <v>14</v>
      </c>
      <c r="D736">
        <v>0</v>
      </c>
      <c r="E736">
        <v>0</v>
      </c>
      <c r="F736">
        <v>0</v>
      </c>
      <c r="G736">
        <v>0</v>
      </c>
      <c r="H736">
        <v>1</v>
      </c>
      <c r="I736" t="s">
        <v>16</v>
      </c>
      <c r="J736">
        <v>1</v>
      </c>
      <c r="K736">
        <v>1</v>
      </c>
    </row>
    <row r="737" spans="1:11" x14ac:dyDescent="0.3">
      <c r="A737">
        <v>1598</v>
      </c>
      <c r="B737">
        <v>12500</v>
      </c>
      <c r="C737" t="s">
        <v>12</v>
      </c>
      <c r="D737">
        <v>1</v>
      </c>
      <c r="E737">
        <v>0</v>
      </c>
      <c r="F737">
        <v>0</v>
      </c>
      <c r="G737">
        <v>1</v>
      </c>
      <c r="H737">
        <v>0</v>
      </c>
      <c r="I737" t="s">
        <v>16</v>
      </c>
      <c r="J737">
        <v>1</v>
      </c>
      <c r="K737">
        <v>0</v>
      </c>
    </row>
    <row r="738" spans="1:11" x14ac:dyDescent="0.3">
      <c r="A738">
        <v>1599</v>
      </c>
      <c r="B738">
        <v>8333.3333330000005</v>
      </c>
      <c r="C738" t="s">
        <v>14</v>
      </c>
      <c r="D738">
        <v>0</v>
      </c>
      <c r="E738">
        <v>0</v>
      </c>
      <c r="F738">
        <v>0</v>
      </c>
      <c r="G738">
        <v>0</v>
      </c>
      <c r="H738">
        <v>1</v>
      </c>
      <c r="I738" t="s">
        <v>16</v>
      </c>
      <c r="J738">
        <v>1</v>
      </c>
      <c r="K738">
        <v>0</v>
      </c>
    </row>
    <row r="739" spans="1:11" x14ac:dyDescent="0.3">
      <c r="A739">
        <v>1601</v>
      </c>
      <c r="B739">
        <v>16666.666669999999</v>
      </c>
      <c r="C739" t="s">
        <v>14</v>
      </c>
      <c r="D739">
        <v>0</v>
      </c>
      <c r="E739">
        <v>0</v>
      </c>
      <c r="F739">
        <v>0</v>
      </c>
      <c r="G739">
        <v>0</v>
      </c>
      <c r="H739">
        <v>1</v>
      </c>
      <c r="I739" t="s">
        <v>16</v>
      </c>
      <c r="J739">
        <v>1</v>
      </c>
      <c r="K739">
        <v>0</v>
      </c>
    </row>
    <row r="740" spans="1:11" x14ac:dyDescent="0.3">
      <c r="A740">
        <v>1602</v>
      </c>
      <c r="B740">
        <v>12500</v>
      </c>
      <c r="C740" t="s">
        <v>14</v>
      </c>
      <c r="D740">
        <v>0</v>
      </c>
      <c r="E740">
        <v>0</v>
      </c>
      <c r="F740">
        <v>0</v>
      </c>
      <c r="G740">
        <v>1</v>
      </c>
      <c r="H740">
        <v>0</v>
      </c>
      <c r="I740" t="s">
        <v>16</v>
      </c>
      <c r="J740">
        <v>0</v>
      </c>
      <c r="K740">
        <v>0</v>
      </c>
    </row>
    <row r="741" spans="1:11" x14ac:dyDescent="0.3">
      <c r="A741">
        <v>1603</v>
      </c>
      <c r="B741">
        <v>7500</v>
      </c>
      <c r="C741" t="s">
        <v>14</v>
      </c>
      <c r="D741">
        <v>0</v>
      </c>
      <c r="E741">
        <v>0</v>
      </c>
      <c r="F741">
        <v>0</v>
      </c>
      <c r="G741">
        <v>1</v>
      </c>
      <c r="H741">
        <v>0</v>
      </c>
      <c r="I741" t="s">
        <v>16</v>
      </c>
      <c r="J741">
        <v>0</v>
      </c>
      <c r="K741">
        <v>0</v>
      </c>
    </row>
    <row r="742" spans="1:11" x14ac:dyDescent="0.3">
      <c r="A742">
        <v>1604</v>
      </c>
      <c r="B742">
        <v>12000</v>
      </c>
      <c r="C742" t="s">
        <v>14</v>
      </c>
      <c r="D742">
        <v>0</v>
      </c>
      <c r="E742">
        <v>0</v>
      </c>
      <c r="F742">
        <v>0</v>
      </c>
      <c r="G742">
        <v>0</v>
      </c>
      <c r="H742">
        <v>1</v>
      </c>
      <c r="I742" t="s">
        <v>16</v>
      </c>
      <c r="J742">
        <v>0</v>
      </c>
      <c r="K742">
        <v>0</v>
      </c>
    </row>
    <row r="743" spans="1:11" x14ac:dyDescent="0.3">
      <c r="A743">
        <v>1605</v>
      </c>
      <c r="B743">
        <v>12578.61635</v>
      </c>
      <c r="C743" t="s">
        <v>14</v>
      </c>
      <c r="D743">
        <v>0</v>
      </c>
      <c r="E743">
        <v>0</v>
      </c>
      <c r="F743">
        <v>0</v>
      </c>
      <c r="G743">
        <v>1</v>
      </c>
      <c r="H743">
        <v>0</v>
      </c>
      <c r="I743" t="s">
        <v>16</v>
      </c>
      <c r="J743">
        <v>1</v>
      </c>
      <c r="K743">
        <v>0</v>
      </c>
    </row>
    <row r="744" spans="1:11" x14ac:dyDescent="0.3">
      <c r="A744">
        <v>1606</v>
      </c>
      <c r="B744">
        <v>10000</v>
      </c>
      <c r="C744" t="s">
        <v>14</v>
      </c>
      <c r="D744">
        <v>0</v>
      </c>
      <c r="E744">
        <v>0</v>
      </c>
      <c r="F744">
        <v>0</v>
      </c>
      <c r="G744">
        <v>1</v>
      </c>
      <c r="H744">
        <v>0</v>
      </c>
      <c r="I744" t="s">
        <v>16</v>
      </c>
      <c r="J744">
        <v>0</v>
      </c>
      <c r="K744">
        <v>0</v>
      </c>
    </row>
    <row r="745" spans="1:11" x14ac:dyDescent="0.3">
      <c r="A745">
        <v>1607</v>
      </c>
      <c r="B745">
        <v>25000</v>
      </c>
      <c r="C745" t="s">
        <v>14</v>
      </c>
      <c r="D745">
        <v>0</v>
      </c>
      <c r="E745">
        <v>0</v>
      </c>
      <c r="F745">
        <v>0</v>
      </c>
      <c r="G745">
        <v>1</v>
      </c>
      <c r="H745">
        <v>0</v>
      </c>
      <c r="I745" t="s">
        <v>16</v>
      </c>
      <c r="J745">
        <v>1</v>
      </c>
      <c r="K745">
        <v>0</v>
      </c>
    </row>
    <row r="746" spans="1:11" x14ac:dyDescent="0.3">
      <c r="A746">
        <v>1608</v>
      </c>
      <c r="B746">
        <v>23809.523809999999</v>
      </c>
      <c r="C746" t="s">
        <v>14</v>
      </c>
      <c r="D746">
        <v>0</v>
      </c>
      <c r="E746">
        <v>0</v>
      </c>
      <c r="F746">
        <v>0</v>
      </c>
      <c r="G746">
        <v>1</v>
      </c>
      <c r="H746">
        <v>0</v>
      </c>
      <c r="I746" t="s">
        <v>16</v>
      </c>
      <c r="J746">
        <v>1</v>
      </c>
      <c r="K746">
        <v>0</v>
      </c>
    </row>
    <row r="747" spans="1:11" x14ac:dyDescent="0.3">
      <c r="A747">
        <v>1609</v>
      </c>
      <c r="B747">
        <v>9677.419355</v>
      </c>
      <c r="C747" t="s">
        <v>14</v>
      </c>
      <c r="D747">
        <v>0</v>
      </c>
      <c r="E747">
        <v>0</v>
      </c>
      <c r="F747">
        <v>0</v>
      </c>
      <c r="G747">
        <v>1</v>
      </c>
      <c r="H747">
        <v>0</v>
      </c>
      <c r="I747" t="s">
        <v>16</v>
      </c>
      <c r="J747">
        <v>0</v>
      </c>
      <c r="K747">
        <v>0</v>
      </c>
    </row>
    <row r="748" spans="1:11" x14ac:dyDescent="0.3">
      <c r="A748">
        <v>1610</v>
      </c>
      <c r="B748">
        <v>3750</v>
      </c>
      <c r="C748" t="s">
        <v>12</v>
      </c>
      <c r="D748">
        <v>1</v>
      </c>
      <c r="E748">
        <v>0</v>
      </c>
      <c r="F748">
        <v>0</v>
      </c>
      <c r="G748">
        <v>1</v>
      </c>
      <c r="H748">
        <v>0</v>
      </c>
      <c r="I748" t="s">
        <v>16</v>
      </c>
      <c r="J748">
        <v>1</v>
      </c>
      <c r="K748">
        <v>0</v>
      </c>
    </row>
    <row r="749" spans="1:11" x14ac:dyDescent="0.3">
      <c r="A749">
        <v>1611</v>
      </c>
      <c r="B749">
        <v>16666.666669999999</v>
      </c>
      <c r="C749" t="s">
        <v>14</v>
      </c>
      <c r="D749">
        <v>0</v>
      </c>
      <c r="E749">
        <v>0</v>
      </c>
      <c r="F749">
        <v>0</v>
      </c>
      <c r="G749">
        <v>1</v>
      </c>
      <c r="H749">
        <v>0</v>
      </c>
      <c r="I749" t="s">
        <v>16</v>
      </c>
      <c r="J749">
        <v>1</v>
      </c>
      <c r="K749">
        <v>0</v>
      </c>
    </row>
    <row r="750" spans="1:11" x14ac:dyDescent="0.3">
      <c r="A750">
        <v>1613</v>
      </c>
      <c r="B750">
        <v>16666.666669999999</v>
      </c>
      <c r="C750" t="s">
        <v>12</v>
      </c>
      <c r="D750">
        <v>1</v>
      </c>
      <c r="E750">
        <v>0</v>
      </c>
      <c r="F750">
        <v>0</v>
      </c>
      <c r="G750">
        <v>0</v>
      </c>
      <c r="H750">
        <v>1</v>
      </c>
      <c r="I750" t="s">
        <v>16</v>
      </c>
      <c r="J750">
        <v>1</v>
      </c>
      <c r="K750">
        <v>0</v>
      </c>
    </row>
    <row r="751" spans="1:11" x14ac:dyDescent="0.3">
      <c r="A751">
        <v>1618</v>
      </c>
      <c r="B751">
        <v>11666.666670000001</v>
      </c>
      <c r="C751" t="s">
        <v>14</v>
      </c>
      <c r="D751">
        <v>0</v>
      </c>
      <c r="E751">
        <v>0</v>
      </c>
      <c r="F751">
        <v>0</v>
      </c>
      <c r="G751">
        <v>1</v>
      </c>
      <c r="H751">
        <v>0</v>
      </c>
      <c r="I751" t="s">
        <v>16</v>
      </c>
      <c r="J751">
        <v>0</v>
      </c>
      <c r="K751">
        <v>1</v>
      </c>
    </row>
    <row r="752" spans="1:11" x14ac:dyDescent="0.3">
      <c r="A752">
        <v>1622</v>
      </c>
      <c r="B752">
        <v>30000</v>
      </c>
      <c r="C752" t="s">
        <v>14</v>
      </c>
      <c r="D752">
        <v>0</v>
      </c>
      <c r="E752">
        <v>0</v>
      </c>
      <c r="F752">
        <v>0</v>
      </c>
      <c r="G752">
        <v>0</v>
      </c>
      <c r="H752">
        <v>1</v>
      </c>
      <c r="I752" t="s">
        <v>16</v>
      </c>
      <c r="J752">
        <v>1</v>
      </c>
      <c r="K752">
        <v>1</v>
      </c>
    </row>
    <row r="753" spans="1:11" x14ac:dyDescent="0.3">
      <c r="A753">
        <v>1624</v>
      </c>
      <c r="B753">
        <v>10000</v>
      </c>
      <c r="C753" t="s">
        <v>14</v>
      </c>
      <c r="D753">
        <v>0</v>
      </c>
      <c r="E753">
        <v>1</v>
      </c>
      <c r="F753">
        <v>0</v>
      </c>
      <c r="G753">
        <v>1</v>
      </c>
      <c r="H753">
        <v>0</v>
      </c>
      <c r="I753" t="s">
        <v>16</v>
      </c>
      <c r="J753">
        <v>1</v>
      </c>
      <c r="K753">
        <v>1</v>
      </c>
    </row>
    <row r="754" spans="1:11" x14ac:dyDescent="0.3">
      <c r="A754">
        <v>1626</v>
      </c>
      <c r="B754">
        <v>9685.2300240000004</v>
      </c>
      <c r="C754" t="s">
        <v>14</v>
      </c>
      <c r="D754">
        <v>0</v>
      </c>
      <c r="E754">
        <v>0</v>
      </c>
      <c r="F754">
        <v>0</v>
      </c>
      <c r="G754">
        <v>1</v>
      </c>
      <c r="H754">
        <v>0</v>
      </c>
      <c r="I754" t="s">
        <v>16</v>
      </c>
      <c r="J754">
        <v>0</v>
      </c>
      <c r="K754">
        <v>1</v>
      </c>
    </row>
    <row r="755" spans="1:11" x14ac:dyDescent="0.3">
      <c r="A755">
        <v>3918</v>
      </c>
      <c r="B755">
        <v>136363.63639999999</v>
      </c>
      <c r="C755" t="s">
        <v>14</v>
      </c>
      <c r="D755">
        <v>0</v>
      </c>
      <c r="E755">
        <v>0</v>
      </c>
      <c r="F755">
        <v>0</v>
      </c>
      <c r="G755">
        <v>0</v>
      </c>
      <c r="H755">
        <v>1</v>
      </c>
      <c r="I755" t="s">
        <v>15</v>
      </c>
      <c r="J755">
        <v>1</v>
      </c>
      <c r="K755">
        <v>0</v>
      </c>
    </row>
    <row r="756" spans="1:11" x14ac:dyDescent="0.3">
      <c r="A756">
        <v>3915</v>
      </c>
      <c r="B756">
        <v>18264.840179999999</v>
      </c>
      <c r="C756" t="s">
        <v>14</v>
      </c>
      <c r="D756">
        <v>0</v>
      </c>
      <c r="E756">
        <v>0</v>
      </c>
      <c r="F756">
        <v>0</v>
      </c>
      <c r="G756">
        <v>1</v>
      </c>
      <c r="H756">
        <v>0</v>
      </c>
      <c r="I756" t="s">
        <v>17</v>
      </c>
      <c r="J756">
        <v>1</v>
      </c>
      <c r="K756">
        <v>0</v>
      </c>
    </row>
    <row r="757" spans="1:11" x14ac:dyDescent="0.3">
      <c r="A757">
        <v>1632</v>
      </c>
      <c r="B757">
        <v>16666.666669999999</v>
      </c>
      <c r="C757" t="s">
        <v>14</v>
      </c>
      <c r="D757">
        <v>0</v>
      </c>
      <c r="E757">
        <v>1</v>
      </c>
      <c r="F757">
        <v>0</v>
      </c>
      <c r="G757">
        <v>0</v>
      </c>
      <c r="H757">
        <v>1</v>
      </c>
      <c r="I757" t="s">
        <v>16</v>
      </c>
      <c r="J757">
        <v>0</v>
      </c>
      <c r="K757">
        <v>1</v>
      </c>
    </row>
    <row r="758" spans="1:11" x14ac:dyDescent="0.3">
      <c r="A758">
        <v>1633</v>
      </c>
      <c r="B758">
        <v>9090.9090909999995</v>
      </c>
      <c r="C758" t="s">
        <v>14</v>
      </c>
      <c r="D758">
        <v>0</v>
      </c>
      <c r="E758">
        <v>1</v>
      </c>
      <c r="F758">
        <v>0</v>
      </c>
      <c r="G758">
        <v>0</v>
      </c>
      <c r="H758">
        <v>1</v>
      </c>
      <c r="I758" t="s">
        <v>16</v>
      </c>
      <c r="J758">
        <v>0</v>
      </c>
      <c r="K758">
        <v>1</v>
      </c>
    </row>
    <row r="759" spans="1:11" x14ac:dyDescent="0.3">
      <c r="A759">
        <v>3914</v>
      </c>
      <c r="B759">
        <v>75000</v>
      </c>
      <c r="C759" t="s">
        <v>14</v>
      </c>
      <c r="D759">
        <v>0</v>
      </c>
      <c r="E759">
        <v>0</v>
      </c>
      <c r="F759">
        <v>0</v>
      </c>
      <c r="G759">
        <v>1</v>
      </c>
      <c r="H759">
        <v>0</v>
      </c>
      <c r="I759" t="s">
        <v>17</v>
      </c>
      <c r="J759">
        <v>1</v>
      </c>
      <c r="K759">
        <v>0</v>
      </c>
    </row>
    <row r="760" spans="1:11" x14ac:dyDescent="0.3">
      <c r="A760">
        <v>1641</v>
      </c>
      <c r="B760">
        <v>16279.06977</v>
      </c>
      <c r="C760" t="s">
        <v>14</v>
      </c>
      <c r="D760">
        <v>0</v>
      </c>
      <c r="E760">
        <v>0</v>
      </c>
      <c r="F760">
        <v>0</v>
      </c>
      <c r="G760">
        <v>0</v>
      </c>
      <c r="H760">
        <v>1</v>
      </c>
      <c r="I760" t="s">
        <v>16</v>
      </c>
      <c r="J760">
        <v>1</v>
      </c>
      <c r="K760">
        <v>0</v>
      </c>
    </row>
    <row r="761" spans="1:11" x14ac:dyDescent="0.3">
      <c r="A761">
        <v>1642</v>
      </c>
      <c r="B761">
        <v>24000</v>
      </c>
      <c r="C761" t="s">
        <v>14</v>
      </c>
      <c r="D761">
        <v>0</v>
      </c>
      <c r="E761">
        <v>1</v>
      </c>
      <c r="F761">
        <v>0</v>
      </c>
      <c r="G761">
        <v>0</v>
      </c>
      <c r="H761">
        <v>1</v>
      </c>
      <c r="I761" t="s">
        <v>16</v>
      </c>
      <c r="J761">
        <v>0</v>
      </c>
      <c r="K761">
        <v>0</v>
      </c>
    </row>
    <row r="762" spans="1:11" x14ac:dyDescent="0.3">
      <c r="A762">
        <v>3909</v>
      </c>
      <c r="B762">
        <v>25000</v>
      </c>
      <c r="C762" t="s">
        <v>14</v>
      </c>
      <c r="D762">
        <v>0</v>
      </c>
      <c r="E762">
        <v>0</v>
      </c>
      <c r="F762">
        <v>0</v>
      </c>
      <c r="G762">
        <v>1</v>
      </c>
      <c r="H762">
        <v>0</v>
      </c>
      <c r="I762" t="s">
        <v>17</v>
      </c>
      <c r="J762">
        <v>1</v>
      </c>
      <c r="K762">
        <v>0</v>
      </c>
    </row>
    <row r="763" spans="1:11" x14ac:dyDescent="0.3">
      <c r="A763">
        <v>1644</v>
      </c>
      <c r="B763">
        <v>10000</v>
      </c>
      <c r="C763" t="s">
        <v>14</v>
      </c>
      <c r="D763">
        <v>0</v>
      </c>
      <c r="E763">
        <v>0</v>
      </c>
      <c r="F763">
        <v>0</v>
      </c>
      <c r="G763">
        <v>0</v>
      </c>
      <c r="H763">
        <v>1</v>
      </c>
      <c r="I763" t="s">
        <v>16</v>
      </c>
      <c r="J763">
        <v>0</v>
      </c>
      <c r="K763">
        <v>1</v>
      </c>
    </row>
    <row r="764" spans="1:11" x14ac:dyDescent="0.3">
      <c r="A764">
        <v>1645</v>
      </c>
      <c r="B764">
        <v>13333.333329999999</v>
      </c>
      <c r="C764" t="s">
        <v>14</v>
      </c>
      <c r="D764">
        <v>0</v>
      </c>
      <c r="E764">
        <v>1</v>
      </c>
      <c r="F764">
        <v>0</v>
      </c>
      <c r="G764">
        <v>0</v>
      </c>
      <c r="H764">
        <v>1</v>
      </c>
      <c r="I764" t="s">
        <v>16</v>
      </c>
      <c r="J764">
        <v>1</v>
      </c>
      <c r="K764">
        <v>1</v>
      </c>
    </row>
    <row r="765" spans="1:11" x14ac:dyDescent="0.3">
      <c r="A765">
        <v>1646</v>
      </c>
      <c r="B765">
        <v>10000</v>
      </c>
      <c r="C765" t="s">
        <v>14</v>
      </c>
      <c r="D765">
        <v>0</v>
      </c>
      <c r="E765">
        <v>1</v>
      </c>
      <c r="F765">
        <v>0</v>
      </c>
      <c r="G765">
        <v>0</v>
      </c>
      <c r="H765">
        <v>1</v>
      </c>
      <c r="I765" t="s">
        <v>16</v>
      </c>
      <c r="J765">
        <v>0</v>
      </c>
      <c r="K765">
        <v>1</v>
      </c>
    </row>
    <row r="766" spans="1:11" x14ac:dyDescent="0.3">
      <c r="A766">
        <v>3907</v>
      </c>
      <c r="B766">
        <v>72508.5</v>
      </c>
      <c r="C766" t="s">
        <v>12</v>
      </c>
      <c r="D766">
        <v>1</v>
      </c>
      <c r="E766">
        <v>1</v>
      </c>
      <c r="F766">
        <v>0</v>
      </c>
      <c r="G766">
        <v>1</v>
      </c>
      <c r="H766">
        <v>0</v>
      </c>
      <c r="I766" t="s">
        <v>17</v>
      </c>
      <c r="J766">
        <v>1</v>
      </c>
      <c r="K766">
        <v>1</v>
      </c>
    </row>
    <row r="767" spans="1:11" x14ac:dyDescent="0.3">
      <c r="A767">
        <v>1649</v>
      </c>
      <c r="B767">
        <v>8000</v>
      </c>
      <c r="C767" t="s">
        <v>14</v>
      </c>
      <c r="D767">
        <v>0</v>
      </c>
      <c r="E767">
        <v>0</v>
      </c>
      <c r="F767">
        <v>0</v>
      </c>
      <c r="G767">
        <v>0</v>
      </c>
      <c r="H767">
        <v>1</v>
      </c>
      <c r="I767" t="s">
        <v>16</v>
      </c>
      <c r="J767">
        <v>0</v>
      </c>
      <c r="K767">
        <v>1</v>
      </c>
    </row>
    <row r="768" spans="1:11" x14ac:dyDescent="0.3">
      <c r="A768">
        <v>1650</v>
      </c>
      <c r="B768">
        <v>3333.333333</v>
      </c>
      <c r="C768" t="s">
        <v>14</v>
      </c>
      <c r="D768">
        <v>0</v>
      </c>
      <c r="E768">
        <v>1</v>
      </c>
      <c r="F768">
        <v>0</v>
      </c>
      <c r="G768">
        <v>0</v>
      </c>
      <c r="H768">
        <v>1</v>
      </c>
      <c r="I768" t="s">
        <v>16</v>
      </c>
      <c r="J768">
        <v>0</v>
      </c>
      <c r="K768">
        <v>1</v>
      </c>
    </row>
    <row r="769" spans="1:11" x14ac:dyDescent="0.3">
      <c r="A769">
        <v>1654</v>
      </c>
      <c r="B769">
        <v>10000</v>
      </c>
      <c r="C769" t="s">
        <v>14</v>
      </c>
      <c r="D769">
        <v>0</v>
      </c>
      <c r="E769">
        <v>0</v>
      </c>
      <c r="F769">
        <v>0</v>
      </c>
      <c r="G769">
        <v>0</v>
      </c>
      <c r="H769">
        <v>1</v>
      </c>
      <c r="I769" t="s">
        <v>16</v>
      </c>
      <c r="J769">
        <v>0</v>
      </c>
      <c r="K769">
        <v>1</v>
      </c>
    </row>
    <row r="770" spans="1:11" x14ac:dyDescent="0.3">
      <c r="A770">
        <v>1655</v>
      </c>
      <c r="B770">
        <v>13043.47826</v>
      </c>
      <c r="C770" t="s">
        <v>14</v>
      </c>
      <c r="D770">
        <v>0</v>
      </c>
      <c r="E770">
        <v>0</v>
      </c>
      <c r="F770">
        <v>0</v>
      </c>
      <c r="G770">
        <v>0</v>
      </c>
      <c r="H770">
        <v>1</v>
      </c>
      <c r="I770" t="s">
        <v>16</v>
      </c>
      <c r="J770">
        <v>0</v>
      </c>
      <c r="K770">
        <v>1</v>
      </c>
    </row>
    <row r="771" spans="1:11" x14ac:dyDescent="0.3">
      <c r="A771">
        <v>1656</v>
      </c>
      <c r="B771">
        <v>6666.6666670000004</v>
      </c>
      <c r="C771" t="s">
        <v>14</v>
      </c>
      <c r="D771">
        <v>0</v>
      </c>
      <c r="E771">
        <v>1</v>
      </c>
      <c r="F771">
        <v>0</v>
      </c>
      <c r="G771">
        <v>0</v>
      </c>
      <c r="H771">
        <v>1</v>
      </c>
      <c r="I771" t="s">
        <v>16</v>
      </c>
      <c r="J771">
        <v>1</v>
      </c>
      <c r="K771">
        <v>1</v>
      </c>
    </row>
    <row r="772" spans="1:11" x14ac:dyDescent="0.3">
      <c r="A772">
        <v>1658</v>
      </c>
      <c r="B772">
        <v>10000</v>
      </c>
      <c r="C772" t="s">
        <v>14</v>
      </c>
      <c r="D772">
        <v>0</v>
      </c>
      <c r="E772">
        <v>0</v>
      </c>
      <c r="F772">
        <v>0</v>
      </c>
      <c r="G772">
        <v>0</v>
      </c>
      <c r="H772">
        <v>1</v>
      </c>
      <c r="I772" t="s">
        <v>16</v>
      </c>
      <c r="J772">
        <v>0</v>
      </c>
      <c r="K772">
        <v>1</v>
      </c>
    </row>
    <row r="773" spans="1:11" x14ac:dyDescent="0.3">
      <c r="A773">
        <v>1659</v>
      </c>
      <c r="B773">
        <v>16666.666669999999</v>
      </c>
      <c r="C773" t="s">
        <v>14</v>
      </c>
      <c r="D773">
        <v>0</v>
      </c>
      <c r="E773">
        <v>0</v>
      </c>
      <c r="F773">
        <v>0</v>
      </c>
      <c r="G773">
        <v>0</v>
      </c>
      <c r="H773">
        <v>1</v>
      </c>
      <c r="I773" t="s">
        <v>16</v>
      </c>
      <c r="J773">
        <v>0</v>
      </c>
      <c r="K773">
        <v>1</v>
      </c>
    </row>
    <row r="774" spans="1:11" x14ac:dyDescent="0.3">
      <c r="A774">
        <v>1660</v>
      </c>
      <c r="B774">
        <v>4545.4545449999996</v>
      </c>
      <c r="C774" t="s">
        <v>14</v>
      </c>
      <c r="D774">
        <v>0</v>
      </c>
      <c r="E774">
        <v>0</v>
      </c>
      <c r="F774">
        <v>0</v>
      </c>
      <c r="G774">
        <v>0</v>
      </c>
      <c r="H774">
        <v>1</v>
      </c>
      <c r="I774" t="s">
        <v>16</v>
      </c>
      <c r="J774">
        <v>0</v>
      </c>
      <c r="K774">
        <v>1</v>
      </c>
    </row>
    <row r="775" spans="1:11" x14ac:dyDescent="0.3">
      <c r="A775">
        <v>1664</v>
      </c>
      <c r="B775">
        <v>10000</v>
      </c>
      <c r="C775" t="s">
        <v>14</v>
      </c>
      <c r="D775">
        <v>0</v>
      </c>
      <c r="E775">
        <v>1</v>
      </c>
      <c r="F775">
        <v>0</v>
      </c>
      <c r="G775">
        <v>0</v>
      </c>
      <c r="H775">
        <v>1</v>
      </c>
      <c r="I775" t="s">
        <v>16</v>
      </c>
      <c r="J775">
        <v>1</v>
      </c>
      <c r="K775">
        <v>1</v>
      </c>
    </row>
    <row r="776" spans="1:11" x14ac:dyDescent="0.3">
      <c r="A776">
        <v>1666</v>
      </c>
      <c r="B776">
        <v>5000</v>
      </c>
      <c r="C776" t="s">
        <v>14</v>
      </c>
      <c r="D776">
        <v>0</v>
      </c>
      <c r="E776">
        <v>0</v>
      </c>
      <c r="F776">
        <v>0</v>
      </c>
      <c r="G776">
        <v>0</v>
      </c>
      <c r="H776">
        <v>1</v>
      </c>
      <c r="I776" t="s">
        <v>16</v>
      </c>
      <c r="J776">
        <v>0</v>
      </c>
      <c r="K776">
        <v>1</v>
      </c>
    </row>
    <row r="777" spans="1:11" x14ac:dyDescent="0.3">
      <c r="A777">
        <v>1669</v>
      </c>
      <c r="B777">
        <v>10000</v>
      </c>
      <c r="C777" t="s">
        <v>14</v>
      </c>
      <c r="D777">
        <v>0</v>
      </c>
      <c r="E777">
        <v>1</v>
      </c>
      <c r="F777">
        <v>0</v>
      </c>
      <c r="G777">
        <v>0</v>
      </c>
      <c r="H777">
        <v>1</v>
      </c>
      <c r="I777" t="s">
        <v>16</v>
      </c>
      <c r="J777">
        <v>1</v>
      </c>
      <c r="K777">
        <v>1</v>
      </c>
    </row>
    <row r="778" spans="1:11" x14ac:dyDescent="0.3">
      <c r="A778">
        <v>1671</v>
      </c>
      <c r="B778">
        <v>7547.1698109999998</v>
      </c>
      <c r="C778" t="s">
        <v>14</v>
      </c>
      <c r="D778">
        <v>0</v>
      </c>
      <c r="E778">
        <v>1</v>
      </c>
      <c r="F778">
        <v>0</v>
      </c>
      <c r="G778">
        <v>0</v>
      </c>
      <c r="H778">
        <v>1</v>
      </c>
      <c r="I778" t="s">
        <v>16</v>
      </c>
      <c r="J778">
        <v>0</v>
      </c>
      <c r="K778">
        <v>1</v>
      </c>
    </row>
    <row r="779" spans="1:11" x14ac:dyDescent="0.3">
      <c r="A779">
        <v>1672</v>
      </c>
      <c r="B779">
        <v>5000</v>
      </c>
      <c r="C779" t="s">
        <v>14</v>
      </c>
      <c r="D779">
        <v>0</v>
      </c>
      <c r="E779">
        <v>0</v>
      </c>
      <c r="F779">
        <v>0</v>
      </c>
      <c r="G779">
        <v>0</v>
      </c>
      <c r="H779">
        <v>1</v>
      </c>
      <c r="I779" t="s">
        <v>16</v>
      </c>
      <c r="J779">
        <v>1</v>
      </c>
      <c r="K779">
        <v>1</v>
      </c>
    </row>
    <row r="780" spans="1:11" x14ac:dyDescent="0.3">
      <c r="A780">
        <v>1675</v>
      </c>
      <c r="B780">
        <v>28000</v>
      </c>
      <c r="C780" t="s">
        <v>14</v>
      </c>
      <c r="D780">
        <v>0</v>
      </c>
      <c r="E780">
        <v>1</v>
      </c>
      <c r="F780">
        <v>0</v>
      </c>
      <c r="G780">
        <v>0</v>
      </c>
      <c r="H780">
        <v>1</v>
      </c>
      <c r="I780" t="s">
        <v>16</v>
      </c>
      <c r="J780">
        <v>1</v>
      </c>
      <c r="K780">
        <v>1</v>
      </c>
    </row>
    <row r="781" spans="1:11" x14ac:dyDescent="0.3">
      <c r="A781">
        <v>1676</v>
      </c>
      <c r="B781">
        <v>4000</v>
      </c>
      <c r="C781" t="s">
        <v>12</v>
      </c>
      <c r="D781">
        <v>1</v>
      </c>
      <c r="E781">
        <v>0</v>
      </c>
      <c r="F781">
        <v>0</v>
      </c>
      <c r="G781">
        <v>1</v>
      </c>
      <c r="H781">
        <v>0</v>
      </c>
      <c r="I781" t="s">
        <v>16</v>
      </c>
      <c r="J781">
        <v>0</v>
      </c>
      <c r="K781">
        <v>1</v>
      </c>
    </row>
    <row r="782" spans="1:11" x14ac:dyDescent="0.3">
      <c r="A782">
        <v>1677</v>
      </c>
      <c r="B782">
        <v>2500</v>
      </c>
      <c r="C782" t="s">
        <v>14</v>
      </c>
      <c r="D782">
        <v>0</v>
      </c>
      <c r="E782">
        <v>0</v>
      </c>
      <c r="F782">
        <v>0</v>
      </c>
      <c r="G782">
        <v>0</v>
      </c>
      <c r="H782">
        <v>1</v>
      </c>
      <c r="I782" t="s">
        <v>16</v>
      </c>
      <c r="J782">
        <v>0</v>
      </c>
      <c r="K782">
        <v>0</v>
      </c>
    </row>
    <row r="783" spans="1:11" x14ac:dyDescent="0.3">
      <c r="A783">
        <v>1682</v>
      </c>
      <c r="B783">
        <v>33333.333330000001</v>
      </c>
      <c r="C783" t="s">
        <v>14</v>
      </c>
      <c r="D783">
        <v>0</v>
      </c>
      <c r="E783">
        <v>0</v>
      </c>
      <c r="F783">
        <v>0</v>
      </c>
      <c r="G783">
        <v>0</v>
      </c>
      <c r="H783">
        <v>1</v>
      </c>
      <c r="I783" t="s">
        <v>16</v>
      </c>
      <c r="J783">
        <v>0</v>
      </c>
      <c r="K783">
        <v>1</v>
      </c>
    </row>
    <row r="784" spans="1:11" x14ac:dyDescent="0.3">
      <c r="A784">
        <v>1683</v>
      </c>
      <c r="B784">
        <v>25000</v>
      </c>
      <c r="C784" t="s">
        <v>12</v>
      </c>
      <c r="D784">
        <v>1</v>
      </c>
      <c r="E784">
        <v>0</v>
      </c>
      <c r="F784">
        <v>0</v>
      </c>
      <c r="G784">
        <v>0</v>
      </c>
      <c r="H784">
        <v>1</v>
      </c>
      <c r="I784" t="s">
        <v>16</v>
      </c>
      <c r="J784">
        <v>0</v>
      </c>
      <c r="K784">
        <v>1</v>
      </c>
    </row>
    <row r="785" spans="1:11" x14ac:dyDescent="0.3">
      <c r="A785">
        <v>1684</v>
      </c>
      <c r="B785">
        <v>5000</v>
      </c>
      <c r="C785" t="s">
        <v>12</v>
      </c>
      <c r="D785">
        <v>1</v>
      </c>
      <c r="E785">
        <v>0</v>
      </c>
      <c r="F785">
        <v>0</v>
      </c>
      <c r="G785">
        <v>0</v>
      </c>
      <c r="H785">
        <v>1</v>
      </c>
      <c r="I785" t="s">
        <v>16</v>
      </c>
      <c r="J785">
        <v>0</v>
      </c>
      <c r="K785">
        <v>0</v>
      </c>
    </row>
    <row r="786" spans="1:11" x14ac:dyDescent="0.3">
      <c r="A786">
        <v>1687</v>
      </c>
      <c r="B786">
        <v>16666.666669999999</v>
      </c>
      <c r="C786" t="s">
        <v>14</v>
      </c>
      <c r="D786">
        <v>0</v>
      </c>
      <c r="E786">
        <v>0</v>
      </c>
      <c r="F786">
        <v>0</v>
      </c>
      <c r="G786">
        <v>0</v>
      </c>
      <c r="H786">
        <v>1</v>
      </c>
      <c r="I786" t="s">
        <v>16</v>
      </c>
      <c r="J786">
        <v>0</v>
      </c>
      <c r="K786">
        <v>0</v>
      </c>
    </row>
    <row r="787" spans="1:11" x14ac:dyDescent="0.3">
      <c r="A787">
        <v>1688</v>
      </c>
      <c r="B787">
        <v>-6666.6666670000004</v>
      </c>
      <c r="C787" t="s">
        <v>14</v>
      </c>
      <c r="D787">
        <v>0</v>
      </c>
      <c r="E787">
        <v>0</v>
      </c>
      <c r="F787">
        <v>0</v>
      </c>
      <c r="G787">
        <v>0</v>
      </c>
      <c r="H787">
        <v>1</v>
      </c>
      <c r="I787" t="s">
        <v>16</v>
      </c>
      <c r="J787">
        <v>0</v>
      </c>
      <c r="K787">
        <v>0</v>
      </c>
    </row>
    <row r="788" spans="1:11" x14ac:dyDescent="0.3">
      <c r="A788">
        <v>1689</v>
      </c>
      <c r="B788">
        <v>4166.6666670000004</v>
      </c>
      <c r="C788" t="s">
        <v>14</v>
      </c>
      <c r="D788">
        <v>0</v>
      </c>
      <c r="E788">
        <v>0</v>
      </c>
      <c r="F788">
        <v>0</v>
      </c>
      <c r="G788">
        <v>0</v>
      </c>
      <c r="H788">
        <v>1</v>
      </c>
      <c r="I788" t="s">
        <v>16</v>
      </c>
      <c r="J788">
        <v>0</v>
      </c>
      <c r="K788">
        <v>1</v>
      </c>
    </row>
    <row r="789" spans="1:11" x14ac:dyDescent="0.3">
      <c r="A789">
        <v>3904</v>
      </c>
      <c r="B789">
        <v>21413.333330000001</v>
      </c>
      <c r="C789" t="s">
        <v>14</v>
      </c>
      <c r="D789">
        <v>0</v>
      </c>
      <c r="E789">
        <v>1</v>
      </c>
      <c r="F789">
        <v>0</v>
      </c>
      <c r="G789">
        <v>1</v>
      </c>
      <c r="H789">
        <v>0</v>
      </c>
      <c r="I789" t="s">
        <v>17</v>
      </c>
      <c r="J789">
        <v>1</v>
      </c>
      <c r="K789">
        <v>1</v>
      </c>
    </row>
    <row r="790" spans="1:11" x14ac:dyDescent="0.3">
      <c r="A790">
        <v>1695</v>
      </c>
      <c r="B790">
        <v>36885.245900000002</v>
      </c>
      <c r="C790" t="s">
        <v>14</v>
      </c>
      <c r="D790">
        <v>0</v>
      </c>
      <c r="E790">
        <v>0</v>
      </c>
      <c r="F790">
        <v>0</v>
      </c>
      <c r="G790">
        <v>0</v>
      </c>
      <c r="H790">
        <v>1</v>
      </c>
      <c r="I790" t="s">
        <v>16</v>
      </c>
      <c r="J790">
        <v>0</v>
      </c>
      <c r="K790">
        <v>1</v>
      </c>
    </row>
    <row r="791" spans="1:11" x14ac:dyDescent="0.3">
      <c r="A791">
        <v>1696</v>
      </c>
      <c r="B791">
        <v>30000</v>
      </c>
      <c r="C791" t="s">
        <v>14</v>
      </c>
      <c r="D791">
        <v>0</v>
      </c>
      <c r="E791">
        <v>1</v>
      </c>
      <c r="F791">
        <v>0</v>
      </c>
      <c r="G791">
        <v>0</v>
      </c>
      <c r="H791">
        <v>1</v>
      </c>
      <c r="I791" t="s">
        <v>16</v>
      </c>
      <c r="J791">
        <v>0</v>
      </c>
      <c r="K791">
        <v>0</v>
      </c>
    </row>
    <row r="792" spans="1:11" x14ac:dyDescent="0.3">
      <c r="A792">
        <v>1697</v>
      </c>
      <c r="B792">
        <v>31818.181820000002</v>
      </c>
      <c r="C792" t="s">
        <v>14</v>
      </c>
      <c r="D792">
        <v>0</v>
      </c>
      <c r="E792">
        <v>0</v>
      </c>
      <c r="F792">
        <v>0</v>
      </c>
      <c r="G792">
        <v>0</v>
      </c>
      <c r="H792">
        <v>1</v>
      </c>
      <c r="I792" t="s">
        <v>16</v>
      </c>
      <c r="J792">
        <v>0</v>
      </c>
      <c r="K792">
        <v>0</v>
      </c>
    </row>
    <row r="793" spans="1:11" x14ac:dyDescent="0.3">
      <c r="A793">
        <v>1698</v>
      </c>
      <c r="B793">
        <v>5000</v>
      </c>
      <c r="C793" t="s">
        <v>14</v>
      </c>
      <c r="D793">
        <v>0</v>
      </c>
      <c r="E793">
        <v>1</v>
      </c>
      <c r="F793">
        <v>0</v>
      </c>
      <c r="G793">
        <v>0</v>
      </c>
      <c r="H793">
        <v>1</v>
      </c>
      <c r="I793" t="s">
        <v>16</v>
      </c>
      <c r="J793">
        <v>0</v>
      </c>
      <c r="K793">
        <v>1</v>
      </c>
    </row>
    <row r="794" spans="1:11" x14ac:dyDescent="0.3">
      <c r="A794">
        <v>3897</v>
      </c>
      <c r="B794">
        <v>92307.692309999999</v>
      </c>
      <c r="C794" t="s">
        <v>14</v>
      </c>
      <c r="D794">
        <v>0</v>
      </c>
      <c r="E794">
        <v>0</v>
      </c>
      <c r="F794">
        <v>0</v>
      </c>
      <c r="G794">
        <v>0</v>
      </c>
      <c r="H794">
        <v>1</v>
      </c>
      <c r="I794" t="s">
        <v>15</v>
      </c>
      <c r="J794">
        <v>1</v>
      </c>
      <c r="K794">
        <v>0</v>
      </c>
    </row>
    <row r="795" spans="1:11" x14ac:dyDescent="0.3">
      <c r="A795">
        <v>1700</v>
      </c>
      <c r="B795">
        <v>10000</v>
      </c>
      <c r="C795" t="s">
        <v>14</v>
      </c>
      <c r="D795">
        <v>0</v>
      </c>
      <c r="E795">
        <v>1</v>
      </c>
      <c r="F795">
        <v>0</v>
      </c>
      <c r="G795">
        <v>0</v>
      </c>
      <c r="H795">
        <v>1</v>
      </c>
      <c r="I795" t="s">
        <v>16</v>
      </c>
      <c r="J795">
        <v>1</v>
      </c>
      <c r="K795">
        <v>0</v>
      </c>
    </row>
    <row r="796" spans="1:11" x14ac:dyDescent="0.3">
      <c r="A796">
        <v>1702</v>
      </c>
      <c r="B796">
        <v>5000</v>
      </c>
      <c r="C796" t="s">
        <v>14</v>
      </c>
      <c r="D796">
        <v>0</v>
      </c>
      <c r="E796">
        <v>0</v>
      </c>
      <c r="F796">
        <v>0</v>
      </c>
      <c r="G796">
        <v>0</v>
      </c>
      <c r="H796">
        <v>1</v>
      </c>
      <c r="I796" t="s">
        <v>16</v>
      </c>
      <c r="J796">
        <v>0</v>
      </c>
      <c r="K796">
        <v>1</v>
      </c>
    </row>
    <row r="797" spans="1:11" x14ac:dyDescent="0.3">
      <c r="A797">
        <v>1703</v>
      </c>
      <c r="B797">
        <v>6666.6666670000004</v>
      </c>
      <c r="C797" t="s">
        <v>14</v>
      </c>
      <c r="D797">
        <v>0</v>
      </c>
      <c r="E797">
        <v>0</v>
      </c>
      <c r="F797">
        <v>0</v>
      </c>
      <c r="G797">
        <v>0</v>
      </c>
      <c r="H797">
        <v>1</v>
      </c>
      <c r="I797" t="s">
        <v>16</v>
      </c>
      <c r="J797">
        <v>0</v>
      </c>
      <c r="K797">
        <v>1</v>
      </c>
    </row>
    <row r="798" spans="1:11" x14ac:dyDescent="0.3">
      <c r="A798">
        <v>1704</v>
      </c>
      <c r="B798">
        <v>83333.333329999994</v>
      </c>
      <c r="C798" t="s">
        <v>14</v>
      </c>
      <c r="D798">
        <v>0</v>
      </c>
      <c r="E798">
        <v>1</v>
      </c>
      <c r="F798">
        <v>0</v>
      </c>
      <c r="G798">
        <v>0</v>
      </c>
      <c r="H798">
        <v>1</v>
      </c>
      <c r="I798" t="s">
        <v>16</v>
      </c>
      <c r="J798">
        <v>0</v>
      </c>
      <c r="K798">
        <v>1</v>
      </c>
    </row>
    <row r="799" spans="1:11" x14ac:dyDescent="0.3">
      <c r="A799">
        <v>1705</v>
      </c>
      <c r="B799">
        <v>113636.3636</v>
      </c>
      <c r="C799" t="s">
        <v>14</v>
      </c>
      <c r="D799">
        <v>0</v>
      </c>
      <c r="E799">
        <v>0</v>
      </c>
      <c r="F799">
        <v>0</v>
      </c>
      <c r="G799">
        <v>0</v>
      </c>
      <c r="H799">
        <v>1</v>
      </c>
      <c r="I799" t="s">
        <v>16</v>
      </c>
      <c r="J799">
        <v>0</v>
      </c>
      <c r="K799">
        <v>1</v>
      </c>
    </row>
    <row r="800" spans="1:11" x14ac:dyDescent="0.3">
      <c r="A800">
        <v>3893</v>
      </c>
      <c r="B800">
        <v>100000</v>
      </c>
      <c r="C800" t="s">
        <v>14</v>
      </c>
      <c r="D800">
        <v>0</v>
      </c>
      <c r="E800">
        <v>0</v>
      </c>
      <c r="F800">
        <v>0</v>
      </c>
      <c r="G800">
        <v>0</v>
      </c>
      <c r="H800">
        <v>1</v>
      </c>
      <c r="I800" t="s">
        <v>15</v>
      </c>
      <c r="J800">
        <v>1</v>
      </c>
      <c r="K800">
        <v>1</v>
      </c>
    </row>
    <row r="801" spans="1:11" x14ac:dyDescent="0.3">
      <c r="A801">
        <v>1710</v>
      </c>
      <c r="B801">
        <v>125000</v>
      </c>
      <c r="C801" t="s">
        <v>14</v>
      </c>
      <c r="D801">
        <v>0</v>
      </c>
      <c r="E801">
        <v>0</v>
      </c>
      <c r="F801">
        <v>0</v>
      </c>
      <c r="G801">
        <v>0</v>
      </c>
      <c r="H801">
        <v>1</v>
      </c>
      <c r="I801" t="s">
        <v>16</v>
      </c>
      <c r="J801">
        <v>1</v>
      </c>
      <c r="K801">
        <v>1</v>
      </c>
    </row>
    <row r="802" spans="1:11" x14ac:dyDescent="0.3">
      <c r="A802">
        <v>1711</v>
      </c>
      <c r="B802">
        <v>5607.4766360000003</v>
      </c>
      <c r="C802" t="s">
        <v>14</v>
      </c>
      <c r="D802">
        <v>0</v>
      </c>
      <c r="E802">
        <v>1</v>
      </c>
      <c r="F802">
        <v>0</v>
      </c>
      <c r="G802">
        <v>1</v>
      </c>
      <c r="H802">
        <v>0</v>
      </c>
      <c r="I802" t="s">
        <v>16</v>
      </c>
      <c r="J802">
        <v>0</v>
      </c>
      <c r="K802">
        <v>1</v>
      </c>
    </row>
    <row r="803" spans="1:11" x14ac:dyDescent="0.3">
      <c r="A803">
        <v>1712</v>
      </c>
      <c r="B803">
        <v>-2000</v>
      </c>
      <c r="C803" t="s">
        <v>14</v>
      </c>
      <c r="D803">
        <v>0</v>
      </c>
      <c r="E803">
        <v>0</v>
      </c>
      <c r="F803">
        <v>0</v>
      </c>
      <c r="G803">
        <v>0</v>
      </c>
      <c r="H803">
        <v>1</v>
      </c>
      <c r="I803" t="s">
        <v>16</v>
      </c>
      <c r="J803">
        <v>0</v>
      </c>
      <c r="K803">
        <v>1</v>
      </c>
    </row>
    <row r="804" spans="1:11" x14ac:dyDescent="0.3">
      <c r="A804">
        <v>1713</v>
      </c>
      <c r="B804">
        <v>7500</v>
      </c>
      <c r="C804" t="s">
        <v>14</v>
      </c>
      <c r="D804">
        <v>0</v>
      </c>
      <c r="E804">
        <v>1</v>
      </c>
      <c r="F804">
        <v>0</v>
      </c>
      <c r="G804">
        <v>0</v>
      </c>
      <c r="H804">
        <v>1</v>
      </c>
      <c r="I804" t="s">
        <v>16</v>
      </c>
      <c r="J804">
        <v>1</v>
      </c>
      <c r="K804">
        <v>0</v>
      </c>
    </row>
    <row r="805" spans="1:11" x14ac:dyDescent="0.3">
      <c r="A805">
        <v>1714</v>
      </c>
      <c r="B805">
        <v>4761.9047620000001</v>
      </c>
      <c r="C805" t="s">
        <v>14</v>
      </c>
      <c r="D805">
        <v>0</v>
      </c>
      <c r="E805">
        <v>0</v>
      </c>
      <c r="F805">
        <v>0</v>
      </c>
      <c r="G805">
        <v>0</v>
      </c>
      <c r="H805">
        <v>1</v>
      </c>
      <c r="I805" t="s">
        <v>16</v>
      </c>
      <c r="J805">
        <v>0</v>
      </c>
      <c r="K805">
        <v>1</v>
      </c>
    </row>
    <row r="806" spans="1:11" x14ac:dyDescent="0.3">
      <c r="A806">
        <v>3890</v>
      </c>
      <c r="B806">
        <v>50000</v>
      </c>
      <c r="C806" t="s">
        <v>14</v>
      </c>
      <c r="D806">
        <v>0</v>
      </c>
      <c r="E806">
        <v>0</v>
      </c>
      <c r="F806">
        <v>0</v>
      </c>
      <c r="G806">
        <v>0</v>
      </c>
      <c r="H806">
        <v>1</v>
      </c>
      <c r="I806" t="s">
        <v>15</v>
      </c>
      <c r="J806">
        <v>1</v>
      </c>
      <c r="K806">
        <v>1</v>
      </c>
    </row>
    <row r="807" spans="1:11" x14ac:dyDescent="0.3">
      <c r="A807">
        <v>1716</v>
      </c>
      <c r="B807">
        <v>12500</v>
      </c>
      <c r="C807" t="s">
        <v>14</v>
      </c>
      <c r="D807">
        <v>0</v>
      </c>
      <c r="E807">
        <v>0</v>
      </c>
      <c r="F807">
        <v>0</v>
      </c>
      <c r="G807">
        <v>0</v>
      </c>
      <c r="H807">
        <v>1</v>
      </c>
      <c r="I807" t="s">
        <v>16</v>
      </c>
      <c r="J807">
        <v>0</v>
      </c>
      <c r="K807">
        <v>1</v>
      </c>
    </row>
    <row r="808" spans="1:11" x14ac:dyDescent="0.3">
      <c r="A808">
        <v>1717</v>
      </c>
      <c r="B808">
        <v>6000</v>
      </c>
      <c r="C808" t="s">
        <v>14</v>
      </c>
      <c r="D808">
        <v>0</v>
      </c>
      <c r="E808">
        <v>0</v>
      </c>
      <c r="F808">
        <v>0</v>
      </c>
      <c r="G808">
        <v>0</v>
      </c>
      <c r="H808">
        <v>1</v>
      </c>
      <c r="I808" t="s">
        <v>16</v>
      </c>
      <c r="J808">
        <v>1</v>
      </c>
      <c r="K808">
        <v>1</v>
      </c>
    </row>
    <row r="809" spans="1:11" x14ac:dyDescent="0.3">
      <c r="A809">
        <v>1718</v>
      </c>
      <c r="B809">
        <v>20000</v>
      </c>
      <c r="C809" t="s">
        <v>14</v>
      </c>
      <c r="D809">
        <v>0</v>
      </c>
      <c r="E809">
        <v>1</v>
      </c>
      <c r="F809">
        <v>0</v>
      </c>
      <c r="G809">
        <v>0</v>
      </c>
      <c r="H809">
        <v>1</v>
      </c>
      <c r="I809" t="s">
        <v>16</v>
      </c>
      <c r="J809">
        <v>1</v>
      </c>
      <c r="K809">
        <v>1</v>
      </c>
    </row>
    <row r="810" spans="1:11" x14ac:dyDescent="0.3">
      <c r="A810">
        <v>1719</v>
      </c>
      <c r="B810">
        <v>6000</v>
      </c>
      <c r="C810" t="s">
        <v>14</v>
      </c>
      <c r="D810">
        <v>0</v>
      </c>
      <c r="E810">
        <v>0</v>
      </c>
      <c r="F810">
        <v>0</v>
      </c>
      <c r="G810">
        <v>0</v>
      </c>
      <c r="H810">
        <v>1</v>
      </c>
      <c r="I810" t="s">
        <v>16</v>
      </c>
      <c r="J810">
        <v>0</v>
      </c>
      <c r="K810">
        <v>0</v>
      </c>
    </row>
    <row r="811" spans="1:11" x14ac:dyDescent="0.3">
      <c r="A811">
        <v>3889</v>
      </c>
      <c r="B811">
        <v>100000</v>
      </c>
      <c r="C811" t="s">
        <v>14</v>
      </c>
      <c r="D811">
        <v>0</v>
      </c>
      <c r="E811">
        <v>0</v>
      </c>
      <c r="F811">
        <v>0</v>
      </c>
      <c r="G811">
        <v>0</v>
      </c>
      <c r="H811">
        <v>1</v>
      </c>
      <c r="I811" t="s">
        <v>15</v>
      </c>
      <c r="J811">
        <v>1</v>
      </c>
      <c r="K811">
        <v>1</v>
      </c>
    </row>
    <row r="812" spans="1:11" x14ac:dyDescent="0.3">
      <c r="A812">
        <v>1724</v>
      </c>
      <c r="B812">
        <v>12605.042020000001</v>
      </c>
      <c r="C812" t="s">
        <v>14</v>
      </c>
      <c r="D812">
        <v>0</v>
      </c>
      <c r="E812">
        <v>1</v>
      </c>
      <c r="F812">
        <v>0</v>
      </c>
      <c r="G812">
        <v>0</v>
      </c>
      <c r="H812">
        <v>1</v>
      </c>
      <c r="I812" t="s">
        <v>16</v>
      </c>
      <c r="J812">
        <v>0</v>
      </c>
      <c r="K812">
        <v>1</v>
      </c>
    </row>
    <row r="813" spans="1:11" x14ac:dyDescent="0.3">
      <c r="A813">
        <v>1725</v>
      </c>
      <c r="B813">
        <v>16666.666669999999</v>
      </c>
      <c r="C813" t="s">
        <v>14</v>
      </c>
      <c r="D813">
        <v>0</v>
      </c>
      <c r="E813">
        <v>0</v>
      </c>
      <c r="F813">
        <v>0</v>
      </c>
      <c r="G813">
        <v>0</v>
      </c>
      <c r="H813">
        <v>1</v>
      </c>
      <c r="I813" t="s">
        <v>16</v>
      </c>
      <c r="J813">
        <v>0</v>
      </c>
      <c r="K813">
        <v>1</v>
      </c>
    </row>
    <row r="814" spans="1:11" x14ac:dyDescent="0.3">
      <c r="A814">
        <v>1727</v>
      </c>
      <c r="B814">
        <v>8695.6521740000007</v>
      </c>
      <c r="C814" t="s">
        <v>14</v>
      </c>
      <c r="D814">
        <v>0</v>
      </c>
      <c r="E814">
        <v>0</v>
      </c>
      <c r="F814">
        <v>0</v>
      </c>
      <c r="G814">
        <v>0</v>
      </c>
      <c r="H814">
        <v>1</v>
      </c>
      <c r="I814" t="s">
        <v>16</v>
      </c>
      <c r="J814">
        <v>0</v>
      </c>
      <c r="K814">
        <v>1</v>
      </c>
    </row>
    <row r="815" spans="1:11" x14ac:dyDescent="0.3">
      <c r="A815">
        <v>3888</v>
      </c>
      <c r="B815">
        <v>83333.333329999994</v>
      </c>
      <c r="C815" t="s">
        <v>14</v>
      </c>
      <c r="D815">
        <v>0</v>
      </c>
      <c r="E815">
        <v>0</v>
      </c>
      <c r="F815">
        <v>0</v>
      </c>
      <c r="G815">
        <v>0</v>
      </c>
      <c r="H815">
        <v>1</v>
      </c>
      <c r="I815" t="s">
        <v>15</v>
      </c>
      <c r="J815">
        <v>1</v>
      </c>
      <c r="K815">
        <v>1</v>
      </c>
    </row>
    <row r="816" spans="1:11" x14ac:dyDescent="0.3">
      <c r="A816">
        <v>1731</v>
      </c>
      <c r="B816">
        <v>100000</v>
      </c>
      <c r="C816" t="s">
        <v>14</v>
      </c>
      <c r="D816">
        <v>0</v>
      </c>
      <c r="E816">
        <v>1</v>
      </c>
      <c r="F816">
        <v>0</v>
      </c>
      <c r="G816">
        <v>1</v>
      </c>
      <c r="H816">
        <v>0</v>
      </c>
      <c r="I816" t="s">
        <v>16</v>
      </c>
      <c r="J816">
        <v>1</v>
      </c>
      <c r="K816">
        <v>1</v>
      </c>
    </row>
    <row r="817" spans="1:11" x14ac:dyDescent="0.3">
      <c r="A817">
        <v>1733</v>
      </c>
      <c r="B817">
        <v>10000</v>
      </c>
      <c r="C817" t="s">
        <v>12</v>
      </c>
      <c r="D817">
        <v>1</v>
      </c>
      <c r="E817">
        <v>0</v>
      </c>
      <c r="F817">
        <v>0</v>
      </c>
      <c r="G817">
        <v>1</v>
      </c>
      <c r="H817">
        <v>0</v>
      </c>
      <c r="I817" t="s">
        <v>16</v>
      </c>
      <c r="J817">
        <v>1</v>
      </c>
      <c r="K817">
        <v>1</v>
      </c>
    </row>
    <row r="818" spans="1:11" x14ac:dyDescent="0.3">
      <c r="A818">
        <v>3881</v>
      </c>
      <c r="B818">
        <v>83333.333329999994</v>
      </c>
      <c r="C818" t="s">
        <v>14</v>
      </c>
      <c r="D818">
        <v>0</v>
      </c>
      <c r="E818">
        <v>0</v>
      </c>
      <c r="F818">
        <v>0</v>
      </c>
      <c r="G818">
        <v>0</v>
      </c>
      <c r="H818">
        <v>1</v>
      </c>
      <c r="I818" t="s">
        <v>15</v>
      </c>
      <c r="J818">
        <v>1</v>
      </c>
      <c r="K818">
        <v>0</v>
      </c>
    </row>
    <row r="819" spans="1:11" x14ac:dyDescent="0.3">
      <c r="A819">
        <v>3878</v>
      </c>
      <c r="B819">
        <v>100000</v>
      </c>
      <c r="C819" t="s">
        <v>12</v>
      </c>
      <c r="D819">
        <v>1</v>
      </c>
      <c r="E819">
        <v>0</v>
      </c>
      <c r="F819">
        <v>0</v>
      </c>
      <c r="G819">
        <v>0</v>
      </c>
      <c r="H819">
        <v>1</v>
      </c>
      <c r="I819" t="s">
        <v>15</v>
      </c>
      <c r="J819">
        <v>1</v>
      </c>
      <c r="K819">
        <v>0</v>
      </c>
    </row>
    <row r="820" spans="1:11" x14ac:dyDescent="0.3">
      <c r="A820">
        <v>3870</v>
      </c>
      <c r="B820">
        <v>100000</v>
      </c>
      <c r="C820" t="s">
        <v>14</v>
      </c>
      <c r="D820">
        <v>0</v>
      </c>
      <c r="E820">
        <v>0</v>
      </c>
      <c r="F820">
        <v>0</v>
      </c>
      <c r="G820">
        <v>1</v>
      </c>
      <c r="H820">
        <v>0</v>
      </c>
      <c r="I820" t="s">
        <v>17</v>
      </c>
      <c r="J820">
        <v>1</v>
      </c>
      <c r="K820">
        <v>0</v>
      </c>
    </row>
    <row r="821" spans="1:11" x14ac:dyDescent="0.3">
      <c r="A821">
        <v>1739</v>
      </c>
      <c r="B821">
        <v>5000</v>
      </c>
      <c r="C821" t="s">
        <v>14</v>
      </c>
      <c r="D821">
        <v>0</v>
      </c>
      <c r="E821">
        <v>0</v>
      </c>
      <c r="F821">
        <v>0</v>
      </c>
      <c r="G821">
        <v>0</v>
      </c>
      <c r="H821">
        <v>1</v>
      </c>
      <c r="I821" t="s">
        <v>16</v>
      </c>
      <c r="J821">
        <v>0</v>
      </c>
      <c r="K821">
        <v>1</v>
      </c>
    </row>
    <row r="822" spans="1:11" x14ac:dyDescent="0.3">
      <c r="A822">
        <v>3864</v>
      </c>
      <c r="B822">
        <v>9500</v>
      </c>
      <c r="C822" t="s">
        <v>14</v>
      </c>
      <c r="D822">
        <v>0</v>
      </c>
      <c r="E822">
        <v>0</v>
      </c>
      <c r="F822">
        <v>0</v>
      </c>
      <c r="G822">
        <v>1</v>
      </c>
      <c r="H822">
        <v>0</v>
      </c>
      <c r="I822" t="s">
        <v>17</v>
      </c>
      <c r="J822">
        <v>1</v>
      </c>
      <c r="K822">
        <v>0</v>
      </c>
    </row>
    <row r="823" spans="1:11" x14ac:dyDescent="0.3">
      <c r="A823">
        <v>1741</v>
      </c>
      <c r="B823">
        <v>5000</v>
      </c>
      <c r="C823" t="s">
        <v>14</v>
      </c>
      <c r="D823">
        <v>0</v>
      </c>
      <c r="E823">
        <v>0</v>
      </c>
      <c r="F823">
        <v>0</v>
      </c>
      <c r="G823">
        <v>0</v>
      </c>
      <c r="H823">
        <v>1</v>
      </c>
      <c r="I823" t="s">
        <v>16</v>
      </c>
      <c r="J823">
        <v>0</v>
      </c>
      <c r="K823">
        <v>0</v>
      </c>
    </row>
    <row r="824" spans="1:11" x14ac:dyDescent="0.3">
      <c r="A824">
        <v>1743</v>
      </c>
      <c r="B824">
        <v>16666.666669999999</v>
      </c>
      <c r="C824" t="s">
        <v>14</v>
      </c>
      <c r="D824">
        <v>0</v>
      </c>
      <c r="E824">
        <v>0</v>
      </c>
      <c r="F824">
        <v>0</v>
      </c>
      <c r="G824">
        <v>1</v>
      </c>
      <c r="H824">
        <v>0</v>
      </c>
      <c r="I824" t="s">
        <v>16</v>
      </c>
      <c r="J824">
        <v>0</v>
      </c>
      <c r="K824">
        <v>1</v>
      </c>
    </row>
    <row r="825" spans="1:11" x14ac:dyDescent="0.3">
      <c r="A825">
        <v>1746</v>
      </c>
      <c r="B825">
        <v>9302.3255809999991</v>
      </c>
      <c r="C825" t="s">
        <v>14</v>
      </c>
      <c r="D825">
        <v>0</v>
      </c>
      <c r="E825">
        <v>1</v>
      </c>
      <c r="F825">
        <v>0</v>
      </c>
      <c r="G825">
        <v>1</v>
      </c>
      <c r="H825">
        <v>0</v>
      </c>
      <c r="I825" t="s">
        <v>16</v>
      </c>
      <c r="J825">
        <v>0</v>
      </c>
      <c r="K825">
        <v>1</v>
      </c>
    </row>
    <row r="826" spans="1:11" x14ac:dyDescent="0.3">
      <c r="A826">
        <v>1754</v>
      </c>
      <c r="B826">
        <v>20454.545450000001</v>
      </c>
      <c r="C826" t="s">
        <v>12</v>
      </c>
      <c r="D826">
        <v>1</v>
      </c>
      <c r="E826">
        <v>0</v>
      </c>
      <c r="F826">
        <v>0</v>
      </c>
      <c r="G826">
        <v>0</v>
      </c>
      <c r="H826">
        <v>1</v>
      </c>
      <c r="I826" t="s">
        <v>16</v>
      </c>
      <c r="J826">
        <v>0</v>
      </c>
      <c r="K826">
        <v>1</v>
      </c>
    </row>
    <row r="827" spans="1:11" x14ac:dyDescent="0.3">
      <c r="A827">
        <v>1813</v>
      </c>
      <c r="B827">
        <v>10000</v>
      </c>
      <c r="C827" t="s">
        <v>14</v>
      </c>
      <c r="D827">
        <v>0</v>
      </c>
      <c r="E827">
        <v>0</v>
      </c>
      <c r="F827">
        <v>0</v>
      </c>
      <c r="G827">
        <v>0</v>
      </c>
      <c r="H827">
        <v>1</v>
      </c>
      <c r="I827" t="s">
        <v>16</v>
      </c>
      <c r="J827">
        <v>0</v>
      </c>
      <c r="K827">
        <v>0</v>
      </c>
    </row>
    <row r="828" spans="1:11" x14ac:dyDescent="0.3">
      <c r="A828">
        <v>1814</v>
      </c>
      <c r="B828">
        <v>15625</v>
      </c>
      <c r="C828" t="s">
        <v>14</v>
      </c>
      <c r="D828">
        <v>0</v>
      </c>
      <c r="E828">
        <v>0</v>
      </c>
      <c r="F828">
        <v>0</v>
      </c>
      <c r="G828">
        <v>0</v>
      </c>
      <c r="H828">
        <v>1</v>
      </c>
      <c r="I828" t="s">
        <v>16</v>
      </c>
      <c r="J828">
        <v>0</v>
      </c>
      <c r="K828">
        <v>0</v>
      </c>
    </row>
    <row r="829" spans="1:11" x14ac:dyDescent="0.3">
      <c r="A829">
        <v>1816</v>
      </c>
      <c r="B829">
        <v>2500</v>
      </c>
      <c r="C829" t="s">
        <v>14</v>
      </c>
      <c r="D829">
        <v>0</v>
      </c>
      <c r="E829">
        <v>0</v>
      </c>
      <c r="F829">
        <v>0</v>
      </c>
      <c r="G829">
        <v>0</v>
      </c>
      <c r="H829">
        <v>1</v>
      </c>
      <c r="I829" t="s">
        <v>16</v>
      </c>
      <c r="J829">
        <v>0</v>
      </c>
      <c r="K829">
        <v>1</v>
      </c>
    </row>
    <row r="830" spans="1:11" x14ac:dyDescent="0.3">
      <c r="A830">
        <v>1818</v>
      </c>
      <c r="B830">
        <v>2500</v>
      </c>
      <c r="C830" t="s">
        <v>12</v>
      </c>
      <c r="D830">
        <v>1</v>
      </c>
      <c r="E830">
        <v>0</v>
      </c>
      <c r="F830">
        <v>0</v>
      </c>
      <c r="G830">
        <v>0</v>
      </c>
      <c r="H830">
        <v>1</v>
      </c>
      <c r="I830" t="s">
        <v>16</v>
      </c>
      <c r="J830">
        <v>0</v>
      </c>
      <c r="K830">
        <v>1</v>
      </c>
    </row>
    <row r="831" spans="1:11" x14ac:dyDescent="0.3">
      <c r="A831">
        <v>1821</v>
      </c>
      <c r="B831">
        <v>-20000</v>
      </c>
      <c r="C831" t="s">
        <v>12</v>
      </c>
      <c r="D831">
        <v>1</v>
      </c>
      <c r="E831">
        <v>0</v>
      </c>
      <c r="F831">
        <v>0</v>
      </c>
      <c r="G831">
        <v>1</v>
      </c>
      <c r="H831">
        <v>0</v>
      </c>
      <c r="I831" t="s">
        <v>16</v>
      </c>
      <c r="J831">
        <v>1</v>
      </c>
      <c r="K831">
        <v>0</v>
      </c>
    </row>
    <row r="832" spans="1:11" x14ac:dyDescent="0.3">
      <c r="A832">
        <v>1823</v>
      </c>
      <c r="B832">
        <v>5714.2857139999996</v>
      </c>
      <c r="C832" t="s">
        <v>14</v>
      </c>
      <c r="D832">
        <v>0</v>
      </c>
      <c r="E832">
        <v>0</v>
      </c>
      <c r="F832">
        <v>0</v>
      </c>
      <c r="G832">
        <v>0</v>
      </c>
      <c r="H832">
        <v>1</v>
      </c>
      <c r="I832" t="s">
        <v>16</v>
      </c>
      <c r="J832">
        <v>0</v>
      </c>
      <c r="K832">
        <v>0</v>
      </c>
    </row>
    <row r="833" spans="1:11" x14ac:dyDescent="0.3">
      <c r="A833">
        <v>1828</v>
      </c>
      <c r="B833">
        <v>-6349.206349</v>
      </c>
      <c r="C833" t="s">
        <v>14</v>
      </c>
      <c r="D833">
        <v>0</v>
      </c>
      <c r="E833">
        <v>0</v>
      </c>
      <c r="F833">
        <v>0</v>
      </c>
      <c r="G833">
        <v>1</v>
      </c>
      <c r="H833">
        <v>0</v>
      </c>
      <c r="I833" t="s">
        <v>16</v>
      </c>
      <c r="J833">
        <v>0</v>
      </c>
      <c r="K833">
        <v>1</v>
      </c>
    </row>
    <row r="834" spans="1:11" x14ac:dyDescent="0.3">
      <c r="A834">
        <v>1830</v>
      </c>
      <c r="B834">
        <v>30000</v>
      </c>
      <c r="C834" t="s">
        <v>14</v>
      </c>
      <c r="D834">
        <v>0</v>
      </c>
      <c r="E834">
        <v>0</v>
      </c>
      <c r="F834">
        <v>0</v>
      </c>
      <c r="G834">
        <v>1</v>
      </c>
      <c r="H834">
        <v>0</v>
      </c>
      <c r="I834" t="s">
        <v>16</v>
      </c>
      <c r="J834">
        <v>0</v>
      </c>
      <c r="K834">
        <v>1</v>
      </c>
    </row>
    <row r="835" spans="1:11" x14ac:dyDescent="0.3">
      <c r="A835">
        <v>1832</v>
      </c>
      <c r="B835">
        <v>-23333.333330000001</v>
      </c>
      <c r="C835" t="s">
        <v>12</v>
      </c>
      <c r="D835">
        <v>1</v>
      </c>
      <c r="E835">
        <v>0</v>
      </c>
      <c r="F835">
        <v>0</v>
      </c>
      <c r="G835">
        <v>1</v>
      </c>
      <c r="H835">
        <v>0</v>
      </c>
      <c r="I835" t="s">
        <v>16</v>
      </c>
      <c r="J835">
        <v>0</v>
      </c>
      <c r="K835">
        <v>0</v>
      </c>
    </row>
    <row r="836" spans="1:11" x14ac:dyDescent="0.3">
      <c r="A836">
        <v>1833</v>
      </c>
      <c r="B836">
        <v>4739.3364929999998</v>
      </c>
      <c r="C836" t="s">
        <v>14</v>
      </c>
      <c r="D836">
        <v>0</v>
      </c>
      <c r="E836">
        <v>0</v>
      </c>
      <c r="F836">
        <v>0</v>
      </c>
      <c r="G836">
        <v>0</v>
      </c>
      <c r="H836">
        <v>1</v>
      </c>
      <c r="I836" t="s">
        <v>16</v>
      </c>
      <c r="J836">
        <v>0</v>
      </c>
      <c r="K836">
        <v>1</v>
      </c>
    </row>
    <row r="837" spans="1:11" x14ac:dyDescent="0.3">
      <c r="A837">
        <v>1836</v>
      </c>
      <c r="B837">
        <v>9302.3255809999991</v>
      </c>
      <c r="C837" t="s">
        <v>14</v>
      </c>
      <c r="D837">
        <v>0</v>
      </c>
      <c r="E837">
        <v>0</v>
      </c>
      <c r="F837">
        <v>0</v>
      </c>
      <c r="G837">
        <v>1</v>
      </c>
      <c r="H837">
        <v>0</v>
      </c>
      <c r="I837" t="s">
        <v>16</v>
      </c>
      <c r="J837">
        <v>0</v>
      </c>
      <c r="K837">
        <v>1</v>
      </c>
    </row>
    <row r="838" spans="1:11" x14ac:dyDescent="0.3">
      <c r="A838">
        <v>3861</v>
      </c>
      <c r="B838">
        <v>32154.340840000001</v>
      </c>
      <c r="C838" t="s">
        <v>14</v>
      </c>
      <c r="D838">
        <v>0</v>
      </c>
      <c r="E838">
        <v>1</v>
      </c>
      <c r="F838">
        <v>0</v>
      </c>
      <c r="G838">
        <v>1</v>
      </c>
      <c r="H838">
        <v>0</v>
      </c>
      <c r="I838" t="s">
        <v>17</v>
      </c>
      <c r="J838">
        <v>1</v>
      </c>
      <c r="K838">
        <v>0</v>
      </c>
    </row>
    <row r="839" spans="1:11" x14ac:dyDescent="0.3">
      <c r="A839">
        <v>1841</v>
      </c>
      <c r="B839">
        <v>12000</v>
      </c>
      <c r="C839" t="s">
        <v>14</v>
      </c>
      <c r="D839">
        <v>0</v>
      </c>
      <c r="E839">
        <v>1</v>
      </c>
      <c r="F839">
        <v>0</v>
      </c>
      <c r="G839">
        <v>0</v>
      </c>
      <c r="H839">
        <v>1</v>
      </c>
      <c r="I839" t="s">
        <v>16</v>
      </c>
      <c r="J839">
        <v>0</v>
      </c>
      <c r="K839">
        <v>1</v>
      </c>
    </row>
    <row r="840" spans="1:11" x14ac:dyDescent="0.3">
      <c r="A840">
        <v>1843</v>
      </c>
      <c r="B840">
        <v>6666.6666670000004</v>
      </c>
      <c r="C840" t="s">
        <v>14</v>
      </c>
      <c r="D840">
        <v>0</v>
      </c>
      <c r="E840">
        <v>0</v>
      </c>
      <c r="F840">
        <v>0</v>
      </c>
      <c r="G840">
        <v>0</v>
      </c>
      <c r="H840">
        <v>1</v>
      </c>
      <c r="I840" t="s">
        <v>16</v>
      </c>
      <c r="J840">
        <v>0</v>
      </c>
      <c r="K840">
        <v>1</v>
      </c>
    </row>
    <row r="841" spans="1:11" x14ac:dyDescent="0.3">
      <c r="A841">
        <v>1847</v>
      </c>
      <c r="B841">
        <v>2857.1428569999998</v>
      </c>
      <c r="C841" t="s">
        <v>14</v>
      </c>
      <c r="D841">
        <v>0</v>
      </c>
      <c r="E841">
        <v>0</v>
      </c>
      <c r="F841">
        <v>0</v>
      </c>
      <c r="G841">
        <v>0</v>
      </c>
      <c r="H841">
        <v>1</v>
      </c>
      <c r="I841" t="s">
        <v>16</v>
      </c>
      <c r="J841">
        <v>0</v>
      </c>
      <c r="K841">
        <v>0</v>
      </c>
    </row>
    <row r="842" spans="1:11" x14ac:dyDescent="0.3">
      <c r="A842">
        <v>1848</v>
      </c>
      <c r="B842">
        <v>5000</v>
      </c>
      <c r="C842" t="s">
        <v>14</v>
      </c>
      <c r="D842">
        <v>0</v>
      </c>
      <c r="E842">
        <v>0</v>
      </c>
      <c r="F842">
        <v>0</v>
      </c>
      <c r="G842">
        <v>0</v>
      </c>
      <c r="H842">
        <v>1</v>
      </c>
      <c r="I842" t="s">
        <v>16</v>
      </c>
      <c r="J842">
        <v>1</v>
      </c>
      <c r="K842">
        <v>0</v>
      </c>
    </row>
    <row r="843" spans="1:11" x14ac:dyDescent="0.3">
      <c r="A843">
        <v>1851</v>
      </c>
      <c r="B843">
        <v>3333.333333</v>
      </c>
      <c r="C843" t="s">
        <v>14</v>
      </c>
      <c r="D843">
        <v>0</v>
      </c>
      <c r="E843">
        <v>0</v>
      </c>
      <c r="F843">
        <v>0</v>
      </c>
      <c r="G843">
        <v>1</v>
      </c>
      <c r="H843">
        <v>0</v>
      </c>
      <c r="I843" t="s">
        <v>16</v>
      </c>
      <c r="J843">
        <v>0</v>
      </c>
      <c r="K843">
        <v>0</v>
      </c>
    </row>
    <row r="844" spans="1:11" x14ac:dyDescent="0.3">
      <c r="A844">
        <v>1856</v>
      </c>
      <c r="B844">
        <v>5000</v>
      </c>
      <c r="C844" t="s">
        <v>12</v>
      </c>
      <c r="D844">
        <v>1</v>
      </c>
      <c r="E844">
        <v>0</v>
      </c>
      <c r="F844">
        <v>0</v>
      </c>
      <c r="G844">
        <v>0</v>
      </c>
      <c r="H844">
        <v>1</v>
      </c>
      <c r="I844" t="s">
        <v>16</v>
      </c>
      <c r="J844">
        <v>0</v>
      </c>
      <c r="K844">
        <v>1</v>
      </c>
    </row>
    <row r="845" spans="1:11" x14ac:dyDescent="0.3">
      <c r="A845">
        <v>1857</v>
      </c>
      <c r="B845">
        <v>4761.9047620000001</v>
      </c>
      <c r="C845" t="s">
        <v>14</v>
      </c>
      <c r="D845">
        <v>0</v>
      </c>
      <c r="E845">
        <v>0</v>
      </c>
      <c r="F845">
        <v>0</v>
      </c>
      <c r="G845">
        <v>0</v>
      </c>
      <c r="H845">
        <v>1</v>
      </c>
      <c r="I845" t="s">
        <v>16</v>
      </c>
      <c r="J845">
        <v>0</v>
      </c>
      <c r="K845">
        <v>0</v>
      </c>
    </row>
    <row r="846" spans="1:11" x14ac:dyDescent="0.3">
      <c r="A846">
        <v>1858</v>
      </c>
      <c r="B846">
        <v>3750</v>
      </c>
      <c r="C846" t="s">
        <v>14</v>
      </c>
      <c r="D846">
        <v>0</v>
      </c>
      <c r="E846">
        <v>0</v>
      </c>
      <c r="F846">
        <v>0</v>
      </c>
      <c r="G846">
        <v>0</v>
      </c>
      <c r="H846">
        <v>1</v>
      </c>
      <c r="I846" t="s">
        <v>16</v>
      </c>
      <c r="J846">
        <v>0</v>
      </c>
      <c r="K846">
        <v>0</v>
      </c>
    </row>
    <row r="847" spans="1:11" x14ac:dyDescent="0.3">
      <c r="A847">
        <v>1860</v>
      </c>
      <c r="B847">
        <v>25694.444439999999</v>
      </c>
      <c r="C847" t="s">
        <v>14</v>
      </c>
      <c r="D847">
        <v>0</v>
      </c>
      <c r="E847">
        <v>0</v>
      </c>
      <c r="F847">
        <v>0</v>
      </c>
      <c r="G847">
        <v>0</v>
      </c>
      <c r="H847">
        <v>1</v>
      </c>
      <c r="I847" t="s">
        <v>16</v>
      </c>
      <c r="J847">
        <v>1</v>
      </c>
      <c r="K847">
        <v>0</v>
      </c>
    </row>
    <row r="848" spans="1:11" x14ac:dyDescent="0.3">
      <c r="A848">
        <v>1861</v>
      </c>
      <c r="B848">
        <v>6666.6666670000004</v>
      </c>
      <c r="C848" t="s">
        <v>14</v>
      </c>
      <c r="D848">
        <v>0</v>
      </c>
      <c r="E848">
        <v>1</v>
      </c>
      <c r="F848">
        <v>0</v>
      </c>
      <c r="G848">
        <v>0</v>
      </c>
      <c r="H848">
        <v>1</v>
      </c>
      <c r="I848" t="s">
        <v>16</v>
      </c>
      <c r="J848">
        <v>0</v>
      </c>
      <c r="K848">
        <v>0</v>
      </c>
    </row>
    <row r="849" spans="1:11" x14ac:dyDescent="0.3">
      <c r="A849">
        <v>3845</v>
      </c>
      <c r="B849">
        <v>44052.863440000001</v>
      </c>
      <c r="C849" t="s">
        <v>14</v>
      </c>
      <c r="D849">
        <v>0</v>
      </c>
      <c r="E849">
        <v>0</v>
      </c>
      <c r="F849">
        <v>0</v>
      </c>
      <c r="G849">
        <v>0</v>
      </c>
      <c r="H849">
        <v>1</v>
      </c>
      <c r="I849" t="s">
        <v>15</v>
      </c>
      <c r="J849">
        <v>1</v>
      </c>
      <c r="K849">
        <v>0</v>
      </c>
    </row>
    <row r="850" spans="1:11" x14ac:dyDescent="0.3">
      <c r="A850">
        <v>1864</v>
      </c>
      <c r="B850">
        <v>1666.666667</v>
      </c>
      <c r="C850" t="s">
        <v>12</v>
      </c>
      <c r="D850">
        <v>1</v>
      </c>
      <c r="E850">
        <v>0</v>
      </c>
      <c r="F850">
        <v>0</v>
      </c>
      <c r="G850">
        <v>0</v>
      </c>
      <c r="H850">
        <v>1</v>
      </c>
      <c r="I850" t="s">
        <v>16</v>
      </c>
      <c r="J850">
        <v>0</v>
      </c>
      <c r="K850">
        <v>0</v>
      </c>
    </row>
    <row r="851" spans="1:11" x14ac:dyDescent="0.3">
      <c r="A851">
        <v>3844</v>
      </c>
      <c r="B851">
        <v>38834.951459999997</v>
      </c>
      <c r="C851" t="s">
        <v>14</v>
      </c>
      <c r="D851">
        <v>0</v>
      </c>
      <c r="E851">
        <v>0</v>
      </c>
      <c r="F851">
        <v>0</v>
      </c>
      <c r="G851">
        <v>0</v>
      </c>
      <c r="H851">
        <v>1</v>
      </c>
      <c r="I851" t="s">
        <v>15</v>
      </c>
      <c r="J851">
        <v>1</v>
      </c>
      <c r="K851">
        <v>0</v>
      </c>
    </row>
    <row r="852" spans="1:11" x14ac:dyDescent="0.3">
      <c r="A852">
        <v>1867</v>
      </c>
      <c r="B852">
        <v>4000</v>
      </c>
      <c r="C852" t="s">
        <v>14</v>
      </c>
      <c r="D852">
        <v>0</v>
      </c>
      <c r="E852">
        <v>0</v>
      </c>
      <c r="F852">
        <v>0</v>
      </c>
      <c r="G852">
        <v>0</v>
      </c>
      <c r="H852">
        <v>1</v>
      </c>
      <c r="I852" t="s">
        <v>16</v>
      </c>
      <c r="J852">
        <v>0</v>
      </c>
      <c r="K852">
        <v>1</v>
      </c>
    </row>
    <row r="853" spans="1:11" x14ac:dyDescent="0.3">
      <c r="A853">
        <v>1868</v>
      </c>
      <c r="B853">
        <v>3787.878788</v>
      </c>
      <c r="C853" t="s">
        <v>14</v>
      </c>
      <c r="D853">
        <v>0</v>
      </c>
      <c r="E853">
        <v>0</v>
      </c>
      <c r="F853">
        <v>0</v>
      </c>
      <c r="G853">
        <v>0</v>
      </c>
      <c r="H853">
        <v>1</v>
      </c>
      <c r="I853" t="s">
        <v>16</v>
      </c>
      <c r="J853">
        <v>0</v>
      </c>
      <c r="K853">
        <v>0</v>
      </c>
    </row>
    <row r="854" spans="1:11" x14ac:dyDescent="0.3">
      <c r="A854">
        <v>3843</v>
      </c>
      <c r="B854">
        <v>100000</v>
      </c>
      <c r="C854" t="s">
        <v>14</v>
      </c>
      <c r="D854">
        <v>0</v>
      </c>
      <c r="E854">
        <v>0</v>
      </c>
      <c r="F854">
        <v>0</v>
      </c>
      <c r="G854">
        <v>0</v>
      </c>
      <c r="H854">
        <v>1</v>
      </c>
      <c r="I854" t="s">
        <v>15</v>
      </c>
      <c r="J854">
        <v>1</v>
      </c>
      <c r="K854">
        <v>0</v>
      </c>
    </row>
    <row r="855" spans="1:11" x14ac:dyDescent="0.3">
      <c r="A855">
        <v>3835</v>
      </c>
      <c r="B855">
        <v>100000</v>
      </c>
      <c r="C855" t="s">
        <v>14</v>
      </c>
      <c r="D855">
        <v>0</v>
      </c>
      <c r="E855">
        <v>0</v>
      </c>
      <c r="F855">
        <v>0</v>
      </c>
      <c r="G855">
        <v>0</v>
      </c>
      <c r="H855">
        <v>1</v>
      </c>
      <c r="I855" t="s">
        <v>15</v>
      </c>
      <c r="J855">
        <v>1</v>
      </c>
      <c r="K855">
        <v>1</v>
      </c>
    </row>
    <row r="856" spans="1:11" x14ac:dyDescent="0.3">
      <c r="A856">
        <v>3829</v>
      </c>
      <c r="B856">
        <v>99264.705879999994</v>
      </c>
      <c r="C856" t="s">
        <v>14</v>
      </c>
      <c r="D856">
        <v>0</v>
      </c>
      <c r="E856">
        <v>0</v>
      </c>
      <c r="F856">
        <v>0</v>
      </c>
      <c r="G856">
        <v>0</v>
      </c>
      <c r="H856">
        <v>1</v>
      </c>
      <c r="I856" t="s">
        <v>15</v>
      </c>
      <c r="J856">
        <v>1</v>
      </c>
      <c r="K856">
        <v>1</v>
      </c>
    </row>
    <row r="857" spans="1:11" x14ac:dyDescent="0.3">
      <c r="A857">
        <v>1879</v>
      </c>
      <c r="B857">
        <v>2307.6923080000001</v>
      </c>
      <c r="C857" t="s">
        <v>14</v>
      </c>
      <c r="D857">
        <v>0</v>
      </c>
      <c r="E857">
        <v>0</v>
      </c>
      <c r="F857">
        <v>0</v>
      </c>
      <c r="G857">
        <v>0</v>
      </c>
      <c r="H857">
        <v>1</v>
      </c>
      <c r="I857" t="s">
        <v>16</v>
      </c>
      <c r="J857">
        <v>0</v>
      </c>
      <c r="K857">
        <v>0</v>
      </c>
    </row>
    <row r="858" spans="1:11" x14ac:dyDescent="0.3">
      <c r="A858">
        <v>1880</v>
      </c>
      <c r="B858">
        <v>3387.0967740000001</v>
      </c>
      <c r="C858" t="s">
        <v>14</v>
      </c>
      <c r="D858">
        <v>0</v>
      </c>
      <c r="E858">
        <v>0</v>
      </c>
      <c r="F858">
        <v>0</v>
      </c>
      <c r="G858">
        <v>0</v>
      </c>
      <c r="H858">
        <v>1</v>
      </c>
      <c r="I858" t="s">
        <v>16</v>
      </c>
      <c r="J858">
        <v>0</v>
      </c>
      <c r="K858">
        <v>1</v>
      </c>
    </row>
    <row r="859" spans="1:11" x14ac:dyDescent="0.3">
      <c r="A859">
        <v>3819</v>
      </c>
      <c r="B859">
        <v>150000</v>
      </c>
      <c r="C859" t="s">
        <v>14</v>
      </c>
      <c r="D859">
        <v>0</v>
      </c>
      <c r="E859">
        <v>0</v>
      </c>
      <c r="F859">
        <v>0</v>
      </c>
      <c r="G859">
        <v>0</v>
      </c>
      <c r="H859">
        <v>1</v>
      </c>
      <c r="I859" t="s">
        <v>15</v>
      </c>
      <c r="J859">
        <v>1</v>
      </c>
      <c r="K859">
        <v>0</v>
      </c>
    </row>
    <row r="860" spans="1:11" x14ac:dyDescent="0.3">
      <c r="A860">
        <v>3815</v>
      </c>
      <c r="B860">
        <v>33333.333330000001</v>
      </c>
      <c r="C860" t="s">
        <v>14</v>
      </c>
      <c r="D860">
        <v>0</v>
      </c>
      <c r="E860">
        <v>0</v>
      </c>
      <c r="F860">
        <v>0</v>
      </c>
      <c r="G860">
        <v>0</v>
      </c>
      <c r="H860">
        <v>1</v>
      </c>
      <c r="I860" t="s">
        <v>15</v>
      </c>
      <c r="J860">
        <v>1</v>
      </c>
      <c r="K860">
        <v>0</v>
      </c>
    </row>
    <row r="861" spans="1:11" x14ac:dyDescent="0.3">
      <c r="A861">
        <v>1886</v>
      </c>
      <c r="B861">
        <v>6250</v>
      </c>
      <c r="C861" t="s">
        <v>12</v>
      </c>
      <c r="D861">
        <v>1</v>
      </c>
      <c r="E861">
        <v>0</v>
      </c>
      <c r="F861">
        <v>0</v>
      </c>
      <c r="G861">
        <v>0</v>
      </c>
      <c r="H861">
        <v>1</v>
      </c>
      <c r="I861" t="s">
        <v>16</v>
      </c>
      <c r="J861">
        <v>0</v>
      </c>
      <c r="K861">
        <v>1</v>
      </c>
    </row>
    <row r="862" spans="1:11" x14ac:dyDescent="0.3">
      <c r="A862">
        <v>1887</v>
      </c>
      <c r="B862">
        <v>40000</v>
      </c>
      <c r="C862" t="s">
        <v>14</v>
      </c>
      <c r="D862">
        <v>0</v>
      </c>
      <c r="E862">
        <v>0</v>
      </c>
      <c r="F862">
        <v>0</v>
      </c>
      <c r="G862">
        <v>0</v>
      </c>
      <c r="H862">
        <v>1</v>
      </c>
      <c r="I862" t="s">
        <v>16</v>
      </c>
      <c r="J862">
        <v>1</v>
      </c>
      <c r="K862">
        <v>1</v>
      </c>
    </row>
    <row r="863" spans="1:11" x14ac:dyDescent="0.3">
      <c r="A863">
        <v>1888</v>
      </c>
      <c r="B863">
        <v>6250</v>
      </c>
      <c r="C863" t="s">
        <v>14</v>
      </c>
      <c r="D863">
        <v>0</v>
      </c>
      <c r="E863">
        <v>0</v>
      </c>
      <c r="F863">
        <v>0</v>
      </c>
      <c r="G863">
        <v>0</v>
      </c>
      <c r="H863">
        <v>1</v>
      </c>
      <c r="I863" t="s">
        <v>16</v>
      </c>
      <c r="J863">
        <v>0</v>
      </c>
      <c r="K863">
        <v>0</v>
      </c>
    </row>
    <row r="864" spans="1:11" x14ac:dyDescent="0.3">
      <c r="A864">
        <v>1891</v>
      </c>
      <c r="B864">
        <v>5000</v>
      </c>
      <c r="C864" t="s">
        <v>14</v>
      </c>
      <c r="D864">
        <v>0</v>
      </c>
      <c r="E864">
        <v>0</v>
      </c>
      <c r="F864">
        <v>0</v>
      </c>
      <c r="G864">
        <v>0</v>
      </c>
      <c r="H864">
        <v>1</v>
      </c>
      <c r="I864" t="s">
        <v>16</v>
      </c>
      <c r="J864">
        <v>0</v>
      </c>
      <c r="K864">
        <v>0</v>
      </c>
    </row>
    <row r="865" spans="1:11" x14ac:dyDescent="0.3">
      <c r="A865">
        <v>3814</v>
      </c>
      <c r="B865">
        <v>31250</v>
      </c>
      <c r="C865" t="s">
        <v>14</v>
      </c>
      <c r="D865">
        <v>0</v>
      </c>
      <c r="E865">
        <v>0</v>
      </c>
      <c r="F865">
        <v>0</v>
      </c>
      <c r="G865">
        <v>0</v>
      </c>
      <c r="H865">
        <v>1</v>
      </c>
      <c r="I865" t="s">
        <v>15</v>
      </c>
      <c r="J865">
        <v>1</v>
      </c>
      <c r="K865">
        <v>0</v>
      </c>
    </row>
    <row r="866" spans="1:11" x14ac:dyDescent="0.3">
      <c r="A866">
        <v>1897</v>
      </c>
      <c r="B866">
        <v>12500</v>
      </c>
      <c r="C866" t="s">
        <v>14</v>
      </c>
      <c r="D866">
        <v>0</v>
      </c>
      <c r="E866">
        <v>0</v>
      </c>
      <c r="F866">
        <v>0</v>
      </c>
      <c r="G866">
        <v>1</v>
      </c>
      <c r="H866">
        <v>0</v>
      </c>
      <c r="I866" t="s">
        <v>13</v>
      </c>
      <c r="J866">
        <v>1</v>
      </c>
      <c r="K866">
        <v>0</v>
      </c>
    </row>
    <row r="867" spans="1:11" x14ac:dyDescent="0.3">
      <c r="A867">
        <v>1905</v>
      </c>
      <c r="B867">
        <v>18571.42857</v>
      </c>
      <c r="C867" t="s">
        <v>14</v>
      </c>
      <c r="D867">
        <v>0</v>
      </c>
      <c r="E867">
        <v>1</v>
      </c>
      <c r="F867">
        <v>0</v>
      </c>
      <c r="G867">
        <v>0</v>
      </c>
      <c r="H867">
        <v>1</v>
      </c>
      <c r="I867" t="s">
        <v>13</v>
      </c>
      <c r="J867">
        <v>1</v>
      </c>
      <c r="K867">
        <v>0</v>
      </c>
    </row>
    <row r="868" spans="1:11" x14ac:dyDescent="0.3">
      <c r="A868">
        <v>1906</v>
      </c>
      <c r="B868">
        <v>6038.6473429999996</v>
      </c>
      <c r="C868" t="s">
        <v>14</v>
      </c>
      <c r="D868">
        <v>0</v>
      </c>
      <c r="E868">
        <v>1</v>
      </c>
      <c r="F868">
        <v>0</v>
      </c>
      <c r="G868">
        <v>0</v>
      </c>
      <c r="H868">
        <v>1</v>
      </c>
      <c r="I868" t="s">
        <v>13</v>
      </c>
      <c r="J868">
        <v>1</v>
      </c>
      <c r="K868">
        <v>0</v>
      </c>
    </row>
    <row r="869" spans="1:11" x14ac:dyDescent="0.3">
      <c r="A869">
        <v>1907</v>
      </c>
      <c r="B869">
        <v>12500</v>
      </c>
      <c r="C869" t="s">
        <v>14</v>
      </c>
      <c r="D869">
        <v>0</v>
      </c>
      <c r="E869">
        <v>0</v>
      </c>
      <c r="F869">
        <v>0</v>
      </c>
      <c r="G869">
        <v>1</v>
      </c>
      <c r="H869">
        <v>0</v>
      </c>
      <c r="I869" t="s">
        <v>13</v>
      </c>
      <c r="J869">
        <v>1</v>
      </c>
      <c r="K869">
        <v>0</v>
      </c>
    </row>
    <row r="870" spans="1:11" x14ac:dyDescent="0.3">
      <c r="A870">
        <v>3813</v>
      </c>
      <c r="B870">
        <v>45454.545449999998</v>
      </c>
      <c r="C870" t="s">
        <v>14</v>
      </c>
      <c r="D870">
        <v>0</v>
      </c>
      <c r="E870">
        <v>0</v>
      </c>
      <c r="F870">
        <v>0</v>
      </c>
      <c r="G870">
        <v>0</v>
      </c>
      <c r="H870">
        <v>1</v>
      </c>
      <c r="I870" t="s">
        <v>15</v>
      </c>
      <c r="J870">
        <v>1</v>
      </c>
      <c r="K870">
        <v>0</v>
      </c>
    </row>
    <row r="871" spans="1:11" x14ac:dyDescent="0.3">
      <c r="A871">
        <v>3804</v>
      </c>
      <c r="B871">
        <v>150000</v>
      </c>
      <c r="C871" t="s">
        <v>14</v>
      </c>
      <c r="D871">
        <v>0</v>
      </c>
      <c r="E871">
        <v>0</v>
      </c>
      <c r="F871">
        <v>0</v>
      </c>
      <c r="G871">
        <v>0</v>
      </c>
      <c r="H871">
        <v>1</v>
      </c>
      <c r="I871" t="s">
        <v>15</v>
      </c>
      <c r="J871">
        <v>1</v>
      </c>
      <c r="K871">
        <v>0</v>
      </c>
    </row>
    <row r="872" spans="1:11" x14ac:dyDescent="0.3">
      <c r="A872">
        <v>1926</v>
      </c>
      <c r="B872">
        <v>10000</v>
      </c>
      <c r="C872" t="s">
        <v>14</v>
      </c>
      <c r="D872">
        <v>0</v>
      </c>
      <c r="E872">
        <v>0</v>
      </c>
      <c r="F872">
        <v>0</v>
      </c>
      <c r="G872">
        <v>0</v>
      </c>
      <c r="H872">
        <v>1</v>
      </c>
      <c r="I872" t="s">
        <v>13</v>
      </c>
      <c r="J872">
        <v>1</v>
      </c>
      <c r="K872">
        <v>0</v>
      </c>
    </row>
    <row r="873" spans="1:11" x14ac:dyDescent="0.3">
      <c r="A873">
        <v>1929</v>
      </c>
      <c r="B873">
        <v>12500</v>
      </c>
      <c r="C873" t="s">
        <v>14</v>
      </c>
      <c r="D873">
        <v>0</v>
      </c>
      <c r="E873">
        <v>0</v>
      </c>
      <c r="F873">
        <v>0</v>
      </c>
      <c r="G873">
        <v>1</v>
      </c>
      <c r="H873">
        <v>0</v>
      </c>
      <c r="I873" t="s">
        <v>13</v>
      </c>
      <c r="J873">
        <v>1</v>
      </c>
      <c r="K873">
        <v>0</v>
      </c>
    </row>
    <row r="874" spans="1:11" x14ac:dyDescent="0.3">
      <c r="A874">
        <v>1938</v>
      </c>
      <c r="B874">
        <v>150000</v>
      </c>
      <c r="C874" t="s">
        <v>14</v>
      </c>
      <c r="D874">
        <v>0</v>
      </c>
      <c r="E874">
        <v>0</v>
      </c>
      <c r="F874">
        <v>0</v>
      </c>
      <c r="G874">
        <v>0</v>
      </c>
      <c r="H874">
        <v>1</v>
      </c>
      <c r="I874" t="s">
        <v>15</v>
      </c>
      <c r="J874">
        <v>1</v>
      </c>
      <c r="K874">
        <v>0</v>
      </c>
    </row>
    <row r="875" spans="1:11" x14ac:dyDescent="0.3">
      <c r="A875">
        <v>1942</v>
      </c>
      <c r="B875">
        <v>90909.090909999999</v>
      </c>
      <c r="C875" t="s">
        <v>12</v>
      </c>
      <c r="D875">
        <v>1</v>
      </c>
      <c r="E875">
        <v>0</v>
      </c>
      <c r="F875">
        <v>0</v>
      </c>
      <c r="G875">
        <v>0</v>
      </c>
      <c r="H875">
        <v>1</v>
      </c>
      <c r="I875" t="s">
        <v>15</v>
      </c>
      <c r="J875">
        <v>1</v>
      </c>
      <c r="K875">
        <v>0</v>
      </c>
    </row>
    <row r="876" spans="1:11" x14ac:dyDescent="0.3">
      <c r="A876">
        <v>1953</v>
      </c>
      <c r="B876">
        <v>150000</v>
      </c>
      <c r="C876" t="s">
        <v>14</v>
      </c>
      <c r="D876">
        <v>0</v>
      </c>
      <c r="E876">
        <v>0</v>
      </c>
      <c r="F876">
        <v>0</v>
      </c>
      <c r="G876">
        <v>0</v>
      </c>
      <c r="H876">
        <v>1</v>
      </c>
      <c r="I876" t="s">
        <v>15</v>
      </c>
      <c r="J876">
        <v>0</v>
      </c>
      <c r="K876">
        <v>1</v>
      </c>
    </row>
    <row r="877" spans="1:11" x14ac:dyDescent="0.3">
      <c r="A877">
        <v>1967</v>
      </c>
      <c r="B877">
        <v>75000</v>
      </c>
      <c r="C877" t="s">
        <v>14</v>
      </c>
      <c r="D877">
        <v>0</v>
      </c>
      <c r="E877">
        <v>0</v>
      </c>
      <c r="F877">
        <v>0</v>
      </c>
      <c r="G877">
        <v>0</v>
      </c>
      <c r="H877">
        <v>1</v>
      </c>
      <c r="I877" t="s">
        <v>15</v>
      </c>
      <c r="J877">
        <v>1</v>
      </c>
      <c r="K877">
        <v>1</v>
      </c>
    </row>
    <row r="878" spans="1:11" x14ac:dyDescent="0.3">
      <c r="A878">
        <v>1968</v>
      </c>
      <c r="B878">
        <v>155000</v>
      </c>
      <c r="C878" t="s">
        <v>14</v>
      </c>
      <c r="D878">
        <v>0</v>
      </c>
      <c r="E878">
        <v>0</v>
      </c>
      <c r="F878">
        <v>0</v>
      </c>
      <c r="G878">
        <v>0</v>
      </c>
      <c r="H878">
        <v>1</v>
      </c>
      <c r="I878" t="s">
        <v>15</v>
      </c>
      <c r="J878">
        <v>1</v>
      </c>
      <c r="K878">
        <v>1</v>
      </c>
    </row>
    <row r="879" spans="1:11" x14ac:dyDescent="0.3">
      <c r="A879">
        <v>1971</v>
      </c>
      <c r="B879">
        <v>87719.298250000007</v>
      </c>
      <c r="C879" t="s">
        <v>14</v>
      </c>
      <c r="D879">
        <v>0</v>
      </c>
      <c r="E879">
        <v>0</v>
      </c>
      <c r="F879">
        <v>0</v>
      </c>
      <c r="G879">
        <v>0</v>
      </c>
      <c r="H879">
        <v>1</v>
      </c>
      <c r="I879" t="s">
        <v>15</v>
      </c>
      <c r="J879">
        <v>1</v>
      </c>
      <c r="K879">
        <v>1</v>
      </c>
    </row>
    <row r="880" spans="1:11" x14ac:dyDescent="0.3">
      <c r="A880">
        <v>1973</v>
      </c>
      <c r="B880">
        <v>50000</v>
      </c>
      <c r="C880" t="s">
        <v>14</v>
      </c>
      <c r="D880">
        <v>0</v>
      </c>
      <c r="E880">
        <v>0</v>
      </c>
      <c r="F880">
        <v>0</v>
      </c>
      <c r="G880">
        <v>0</v>
      </c>
      <c r="H880">
        <v>1</v>
      </c>
      <c r="I880" t="s">
        <v>15</v>
      </c>
      <c r="J880">
        <v>1</v>
      </c>
      <c r="K880">
        <v>1</v>
      </c>
    </row>
    <row r="881" spans="1:11" x14ac:dyDescent="0.3">
      <c r="A881">
        <v>1974</v>
      </c>
      <c r="B881">
        <v>118181.81819999999</v>
      </c>
      <c r="C881" t="s">
        <v>14</v>
      </c>
      <c r="D881">
        <v>0</v>
      </c>
      <c r="E881">
        <v>0</v>
      </c>
      <c r="F881">
        <v>0</v>
      </c>
      <c r="G881">
        <v>0</v>
      </c>
      <c r="H881">
        <v>1</v>
      </c>
      <c r="I881" t="s">
        <v>15</v>
      </c>
      <c r="J881">
        <v>1</v>
      </c>
      <c r="K881">
        <v>1</v>
      </c>
    </row>
    <row r="882" spans="1:11" x14ac:dyDescent="0.3">
      <c r="A882">
        <v>1975</v>
      </c>
      <c r="B882">
        <v>100000</v>
      </c>
      <c r="C882" t="s">
        <v>14</v>
      </c>
      <c r="D882">
        <v>0</v>
      </c>
      <c r="E882">
        <v>1</v>
      </c>
      <c r="F882">
        <v>0</v>
      </c>
      <c r="G882">
        <v>0</v>
      </c>
      <c r="H882">
        <v>1</v>
      </c>
      <c r="I882" t="s">
        <v>15</v>
      </c>
      <c r="J882">
        <v>0</v>
      </c>
      <c r="K882">
        <v>0</v>
      </c>
    </row>
    <row r="883" spans="1:11" x14ac:dyDescent="0.3">
      <c r="A883">
        <v>1982</v>
      </c>
      <c r="B883">
        <v>90909.090909999999</v>
      </c>
      <c r="C883" t="s">
        <v>14</v>
      </c>
      <c r="D883">
        <v>0</v>
      </c>
      <c r="E883">
        <v>0</v>
      </c>
      <c r="F883">
        <v>0</v>
      </c>
      <c r="G883">
        <v>0</v>
      </c>
      <c r="H883">
        <v>1</v>
      </c>
      <c r="I883" t="s">
        <v>15</v>
      </c>
      <c r="J883">
        <v>0</v>
      </c>
      <c r="K883">
        <v>0</v>
      </c>
    </row>
    <row r="884" spans="1:11" x14ac:dyDescent="0.3">
      <c r="A884">
        <v>1989</v>
      </c>
      <c r="B884">
        <v>40000</v>
      </c>
      <c r="C884" t="s">
        <v>14</v>
      </c>
      <c r="D884">
        <v>0</v>
      </c>
      <c r="E884">
        <v>0</v>
      </c>
      <c r="F884">
        <v>0</v>
      </c>
      <c r="G884">
        <v>0</v>
      </c>
      <c r="H884">
        <v>1</v>
      </c>
      <c r="I884" t="s">
        <v>15</v>
      </c>
      <c r="J884">
        <v>1</v>
      </c>
      <c r="K884">
        <v>0</v>
      </c>
    </row>
    <row r="885" spans="1:11" x14ac:dyDescent="0.3">
      <c r="A885">
        <v>1990</v>
      </c>
      <c r="B885">
        <v>150000</v>
      </c>
      <c r="C885" t="s">
        <v>14</v>
      </c>
      <c r="D885">
        <v>0</v>
      </c>
      <c r="E885">
        <v>0</v>
      </c>
      <c r="F885">
        <v>0</v>
      </c>
      <c r="G885">
        <v>0</v>
      </c>
      <c r="H885">
        <v>1</v>
      </c>
      <c r="I885" t="s">
        <v>15</v>
      </c>
      <c r="J885">
        <v>1</v>
      </c>
      <c r="K885">
        <v>0</v>
      </c>
    </row>
    <row r="886" spans="1:11" x14ac:dyDescent="0.3">
      <c r="A886">
        <v>1994</v>
      </c>
      <c r="B886">
        <v>60000</v>
      </c>
      <c r="C886" t="s">
        <v>14</v>
      </c>
      <c r="D886">
        <v>0</v>
      </c>
      <c r="E886">
        <v>1</v>
      </c>
      <c r="F886">
        <v>0</v>
      </c>
      <c r="G886">
        <v>0</v>
      </c>
      <c r="H886">
        <v>1</v>
      </c>
      <c r="I886" t="s">
        <v>15</v>
      </c>
      <c r="J886">
        <v>1</v>
      </c>
      <c r="K886">
        <v>1</v>
      </c>
    </row>
    <row r="887" spans="1:11" x14ac:dyDescent="0.3">
      <c r="A887">
        <v>1999</v>
      </c>
      <c r="B887">
        <v>63025.210079999997</v>
      </c>
      <c r="C887" t="s">
        <v>12</v>
      </c>
      <c r="D887">
        <v>1</v>
      </c>
      <c r="E887">
        <v>1</v>
      </c>
      <c r="F887">
        <v>0</v>
      </c>
      <c r="G887">
        <v>0</v>
      </c>
      <c r="H887">
        <v>1</v>
      </c>
      <c r="I887" t="s">
        <v>15</v>
      </c>
      <c r="J887">
        <v>1</v>
      </c>
      <c r="K887">
        <v>1</v>
      </c>
    </row>
    <row r="888" spans="1:11" x14ac:dyDescent="0.3">
      <c r="A888">
        <v>2000</v>
      </c>
      <c r="B888">
        <v>31250</v>
      </c>
      <c r="C888" t="s">
        <v>14</v>
      </c>
      <c r="D888">
        <v>0</v>
      </c>
      <c r="E888">
        <v>0</v>
      </c>
      <c r="F888">
        <v>0</v>
      </c>
      <c r="G888">
        <v>0</v>
      </c>
      <c r="H888">
        <v>1</v>
      </c>
      <c r="I888" t="s">
        <v>15</v>
      </c>
      <c r="J888">
        <v>1</v>
      </c>
      <c r="K888">
        <v>1</v>
      </c>
    </row>
    <row r="889" spans="1:11" x14ac:dyDescent="0.3">
      <c r="A889">
        <v>3792</v>
      </c>
      <c r="B889">
        <v>87719.298250000007</v>
      </c>
      <c r="C889" t="s">
        <v>14</v>
      </c>
      <c r="D889">
        <v>0</v>
      </c>
      <c r="E889">
        <v>0</v>
      </c>
      <c r="F889">
        <v>0</v>
      </c>
      <c r="G889">
        <v>0</v>
      </c>
      <c r="H889">
        <v>1</v>
      </c>
      <c r="I889" t="s">
        <v>15</v>
      </c>
      <c r="J889">
        <v>1</v>
      </c>
      <c r="K889">
        <v>1</v>
      </c>
    </row>
    <row r="890" spans="1:11" x14ac:dyDescent="0.3">
      <c r="A890">
        <v>3787</v>
      </c>
      <c r="B890">
        <v>75000</v>
      </c>
      <c r="C890" t="s">
        <v>14</v>
      </c>
      <c r="D890">
        <v>0</v>
      </c>
      <c r="E890">
        <v>0</v>
      </c>
      <c r="F890">
        <v>0</v>
      </c>
      <c r="G890">
        <v>0</v>
      </c>
      <c r="H890">
        <v>1</v>
      </c>
      <c r="I890" t="s">
        <v>15</v>
      </c>
      <c r="J890">
        <v>1</v>
      </c>
      <c r="K890">
        <v>0</v>
      </c>
    </row>
    <row r="891" spans="1:11" x14ac:dyDescent="0.3">
      <c r="A891">
        <v>2005</v>
      </c>
      <c r="B891">
        <v>0</v>
      </c>
      <c r="C891" t="s">
        <v>14</v>
      </c>
      <c r="D891">
        <v>0</v>
      </c>
      <c r="E891">
        <v>0</v>
      </c>
      <c r="F891">
        <v>0</v>
      </c>
      <c r="G891">
        <v>0</v>
      </c>
      <c r="H891">
        <v>1</v>
      </c>
      <c r="I891" t="s">
        <v>15</v>
      </c>
      <c r="J891">
        <v>1</v>
      </c>
      <c r="K891">
        <v>0</v>
      </c>
    </row>
    <row r="892" spans="1:11" x14ac:dyDescent="0.3">
      <c r="A892">
        <v>2006</v>
      </c>
      <c r="B892">
        <v>0</v>
      </c>
      <c r="C892" t="s">
        <v>14</v>
      </c>
      <c r="D892">
        <v>0</v>
      </c>
      <c r="E892">
        <v>1</v>
      </c>
      <c r="F892">
        <v>0</v>
      </c>
      <c r="G892">
        <v>0</v>
      </c>
      <c r="H892">
        <v>1</v>
      </c>
      <c r="I892" t="s">
        <v>15</v>
      </c>
      <c r="J892">
        <v>1</v>
      </c>
      <c r="K892">
        <v>1</v>
      </c>
    </row>
    <row r="893" spans="1:11" x14ac:dyDescent="0.3">
      <c r="A893">
        <v>2007</v>
      </c>
      <c r="B893">
        <v>25000</v>
      </c>
      <c r="C893" t="s">
        <v>14</v>
      </c>
      <c r="D893">
        <v>0</v>
      </c>
      <c r="E893">
        <v>1</v>
      </c>
      <c r="F893">
        <v>0</v>
      </c>
      <c r="G893">
        <v>0</v>
      </c>
      <c r="H893">
        <v>1</v>
      </c>
      <c r="I893" t="s">
        <v>15</v>
      </c>
      <c r="J893">
        <v>1</v>
      </c>
      <c r="K893">
        <v>0</v>
      </c>
    </row>
    <row r="894" spans="1:11" x14ac:dyDescent="0.3">
      <c r="A894">
        <v>2008</v>
      </c>
      <c r="B894">
        <v>41666.666669999999</v>
      </c>
      <c r="C894" t="s">
        <v>14</v>
      </c>
      <c r="D894">
        <v>0</v>
      </c>
      <c r="E894">
        <v>0</v>
      </c>
      <c r="F894">
        <v>0</v>
      </c>
      <c r="G894">
        <v>0</v>
      </c>
      <c r="H894">
        <v>1</v>
      </c>
      <c r="I894" t="s">
        <v>15</v>
      </c>
      <c r="J894">
        <v>1</v>
      </c>
      <c r="K894">
        <v>0</v>
      </c>
    </row>
    <row r="895" spans="1:11" x14ac:dyDescent="0.3">
      <c r="A895">
        <v>2009</v>
      </c>
      <c r="B895">
        <v>50000</v>
      </c>
      <c r="C895" t="s">
        <v>14</v>
      </c>
      <c r="D895">
        <v>0</v>
      </c>
      <c r="E895">
        <v>0</v>
      </c>
      <c r="F895">
        <v>0</v>
      </c>
      <c r="G895">
        <v>0</v>
      </c>
      <c r="H895">
        <v>1</v>
      </c>
      <c r="I895" t="s">
        <v>15</v>
      </c>
      <c r="J895">
        <v>1</v>
      </c>
      <c r="K895">
        <v>0</v>
      </c>
    </row>
    <row r="896" spans="1:11" x14ac:dyDescent="0.3">
      <c r="A896">
        <v>2011</v>
      </c>
      <c r="B896">
        <v>0</v>
      </c>
      <c r="C896" t="s">
        <v>14</v>
      </c>
      <c r="D896">
        <v>0</v>
      </c>
      <c r="E896">
        <v>0</v>
      </c>
      <c r="F896">
        <v>0</v>
      </c>
      <c r="G896">
        <v>0</v>
      </c>
      <c r="H896">
        <v>1</v>
      </c>
      <c r="I896" t="s">
        <v>15</v>
      </c>
      <c r="J896">
        <v>1</v>
      </c>
      <c r="K896">
        <v>0</v>
      </c>
    </row>
    <row r="897" spans="1:11" x14ac:dyDescent="0.3">
      <c r="A897">
        <v>3781</v>
      </c>
      <c r="B897">
        <v>150000</v>
      </c>
      <c r="C897" t="s">
        <v>14</v>
      </c>
      <c r="D897">
        <v>0</v>
      </c>
      <c r="E897">
        <v>0</v>
      </c>
      <c r="F897">
        <v>0</v>
      </c>
      <c r="G897">
        <v>0</v>
      </c>
      <c r="H897">
        <v>1</v>
      </c>
      <c r="I897" t="s">
        <v>15</v>
      </c>
      <c r="J897">
        <v>1</v>
      </c>
      <c r="K897">
        <v>0</v>
      </c>
    </row>
    <row r="898" spans="1:11" x14ac:dyDescent="0.3">
      <c r="A898">
        <v>2017</v>
      </c>
      <c r="B898">
        <v>100000</v>
      </c>
      <c r="C898" t="s">
        <v>14</v>
      </c>
      <c r="D898">
        <v>0</v>
      </c>
      <c r="E898">
        <v>0</v>
      </c>
      <c r="F898">
        <v>0</v>
      </c>
      <c r="G898">
        <v>0</v>
      </c>
      <c r="H898">
        <v>1</v>
      </c>
      <c r="I898" t="s">
        <v>15</v>
      </c>
      <c r="J898">
        <v>1</v>
      </c>
      <c r="K898">
        <v>0</v>
      </c>
    </row>
    <row r="899" spans="1:11" x14ac:dyDescent="0.3">
      <c r="A899">
        <v>2020</v>
      </c>
      <c r="B899">
        <v>25000</v>
      </c>
      <c r="C899" t="s">
        <v>14</v>
      </c>
      <c r="D899">
        <v>0</v>
      </c>
      <c r="E899">
        <v>0</v>
      </c>
      <c r="F899">
        <v>0</v>
      </c>
      <c r="G899">
        <v>0</v>
      </c>
      <c r="H899">
        <v>1</v>
      </c>
      <c r="I899" t="s">
        <v>15</v>
      </c>
      <c r="J899">
        <v>1</v>
      </c>
      <c r="K899">
        <v>0</v>
      </c>
    </row>
    <row r="900" spans="1:11" x14ac:dyDescent="0.3">
      <c r="A900">
        <v>2022</v>
      </c>
      <c r="B900">
        <v>83333.333329999994</v>
      </c>
      <c r="C900" t="s">
        <v>12</v>
      </c>
      <c r="D900">
        <v>1</v>
      </c>
      <c r="E900">
        <v>0</v>
      </c>
      <c r="F900">
        <v>0</v>
      </c>
      <c r="G900">
        <v>0</v>
      </c>
      <c r="H900">
        <v>1</v>
      </c>
      <c r="I900" t="s">
        <v>15</v>
      </c>
      <c r="J900">
        <v>1</v>
      </c>
      <c r="K900">
        <v>0</v>
      </c>
    </row>
    <row r="901" spans="1:11" x14ac:dyDescent="0.3">
      <c r="A901">
        <v>2026</v>
      </c>
      <c r="B901">
        <v>100000</v>
      </c>
      <c r="C901" t="s">
        <v>14</v>
      </c>
      <c r="D901">
        <v>0</v>
      </c>
      <c r="E901">
        <v>0</v>
      </c>
      <c r="F901">
        <v>0</v>
      </c>
      <c r="G901">
        <v>0</v>
      </c>
      <c r="H901">
        <v>1</v>
      </c>
      <c r="I901" t="s">
        <v>15</v>
      </c>
      <c r="J901">
        <v>1</v>
      </c>
      <c r="K901">
        <v>0</v>
      </c>
    </row>
    <row r="902" spans="1:11" x14ac:dyDescent="0.3">
      <c r="A902">
        <v>2029</v>
      </c>
      <c r="B902">
        <v>66666.666670000006</v>
      </c>
      <c r="C902" t="s">
        <v>14</v>
      </c>
      <c r="D902">
        <v>0</v>
      </c>
      <c r="E902">
        <v>0</v>
      </c>
      <c r="F902">
        <v>0</v>
      </c>
      <c r="G902">
        <v>0</v>
      </c>
      <c r="H902">
        <v>1</v>
      </c>
      <c r="I902" t="s">
        <v>15</v>
      </c>
      <c r="J902">
        <v>1</v>
      </c>
      <c r="K902">
        <v>0</v>
      </c>
    </row>
    <row r="903" spans="1:11" x14ac:dyDescent="0.3">
      <c r="A903">
        <v>2036</v>
      </c>
      <c r="B903">
        <v>20000</v>
      </c>
      <c r="C903" t="s">
        <v>14</v>
      </c>
      <c r="D903">
        <v>0</v>
      </c>
      <c r="E903">
        <v>0</v>
      </c>
      <c r="F903">
        <v>0</v>
      </c>
      <c r="G903">
        <v>0</v>
      </c>
      <c r="H903">
        <v>1</v>
      </c>
      <c r="I903" t="s">
        <v>15</v>
      </c>
      <c r="J903">
        <v>1</v>
      </c>
      <c r="K903">
        <v>0</v>
      </c>
    </row>
    <row r="904" spans="1:11" x14ac:dyDescent="0.3">
      <c r="A904">
        <v>2040</v>
      </c>
      <c r="B904">
        <v>37590.909090000001</v>
      </c>
      <c r="C904" t="s">
        <v>14</v>
      </c>
      <c r="D904">
        <v>0</v>
      </c>
      <c r="E904">
        <v>1</v>
      </c>
      <c r="F904">
        <v>0</v>
      </c>
      <c r="G904">
        <v>0</v>
      </c>
      <c r="H904">
        <v>1</v>
      </c>
      <c r="I904" t="s">
        <v>15</v>
      </c>
      <c r="J904">
        <v>1</v>
      </c>
      <c r="K904">
        <v>1</v>
      </c>
    </row>
    <row r="905" spans="1:11" x14ac:dyDescent="0.3">
      <c r="A905">
        <v>2045</v>
      </c>
      <c r="B905">
        <v>-62500</v>
      </c>
      <c r="C905" t="s">
        <v>14</v>
      </c>
      <c r="D905">
        <v>0</v>
      </c>
      <c r="E905">
        <v>1</v>
      </c>
      <c r="F905">
        <v>0</v>
      </c>
      <c r="G905">
        <v>0</v>
      </c>
      <c r="H905">
        <v>1</v>
      </c>
      <c r="I905" t="s">
        <v>15</v>
      </c>
      <c r="J905">
        <v>1</v>
      </c>
      <c r="K905">
        <v>1</v>
      </c>
    </row>
    <row r="906" spans="1:11" x14ac:dyDescent="0.3">
      <c r="A906">
        <v>2047</v>
      </c>
      <c r="B906">
        <v>100000</v>
      </c>
      <c r="C906" t="s">
        <v>14</v>
      </c>
      <c r="D906">
        <v>0</v>
      </c>
      <c r="E906">
        <v>0</v>
      </c>
      <c r="F906">
        <v>0</v>
      </c>
      <c r="G906">
        <v>0</v>
      </c>
      <c r="H906">
        <v>1</v>
      </c>
      <c r="I906" t="s">
        <v>15</v>
      </c>
      <c r="J906">
        <v>1</v>
      </c>
      <c r="K906">
        <v>1</v>
      </c>
    </row>
    <row r="907" spans="1:11" x14ac:dyDescent="0.3">
      <c r="A907">
        <v>2050</v>
      </c>
      <c r="B907">
        <v>63636.363640000003</v>
      </c>
      <c r="C907" t="s">
        <v>14</v>
      </c>
      <c r="D907">
        <v>0</v>
      </c>
      <c r="E907">
        <v>0</v>
      </c>
      <c r="F907">
        <v>0</v>
      </c>
      <c r="G907">
        <v>0</v>
      </c>
      <c r="H907">
        <v>1</v>
      </c>
      <c r="I907" t="s">
        <v>15</v>
      </c>
      <c r="J907">
        <v>1</v>
      </c>
      <c r="K907">
        <v>0</v>
      </c>
    </row>
    <row r="908" spans="1:11" x14ac:dyDescent="0.3">
      <c r="A908">
        <v>2051</v>
      </c>
      <c r="B908">
        <v>125000</v>
      </c>
      <c r="C908" t="s">
        <v>14</v>
      </c>
      <c r="D908">
        <v>0</v>
      </c>
      <c r="E908">
        <v>0</v>
      </c>
      <c r="F908">
        <v>0</v>
      </c>
      <c r="G908">
        <v>0</v>
      </c>
      <c r="H908">
        <v>1</v>
      </c>
      <c r="I908" t="s">
        <v>15</v>
      </c>
      <c r="J908">
        <v>1</v>
      </c>
      <c r="K908">
        <v>0</v>
      </c>
    </row>
    <row r="909" spans="1:11" x14ac:dyDescent="0.3">
      <c r="A909">
        <v>2052</v>
      </c>
      <c r="B909">
        <v>45365.853660000001</v>
      </c>
      <c r="C909" t="s">
        <v>14</v>
      </c>
      <c r="D909">
        <v>0</v>
      </c>
      <c r="E909">
        <v>0</v>
      </c>
      <c r="F909">
        <v>0</v>
      </c>
      <c r="G909">
        <v>0</v>
      </c>
      <c r="H909">
        <v>1</v>
      </c>
      <c r="I909" t="s">
        <v>15</v>
      </c>
      <c r="J909">
        <v>1</v>
      </c>
      <c r="K909">
        <v>0</v>
      </c>
    </row>
    <row r="910" spans="1:11" x14ac:dyDescent="0.3">
      <c r="A910">
        <v>2053</v>
      </c>
      <c r="B910">
        <v>73333.333329999994</v>
      </c>
      <c r="C910" t="s">
        <v>14</v>
      </c>
      <c r="D910">
        <v>0</v>
      </c>
      <c r="E910">
        <v>0</v>
      </c>
      <c r="F910">
        <v>0</v>
      </c>
      <c r="G910">
        <v>0</v>
      </c>
      <c r="H910">
        <v>1</v>
      </c>
      <c r="I910" t="s">
        <v>15</v>
      </c>
      <c r="J910">
        <v>1</v>
      </c>
      <c r="K910">
        <v>0</v>
      </c>
    </row>
    <row r="911" spans="1:11" x14ac:dyDescent="0.3">
      <c r="A911">
        <v>2055</v>
      </c>
      <c r="B911">
        <v>114000</v>
      </c>
      <c r="C911" t="s">
        <v>14</v>
      </c>
      <c r="D911">
        <v>0</v>
      </c>
      <c r="E911">
        <v>0</v>
      </c>
      <c r="F911">
        <v>0</v>
      </c>
      <c r="G911">
        <v>0</v>
      </c>
      <c r="H911">
        <v>1</v>
      </c>
      <c r="I911" t="s">
        <v>15</v>
      </c>
      <c r="J911">
        <v>1</v>
      </c>
      <c r="K911">
        <v>1</v>
      </c>
    </row>
    <row r="912" spans="1:11" x14ac:dyDescent="0.3">
      <c r="A912">
        <v>2056</v>
      </c>
      <c r="B912">
        <v>150000</v>
      </c>
      <c r="C912" t="s">
        <v>14</v>
      </c>
      <c r="D912">
        <v>0</v>
      </c>
      <c r="E912">
        <v>0</v>
      </c>
      <c r="F912">
        <v>0</v>
      </c>
      <c r="G912">
        <v>0</v>
      </c>
      <c r="H912">
        <v>1</v>
      </c>
      <c r="I912" t="s">
        <v>15</v>
      </c>
      <c r="J912">
        <v>0</v>
      </c>
      <c r="K912">
        <v>1</v>
      </c>
    </row>
    <row r="913" spans="1:11" x14ac:dyDescent="0.3">
      <c r="A913">
        <v>2065</v>
      </c>
      <c r="B913">
        <v>66666.666670000006</v>
      </c>
      <c r="C913" t="s">
        <v>14</v>
      </c>
      <c r="D913">
        <v>0</v>
      </c>
      <c r="E913">
        <v>0</v>
      </c>
      <c r="F913">
        <v>0</v>
      </c>
      <c r="G913">
        <v>0</v>
      </c>
      <c r="H913">
        <v>1</v>
      </c>
      <c r="I913" t="s">
        <v>15</v>
      </c>
      <c r="J913">
        <v>1</v>
      </c>
      <c r="K913">
        <v>0</v>
      </c>
    </row>
    <row r="914" spans="1:11" x14ac:dyDescent="0.3">
      <c r="A914">
        <v>2066</v>
      </c>
      <c r="B914">
        <v>47619.047619999998</v>
      </c>
      <c r="C914" t="s">
        <v>14</v>
      </c>
      <c r="D914">
        <v>0</v>
      </c>
      <c r="E914">
        <v>1</v>
      </c>
      <c r="F914">
        <v>0</v>
      </c>
      <c r="G914">
        <v>0</v>
      </c>
      <c r="H914">
        <v>1</v>
      </c>
      <c r="I914" t="s">
        <v>15</v>
      </c>
      <c r="J914">
        <v>1</v>
      </c>
      <c r="K914">
        <v>0</v>
      </c>
    </row>
    <row r="915" spans="1:11" x14ac:dyDescent="0.3">
      <c r="A915">
        <v>2069</v>
      </c>
      <c r="B915">
        <v>29585.79882</v>
      </c>
      <c r="C915" t="s">
        <v>14</v>
      </c>
      <c r="D915">
        <v>0</v>
      </c>
      <c r="E915">
        <v>1</v>
      </c>
      <c r="F915">
        <v>0</v>
      </c>
      <c r="G915">
        <v>0</v>
      </c>
      <c r="H915">
        <v>1</v>
      </c>
      <c r="I915" t="s">
        <v>15</v>
      </c>
      <c r="J915">
        <v>1</v>
      </c>
      <c r="K915">
        <v>0</v>
      </c>
    </row>
    <row r="916" spans="1:11" x14ac:dyDescent="0.3">
      <c r="A916">
        <v>2070</v>
      </c>
      <c r="B916">
        <v>50000</v>
      </c>
      <c r="C916" t="s">
        <v>14</v>
      </c>
      <c r="D916">
        <v>0</v>
      </c>
      <c r="E916">
        <v>0</v>
      </c>
      <c r="F916">
        <v>0</v>
      </c>
      <c r="G916">
        <v>0</v>
      </c>
      <c r="H916">
        <v>1</v>
      </c>
      <c r="I916" t="s">
        <v>15</v>
      </c>
      <c r="J916">
        <v>1</v>
      </c>
      <c r="K916">
        <v>0</v>
      </c>
    </row>
    <row r="917" spans="1:11" x14ac:dyDescent="0.3">
      <c r="A917">
        <v>2071</v>
      </c>
      <c r="B917">
        <v>45454.545449999998</v>
      </c>
      <c r="C917" t="s">
        <v>14</v>
      </c>
      <c r="D917">
        <v>0</v>
      </c>
      <c r="E917">
        <v>1</v>
      </c>
      <c r="F917">
        <v>0</v>
      </c>
      <c r="G917">
        <v>0</v>
      </c>
      <c r="H917">
        <v>1</v>
      </c>
      <c r="I917" t="s">
        <v>15</v>
      </c>
      <c r="J917">
        <v>1</v>
      </c>
      <c r="K917">
        <v>0</v>
      </c>
    </row>
    <row r="918" spans="1:11" x14ac:dyDescent="0.3">
      <c r="A918">
        <v>2076</v>
      </c>
      <c r="B918">
        <v>100000</v>
      </c>
      <c r="C918" t="s">
        <v>14</v>
      </c>
      <c r="D918">
        <v>0</v>
      </c>
      <c r="E918">
        <v>0</v>
      </c>
      <c r="F918">
        <v>0</v>
      </c>
      <c r="G918">
        <v>0</v>
      </c>
      <c r="H918">
        <v>1</v>
      </c>
      <c r="I918" t="s">
        <v>15</v>
      </c>
      <c r="J918">
        <v>1</v>
      </c>
      <c r="K918">
        <v>0</v>
      </c>
    </row>
    <row r="919" spans="1:11" x14ac:dyDescent="0.3">
      <c r="A919">
        <v>2077</v>
      </c>
      <c r="B919">
        <v>75000</v>
      </c>
      <c r="C919" t="s">
        <v>14</v>
      </c>
      <c r="D919">
        <v>0</v>
      </c>
      <c r="E919">
        <v>0</v>
      </c>
      <c r="F919">
        <v>0</v>
      </c>
      <c r="G919">
        <v>0</v>
      </c>
      <c r="H919">
        <v>1</v>
      </c>
      <c r="I919" t="s">
        <v>15</v>
      </c>
      <c r="J919">
        <v>1</v>
      </c>
      <c r="K919">
        <v>0</v>
      </c>
    </row>
    <row r="920" spans="1:11" x14ac:dyDescent="0.3">
      <c r="A920">
        <v>2078</v>
      </c>
      <c r="B920">
        <v>45454.545449999998</v>
      </c>
      <c r="C920" t="s">
        <v>14</v>
      </c>
      <c r="D920">
        <v>0</v>
      </c>
      <c r="E920">
        <v>0</v>
      </c>
      <c r="F920">
        <v>0</v>
      </c>
      <c r="G920">
        <v>0</v>
      </c>
      <c r="H920">
        <v>1</v>
      </c>
      <c r="I920" t="s">
        <v>15</v>
      </c>
      <c r="J920">
        <v>0</v>
      </c>
      <c r="K920">
        <v>0</v>
      </c>
    </row>
    <row r="921" spans="1:11" x14ac:dyDescent="0.3">
      <c r="A921">
        <v>2079</v>
      </c>
      <c r="B921">
        <v>64516.129029999996</v>
      </c>
      <c r="C921" t="s">
        <v>14</v>
      </c>
      <c r="D921">
        <v>0</v>
      </c>
      <c r="E921">
        <v>0</v>
      </c>
      <c r="F921">
        <v>0</v>
      </c>
      <c r="G921">
        <v>0</v>
      </c>
      <c r="H921">
        <v>1</v>
      </c>
      <c r="I921" t="s">
        <v>15</v>
      </c>
      <c r="J921">
        <v>1</v>
      </c>
      <c r="K921">
        <v>0</v>
      </c>
    </row>
    <row r="922" spans="1:11" x14ac:dyDescent="0.3">
      <c r="A922">
        <v>2080</v>
      </c>
      <c r="B922">
        <v>90909.090909999999</v>
      </c>
      <c r="C922" t="s">
        <v>14</v>
      </c>
      <c r="D922">
        <v>0</v>
      </c>
      <c r="E922">
        <v>0</v>
      </c>
      <c r="F922">
        <v>0</v>
      </c>
      <c r="G922">
        <v>0</v>
      </c>
      <c r="H922">
        <v>1</v>
      </c>
      <c r="I922" t="s">
        <v>15</v>
      </c>
      <c r="J922">
        <v>1</v>
      </c>
      <c r="K922">
        <v>0</v>
      </c>
    </row>
    <row r="923" spans="1:11" x14ac:dyDescent="0.3">
      <c r="A923">
        <v>2081</v>
      </c>
      <c r="B923">
        <v>83333.333329999994</v>
      </c>
      <c r="C923" t="s">
        <v>14</v>
      </c>
      <c r="D923">
        <v>0</v>
      </c>
      <c r="E923">
        <v>0</v>
      </c>
      <c r="F923">
        <v>0</v>
      </c>
      <c r="G923">
        <v>0</v>
      </c>
      <c r="H923">
        <v>1</v>
      </c>
      <c r="I923" t="s">
        <v>15</v>
      </c>
      <c r="J923">
        <v>1</v>
      </c>
      <c r="K923">
        <v>1</v>
      </c>
    </row>
    <row r="924" spans="1:11" x14ac:dyDescent="0.3">
      <c r="A924">
        <v>2084</v>
      </c>
      <c r="B924">
        <v>46875</v>
      </c>
      <c r="C924" t="s">
        <v>14</v>
      </c>
      <c r="D924">
        <v>0</v>
      </c>
      <c r="E924">
        <v>0</v>
      </c>
      <c r="F924">
        <v>0</v>
      </c>
      <c r="G924">
        <v>0</v>
      </c>
      <c r="H924">
        <v>1</v>
      </c>
      <c r="I924" t="s">
        <v>15</v>
      </c>
      <c r="J924">
        <v>1</v>
      </c>
      <c r="K924">
        <v>1</v>
      </c>
    </row>
    <row r="925" spans="1:11" x14ac:dyDescent="0.3">
      <c r="A925">
        <v>2086</v>
      </c>
      <c r="B925">
        <v>66666.666670000006</v>
      </c>
      <c r="C925" t="s">
        <v>14</v>
      </c>
      <c r="D925">
        <v>0</v>
      </c>
      <c r="E925">
        <v>0</v>
      </c>
      <c r="F925">
        <v>0</v>
      </c>
      <c r="G925">
        <v>0</v>
      </c>
      <c r="H925">
        <v>1</v>
      </c>
      <c r="I925" t="s">
        <v>15</v>
      </c>
      <c r="J925">
        <v>1</v>
      </c>
      <c r="K925">
        <v>0</v>
      </c>
    </row>
    <row r="926" spans="1:11" x14ac:dyDescent="0.3">
      <c r="A926">
        <v>3779</v>
      </c>
      <c r="B926">
        <v>10000</v>
      </c>
      <c r="C926" t="s">
        <v>14</v>
      </c>
      <c r="D926">
        <v>0</v>
      </c>
      <c r="E926">
        <v>0</v>
      </c>
      <c r="F926">
        <v>0</v>
      </c>
      <c r="G926">
        <v>1</v>
      </c>
      <c r="H926">
        <v>0</v>
      </c>
      <c r="I926" t="s">
        <v>16</v>
      </c>
      <c r="J926">
        <v>1</v>
      </c>
      <c r="K926">
        <v>0</v>
      </c>
    </row>
    <row r="927" spans="1:11" x14ac:dyDescent="0.3">
      <c r="A927">
        <v>2089</v>
      </c>
      <c r="B927">
        <v>83333.333329999994</v>
      </c>
      <c r="C927" t="s">
        <v>14</v>
      </c>
      <c r="D927">
        <v>0</v>
      </c>
      <c r="E927">
        <v>0</v>
      </c>
      <c r="F927">
        <v>0</v>
      </c>
      <c r="G927">
        <v>0</v>
      </c>
      <c r="H927">
        <v>1</v>
      </c>
      <c r="I927" t="s">
        <v>15</v>
      </c>
      <c r="J927">
        <v>1</v>
      </c>
      <c r="K927">
        <v>0</v>
      </c>
    </row>
    <row r="928" spans="1:11" x14ac:dyDescent="0.3">
      <c r="A928">
        <v>3777</v>
      </c>
      <c r="B928">
        <v>15000</v>
      </c>
      <c r="C928" t="s">
        <v>14</v>
      </c>
      <c r="D928">
        <v>0</v>
      </c>
      <c r="E928">
        <v>0</v>
      </c>
      <c r="F928">
        <v>0</v>
      </c>
      <c r="G928">
        <v>1</v>
      </c>
      <c r="H928">
        <v>0</v>
      </c>
      <c r="I928" t="s">
        <v>16</v>
      </c>
      <c r="J928">
        <v>0</v>
      </c>
      <c r="K928">
        <v>0</v>
      </c>
    </row>
    <row r="929" spans="1:11" x14ac:dyDescent="0.3">
      <c r="A929">
        <v>2093</v>
      </c>
      <c r="B929">
        <v>83333.333329999994</v>
      </c>
      <c r="C929" t="s">
        <v>14</v>
      </c>
      <c r="D929">
        <v>0</v>
      </c>
      <c r="E929">
        <v>0</v>
      </c>
      <c r="F929">
        <v>0</v>
      </c>
      <c r="G929">
        <v>0</v>
      </c>
      <c r="H929">
        <v>1</v>
      </c>
      <c r="I929" t="s">
        <v>15</v>
      </c>
      <c r="J929">
        <v>1</v>
      </c>
      <c r="K929">
        <v>0</v>
      </c>
    </row>
    <row r="930" spans="1:11" x14ac:dyDescent="0.3">
      <c r="A930">
        <v>2096</v>
      </c>
      <c r="B930">
        <v>90909.090909999999</v>
      </c>
      <c r="C930" t="s">
        <v>14</v>
      </c>
      <c r="D930">
        <v>0</v>
      </c>
      <c r="E930">
        <v>0</v>
      </c>
      <c r="F930">
        <v>0</v>
      </c>
      <c r="G930">
        <v>0</v>
      </c>
      <c r="H930">
        <v>1</v>
      </c>
      <c r="I930" t="s">
        <v>15</v>
      </c>
      <c r="J930">
        <v>1</v>
      </c>
      <c r="K930">
        <v>0</v>
      </c>
    </row>
    <row r="931" spans="1:11" x14ac:dyDescent="0.3">
      <c r="A931">
        <v>2097</v>
      </c>
      <c r="B931">
        <v>100000</v>
      </c>
      <c r="C931" t="s">
        <v>14</v>
      </c>
      <c r="D931">
        <v>0</v>
      </c>
      <c r="E931">
        <v>0</v>
      </c>
      <c r="F931">
        <v>0</v>
      </c>
      <c r="G931">
        <v>0</v>
      </c>
      <c r="H931">
        <v>1</v>
      </c>
      <c r="I931" t="s">
        <v>15</v>
      </c>
      <c r="J931">
        <v>1</v>
      </c>
      <c r="K931">
        <v>0</v>
      </c>
    </row>
    <row r="932" spans="1:11" x14ac:dyDescent="0.3">
      <c r="A932">
        <v>2098</v>
      </c>
      <c r="B932">
        <v>100000</v>
      </c>
      <c r="C932" t="s">
        <v>14</v>
      </c>
      <c r="D932">
        <v>0</v>
      </c>
      <c r="E932">
        <v>0</v>
      </c>
      <c r="F932">
        <v>0</v>
      </c>
      <c r="G932">
        <v>0</v>
      </c>
      <c r="H932">
        <v>1</v>
      </c>
      <c r="I932" t="s">
        <v>15</v>
      </c>
      <c r="J932">
        <v>1</v>
      </c>
      <c r="K932">
        <v>0</v>
      </c>
    </row>
    <row r="933" spans="1:11" x14ac:dyDescent="0.3">
      <c r="A933">
        <v>2106</v>
      </c>
      <c r="B933">
        <v>153846.1538</v>
      </c>
      <c r="C933" t="s">
        <v>14</v>
      </c>
      <c r="D933">
        <v>0</v>
      </c>
      <c r="E933">
        <v>1</v>
      </c>
      <c r="F933">
        <v>0</v>
      </c>
      <c r="G933">
        <v>0</v>
      </c>
      <c r="H933">
        <v>1</v>
      </c>
      <c r="I933" t="s">
        <v>15</v>
      </c>
      <c r="J933">
        <v>1</v>
      </c>
      <c r="K933">
        <v>0</v>
      </c>
    </row>
    <row r="934" spans="1:11" x14ac:dyDescent="0.3">
      <c r="A934">
        <v>2107</v>
      </c>
      <c r="B934">
        <v>83333.333329999994</v>
      </c>
      <c r="C934" t="s">
        <v>14</v>
      </c>
      <c r="D934">
        <v>0</v>
      </c>
      <c r="E934">
        <v>0</v>
      </c>
      <c r="F934">
        <v>0</v>
      </c>
      <c r="G934">
        <v>0</v>
      </c>
      <c r="H934">
        <v>1</v>
      </c>
      <c r="I934" t="s">
        <v>15</v>
      </c>
      <c r="J934">
        <v>1</v>
      </c>
      <c r="K934">
        <v>0</v>
      </c>
    </row>
    <row r="935" spans="1:11" x14ac:dyDescent="0.3">
      <c r="A935">
        <v>2110</v>
      </c>
      <c r="B935">
        <v>111111.11109999999</v>
      </c>
      <c r="C935" t="s">
        <v>14</v>
      </c>
      <c r="D935">
        <v>0</v>
      </c>
      <c r="E935">
        <v>0</v>
      </c>
      <c r="F935">
        <v>0</v>
      </c>
      <c r="G935">
        <v>0</v>
      </c>
      <c r="H935">
        <v>1</v>
      </c>
      <c r="I935" t="s">
        <v>15</v>
      </c>
      <c r="J935">
        <v>1</v>
      </c>
      <c r="K935">
        <v>0</v>
      </c>
    </row>
    <row r="936" spans="1:11" x14ac:dyDescent="0.3">
      <c r="A936">
        <v>2114</v>
      </c>
      <c r="B936">
        <v>50000</v>
      </c>
      <c r="C936" t="s">
        <v>14</v>
      </c>
      <c r="D936">
        <v>0</v>
      </c>
      <c r="E936">
        <v>0</v>
      </c>
      <c r="F936">
        <v>0</v>
      </c>
      <c r="G936">
        <v>0</v>
      </c>
      <c r="H936">
        <v>1</v>
      </c>
      <c r="I936" t="s">
        <v>15</v>
      </c>
      <c r="J936">
        <v>1</v>
      </c>
      <c r="K936">
        <v>0</v>
      </c>
    </row>
    <row r="937" spans="1:11" x14ac:dyDescent="0.3">
      <c r="A937">
        <v>2116</v>
      </c>
      <c r="B937">
        <v>136363.63639999999</v>
      </c>
      <c r="C937" t="s">
        <v>14</v>
      </c>
      <c r="D937">
        <v>0</v>
      </c>
      <c r="E937">
        <v>0</v>
      </c>
      <c r="F937">
        <v>0</v>
      </c>
      <c r="G937">
        <v>0</v>
      </c>
      <c r="H937">
        <v>1</v>
      </c>
      <c r="I937" t="s">
        <v>15</v>
      </c>
      <c r="J937">
        <v>1</v>
      </c>
      <c r="K937">
        <v>0</v>
      </c>
    </row>
    <row r="938" spans="1:11" x14ac:dyDescent="0.3">
      <c r="A938">
        <v>3775</v>
      </c>
      <c r="B938">
        <v>6000</v>
      </c>
      <c r="C938" t="s">
        <v>14</v>
      </c>
      <c r="D938">
        <v>0</v>
      </c>
      <c r="E938">
        <v>0</v>
      </c>
      <c r="F938">
        <v>0</v>
      </c>
      <c r="G938">
        <v>1</v>
      </c>
      <c r="H938">
        <v>0</v>
      </c>
      <c r="I938" t="s">
        <v>16</v>
      </c>
      <c r="J938">
        <v>1</v>
      </c>
      <c r="K938">
        <v>0</v>
      </c>
    </row>
    <row r="939" spans="1:11" x14ac:dyDescent="0.3">
      <c r="A939">
        <v>2123</v>
      </c>
      <c r="B939">
        <v>66666.666670000006</v>
      </c>
      <c r="C939" t="s">
        <v>14</v>
      </c>
      <c r="D939">
        <v>0</v>
      </c>
      <c r="E939">
        <v>0</v>
      </c>
      <c r="F939">
        <v>0</v>
      </c>
      <c r="G939">
        <v>0</v>
      </c>
      <c r="H939">
        <v>1</v>
      </c>
      <c r="I939" t="s">
        <v>15</v>
      </c>
      <c r="J939">
        <v>1</v>
      </c>
      <c r="K939">
        <v>0</v>
      </c>
    </row>
    <row r="940" spans="1:11" x14ac:dyDescent="0.3">
      <c r="A940">
        <v>2124</v>
      </c>
      <c r="B940">
        <v>100000</v>
      </c>
      <c r="C940" t="s">
        <v>14</v>
      </c>
      <c r="D940">
        <v>0</v>
      </c>
      <c r="E940">
        <v>0</v>
      </c>
      <c r="F940">
        <v>0</v>
      </c>
      <c r="G940">
        <v>0</v>
      </c>
      <c r="H940">
        <v>1</v>
      </c>
      <c r="I940" t="s">
        <v>15</v>
      </c>
      <c r="J940">
        <v>1</v>
      </c>
      <c r="K940">
        <v>0</v>
      </c>
    </row>
    <row r="941" spans="1:11" x14ac:dyDescent="0.3">
      <c r="A941">
        <v>3772</v>
      </c>
      <c r="B941">
        <v>6250</v>
      </c>
      <c r="C941" t="s">
        <v>12</v>
      </c>
      <c r="D941">
        <v>1</v>
      </c>
      <c r="E941">
        <v>0</v>
      </c>
      <c r="F941">
        <v>0</v>
      </c>
      <c r="G941">
        <v>1</v>
      </c>
      <c r="H941">
        <v>0</v>
      </c>
      <c r="I941" t="s">
        <v>16</v>
      </c>
      <c r="J941">
        <v>1</v>
      </c>
      <c r="K941">
        <v>0</v>
      </c>
    </row>
    <row r="942" spans="1:11" x14ac:dyDescent="0.3">
      <c r="A942">
        <v>3770</v>
      </c>
      <c r="B942">
        <v>6250</v>
      </c>
      <c r="C942" t="s">
        <v>14</v>
      </c>
      <c r="D942">
        <v>0</v>
      </c>
      <c r="E942">
        <v>1</v>
      </c>
      <c r="F942">
        <v>0</v>
      </c>
      <c r="G942">
        <v>1</v>
      </c>
      <c r="H942">
        <v>0</v>
      </c>
      <c r="I942" t="s">
        <v>16</v>
      </c>
      <c r="J942">
        <v>0</v>
      </c>
      <c r="K942">
        <v>0</v>
      </c>
    </row>
    <row r="943" spans="1:11" x14ac:dyDescent="0.3">
      <c r="A943">
        <v>2134</v>
      </c>
      <c r="B943">
        <v>136363.63639999999</v>
      </c>
      <c r="C943" t="s">
        <v>14</v>
      </c>
      <c r="D943">
        <v>0</v>
      </c>
      <c r="E943">
        <v>0</v>
      </c>
      <c r="F943">
        <v>0</v>
      </c>
      <c r="G943">
        <v>0</v>
      </c>
      <c r="H943">
        <v>1</v>
      </c>
      <c r="I943" t="s">
        <v>15</v>
      </c>
      <c r="J943">
        <v>1</v>
      </c>
      <c r="K943">
        <v>0</v>
      </c>
    </row>
    <row r="944" spans="1:11" x14ac:dyDescent="0.3">
      <c r="A944">
        <v>2136</v>
      </c>
      <c r="B944">
        <v>6250</v>
      </c>
      <c r="C944" t="s">
        <v>14</v>
      </c>
      <c r="D944">
        <v>0</v>
      </c>
      <c r="E944">
        <v>0</v>
      </c>
      <c r="F944">
        <v>0</v>
      </c>
      <c r="G944">
        <v>0</v>
      </c>
      <c r="H944">
        <v>1</v>
      </c>
      <c r="I944" t="s">
        <v>15</v>
      </c>
      <c r="J944">
        <v>1</v>
      </c>
      <c r="K944">
        <v>1</v>
      </c>
    </row>
    <row r="945" spans="1:11" x14ac:dyDescent="0.3">
      <c r="A945">
        <v>2144</v>
      </c>
      <c r="B945">
        <v>150000</v>
      </c>
      <c r="C945" t="s">
        <v>14</v>
      </c>
      <c r="D945">
        <v>0</v>
      </c>
      <c r="E945">
        <v>0</v>
      </c>
      <c r="F945">
        <v>0</v>
      </c>
      <c r="G945">
        <v>0</v>
      </c>
      <c r="H945">
        <v>1</v>
      </c>
      <c r="I945" t="s">
        <v>15</v>
      </c>
      <c r="J945">
        <v>1</v>
      </c>
      <c r="K945">
        <v>0</v>
      </c>
    </row>
    <row r="946" spans="1:11" x14ac:dyDescent="0.3">
      <c r="A946">
        <v>2148</v>
      </c>
      <c r="B946">
        <v>40000</v>
      </c>
      <c r="C946" t="s">
        <v>14</v>
      </c>
      <c r="D946">
        <v>0</v>
      </c>
      <c r="E946">
        <v>1</v>
      </c>
      <c r="F946">
        <v>0</v>
      </c>
      <c r="G946">
        <v>1</v>
      </c>
      <c r="H946">
        <v>0</v>
      </c>
      <c r="I946" t="s">
        <v>17</v>
      </c>
      <c r="J946">
        <v>1</v>
      </c>
      <c r="K946">
        <v>0</v>
      </c>
    </row>
    <row r="947" spans="1:11" x14ac:dyDescent="0.3">
      <c r="A947">
        <v>3767</v>
      </c>
      <c r="B947">
        <v>7500</v>
      </c>
      <c r="C947" t="s">
        <v>14</v>
      </c>
      <c r="D947">
        <v>0</v>
      </c>
      <c r="E947">
        <v>1</v>
      </c>
      <c r="F947">
        <v>0</v>
      </c>
      <c r="G947">
        <v>1</v>
      </c>
      <c r="H947">
        <v>0</v>
      </c>
      <c r="I947" t="s">
        <v>16</v>
      </c>
      <c r="J947">
        <v>1</v>
      </c>
      <c r="K947">
        <v>0</v>
      </c>
    </row>
    <row r="948" spans="1:11" x14ac:dyDescent="0.3">
      <c r="A948">
        <v>2159</v>
      </c>
      <c r="B948">
        <v>18750</v>
      </c>
      <c r="C948" t="s">
        <v>14</v>
      </c>
      <c r="D948">
        <v>0</v>
      </c>
      <c r="E948">
        <v>1</v>
      </c>
      <c r="F948">
        <v>0</v>
      </c>
      <c r="G948">
        <v>1</v>
      </c>
      <c r="H948">
        <v>0</v>
      </c>
      <c r="I948" t="s">
        <v>17</v>
      </c>
      <c r="J948">
        <v>1</v>
      </c>
      <c r="K948">
        <v>0</v>
      </c>
    </row>
    <row r="949" spans="1:11" x14ac:dyDescent="0.3">
      <c r="A949">
        <v>2164</v>
      </c>
      <c r="B949">
        <v>0</v>
      </c>
      <c r="C949" t="s">
        <v>14</v>
      </c>
      <c r="D949">
        <v>0</v>
      </c>
      <c r="E949">
        <v>1</v>
      </c>
      <c r="F949">
        <v>0</v>
      </c>
      <c r="G949">
        <v>1</v>
      </c>
      <c r="H949">
        <v>0</v>
      </c>
      <c r="I949" t="s">
        <v>17</v>
      </c>
      <c r="J949">
        <v>1</v>
      </c>
      <c r="K949">
        <v>0</v>
      </c>
    </row>
    <row r="950" spans="1:11" x14ac:dyDescent="0.3">
      <c r="A950">
        <v>2166</v>
      </c>
      <c r="B950">
        <v>35000</v>
      </c>
      <c r="C950" t="s">
        <v>14</v>
      </c>
      <c r="D950">
        <v>0</v>
      </c>
      <c r="E950">
        <v>0</v>
      </c>
      <c r="F950">
        <v>0</v>
      </c>
      <c r="G950">
        <v>1</v>
      </c>
      <c r="H950">
        <v>0</v>
      </c>
      <c r="I950" t="s">
        <v>17</v>
      </c>
      <c r="J950">
        <v>1</v>
      </c>
      <c r="K950">
        <v>0</v>
      </c>
    </row>
    <row r="951" spans="1:11" x14ac:dyDescent="0.3">
      <c r="A951">
        <v>3765</v>
      </c>
      <c r="B951">
        <v>5000</v>
      </c>
      <c r="C951" t="s">
        <v>14</v>
      </c>
      <c r="D951">
        <v>0</v>
      </c>
      <c r="E951">
        <v>0</v>
      </c>
      <c r="F951">
        <v>0</v>
      </c>
      <c r="G951">
        <v>1</v>
      </c>
      <c r="H951">
        <v>0</v>
      </c>
      <c r="I951" t="s">
        <v>16</v>
      </c>
      <c r="J951">
        <v>1</v>
      </c>
      <c r="K951">
        <v>0</v>
      </c>
    </row>
    <row r="952" spans="1:11" x14ac:dyDescent="0.3">
      <c r="A952">
        <v>2254</v>
      </c>
      <c r="B952">
        <v>47826.086960000001</v>
      </c>
      <c r="C952" t="s">
        <v>14</v>
      </c>
      <c r="D952">
        <v>0</v>
      </c>
      <c r="E952">
        <v>1</v>
      </c>
      <c r="F952">
        <v>0</v>
      </c>
      <c r="G952">
        <v>1</v>
      </c>
      <c r="H952">
        <v>0</v>
      </c>
      <c r="I952" t="s">
        <v>17</v>
      </c>
      <c r="J952">
        <v>1</v>
      </c>
      <c r="K952">
        <v>0</v>
      </c>
    </row>
    <row r="953" spans="1:11" x14ac:dyDescent="0.3">
      <c r="A953">
        <v>2255</v>
      </c>
      <c r="B953">
        <v>5000</v>
      </c>
      <c r="C953" t="s">
        <v>14</v>
      </c>
      <c r="D953">
        <v>0</v>
      </c>
      <c r="E953">
        <v>1</v>
      </c>
      <c r="F953">
        <v>0</v>
      </c>
      <c r="G953">
        <v>1</v>
      </c>
      <c r="H953">
        <v>0</v>
      </c>
      <c r="I953" t="s">
        <v>17</v>
      </c>
      <c r="J953">
        <v>1</v>
      </c>
      <c r="K953">
        <v>0</v>
      </c>
    </row>
    <row r="954" spans="1:11" x14ac:dyDescent="0.3">
      <c r="A954">
        <v>2265</v>
      </c>
      <c r="B954">
        <v>29761.904760000001</v>
      </c>
      <c r="C954" t="s">
        <v>14</v>
      </c>
      <c r="D954">
        <v>0</v>
      </c>
      <c r="E954">
        <v>0</v>
      </c>
      <c r="F954">
        <v>0</v>
      </c>
      <c r="G954">
        <v>1</v>
      </c>
      <c r="H954">
        <v>0</v>
      </c>
      <c r="I954" t="s">
        <v>17</v>
      </c>
      <c r="J954">
        <v>1</v>
      </c>
      <c r="K954">
        <v>0</v>
      </c>
    </row>
    <row r="955" spans="1:11" x14ac:dyDescent="0.3">
      <c r="A955">
        <v>2341</v>
      </c>
      <c r="B955">
        <v>4285.7142860000004</v>
      </c>
      <c r="C955" t="s">
        <v>14</v>
      </c>
      <c r="D955">
        <v>0</v>
      </c>
      <c r="E955">
        <v>0</v>
      </c>
      <c r="F955">
        <v>0</v>
      </c>
      <c r="G955">
        <v>1</v>
      </c>
      <c r="H955">
        <v>0</v>
      </c>
      <c r="I955" t="s">
        <v>16</v>
      </c>
      <c r="J955">
        <v>0</v>
      </c>
      <c r="K955">
        <v>1</v>
      </c>
    </row>
    <row r="956" spans="1:11" x14ac:dyDescent="0.3">
      <c r="A956">
        <v>2351</v>
      </c>
      <c r="B956">
        <v>9708.7378640000006</v>
      </c>
      <c r="C956" t="s">
        <v>14</v>
      </c>
      <c r="D956">
        <v>0</v>
      </c>
      <c r="E956">
        <v>1</v>
      </c>
      <c r="F956">
        <v>0</v>
      </c>
      <c r="G956">
        <v>1</v>
      </c>
      <c r="H956">
        <v>0</v>
      </c>
      <c r="I956" t="s">
        <v>16</v>
      </c>
      <c r="J956">
        <v>0</v>
      </c>
      <c r="K956">
        <v>1</v>
      </c>
    </row>
    <row r="957" spans="1:11" x14ac:dyDescent="0.3">
      <c r="A957">
        <v>2353</v>
      </c>
      <c r="B957">
        <v>6000</v>
      </c>
      <c r="C957" t="s">
        <v>12</v>
      </c>
      <c r="D957">
        <v>1</v>
      </c>
      <c r="E957">
        <v>1</v>
      </c>
      <c r="F957">
        <v>0</v>
      </c>
      <c r="G957">
        <v>1</v>
      </c>
      <c r="H957">
        <v>0</v>
      </c>
      <c r="I957" t="s">
        <v>16</v>
      </c>
      <c r="J957">
        <v>0</v>
      </c>
      <c r="K957">
        <v>1</v>
      </c>
    </row>
    <row r="958" spans="1:11" x14ac:dyDescent="0.3">
      <c r="A958">
        <v>2355</v>
      </c>
      <c r="B958">
        <v>7075.4716980000003</v>
      </c>
      <c r="C958" t="s">
        <v>14</v>
      </c>
      <c r="D958">
        <v>0</v>
      </c>
      <c r="E958">
        <v>0</v>
      </c>
      <c r="F958">
        <v>0</v>
      </c>
      <c r="G958">
        <v>1</v>
      </c>
      <c r="H958">
        <v>0</v>
      </c>
      <c r="I958" t="s">
        <v>16</v>
      </c>
      <c r="J958">
        <v>1</v>
      </c>
      <c r="K958">
        <v>1</v>
      </c>
    </row>
    <row r="959" spans="1:11" x14ac:dyDescent="0.3">
      <c r="A959">
        <v>2358</v>
      </c>
      <c r="B959">
        <v>3333.333333</v>
      </c>
      <c r="C959" t="s">
        <v>14</v>
      </c>
      <c r="D959">
        <v>0</v>
      </c>
      <c r="E959">
        <v>0</v>
      </c>
      <c r="F959">
        <v>0</v>
      </c>
      <c r="G959">
        <v>1</v>
      </c>
      <c r="H959">
        <v>0</v>
      </c>
      <c r="I959" t="s">
        <v>16</v>
      </c>
      <c r="J959">
        <v>0</v>
      </c>
      <c r="K959">
        <v>1</v>
      </c>
    </row>
    <row r="960" spans="1:11" x14ac:dyDescent="0.3">
      <c r="A960">
        <v>2388</v>
      </c>
      <c r="B960">
        <v>5882.3529410000001</v>
      </c>
      <c r="C960" t="s">
        <v>14</v>
      </c>
      <c r="D960">
        <v>0</v>
      </c>
      <c r="E960">
        <v>1</v>
      </c>
      <c r="F960">
        <v>0</v>
      </c>
      <c r="G960">
        <v>1</v>
      </c>
      <c r="H960">
        <v>0</v>
      </c>
      <c r="I960" t="s">
        <v>16</v>
      </c>
      <c r="J960">
        <v>1</v>
      </c>
      <c r="K960">
        <v>1</v>
      </c>
    </row>
    <row r="961" spans="1:11" x14ac:dyDescent="0.3">
      <c r="A961">
        <v>2389</v>
      </c>
      <c r="B961">
        <v>4201.6806720000004</v>
      </c>
      <c r="C961" t="s">
        <v>12</v>
      </c>
      <c r="D961">
        <v>1</v>
      </c>
      <c r="E961">
        <v>1</v>
      </c>
      <c r="F961">
        <v>0</v>
      </c>
      <c r="G961">
        <v>1</v>
      </c>
      <c r="H961">
        <v>0</v>
      </c>
      <c r="I961" t="s">
        <v>16</v>
      </c>
      <c r="J961">
        <v>1</v>
      </c>
      <c r="K961">
        <v>1</v>
      </c>
    </row>
    <row r="962" spans="1:11" x14ac:dyDescent="0.3">
      <c r="A962">
        <v>2392</v>
      </c>
      <c r="B962">
        <v>7500</v>
      </c>
      <c r="C962" t="s">
        <v>14</v>
      </c>
      <c r="D962">
        <v>0</v>
      </c>
      <c r="E962">
        <v>0</v>
      </c>
      <c r="F962">
        <v>0</v>
      </c>
      <c r="G962">
        <v>1</v>
      </c>
      <c r="H962">
        <v>0</v>
      </c>
      <c r="I962" t="s">
        <v>16</v>
      </c>
      <c r="J962">
        <v>1</v>
      </c>
      <c r="K962">
        <v>0</v>
      </c>
    </row>
    <row r="963" spans="1:11" x14ac:dyDescent="0.3">
      <c r="A963">
        <v>2394</v>
      </c>
      <c r="B963">
        <v>9090.9090909999995</v>
      </c>
      <c r="C963" t="s">
        <v>14</v>
      </c>
      <c r="D963">
        <v>0</v>
      </c>
      <c r="E963">
        <v>1</v>
      </c>
      <c r="F963">
        <v>0</v>
      </c>
      <c r="G963">
        <v>1</v>
      </c>
      <c r="H963">
        <v>0</v>
      </c>
      <c r="I963" t="s">
        <v>16</v>
      </c>
      <c r="J963">
        <v>0</v>
      </c>
      <c r="K963">
        <v>0</v>
      </c>
    </row>
    <row r="964" spans="1:11" x14ac:dyDescent="0.3">
      <c r="A964">
        <v>2411</v>
      </c>
      <c r="B964">
        <v>25000</v>
      </c>
      <c r="C964" t="s">
        <v>14</v>
      </c>
      <c r="D964">
        <v>0</v>
      </c>
      <c r="E964">
        <v>1</v>
      </c>
      <c r="F964">
        <v>0</v>
      </c>
      <c r="G964">
        <v>1</v>
      </c>
      <c r="H964">
        <v>0</v>
      </c>
      <c r="I964" t="s">
        <v>16</v>
      </c>
      <c r="J964">
        <v>1</v>
      </c>
      <c r="K964">
        <v>1</v>
      </c>
    </row>
    <row r="965" spans="1:11" x14ac:dyDescent="0.3">
      <c r="A965">
        <v>2412</v>
      </c>
      <c r="B965">
        <v>7500</v>
      </c>
      <c r="C965" t="s">
        <v>14</v>
      </c>
      <c r="D965">
        <v>0</v>
      </c>
      <c r="E965">
        <v>1</v>
      </c>
      <c r="F965">
        <v>0</v>
      </c>
      <c r="G965">
        <v>1</v>
      </c>
      <c r="H965">
        <v>0</v>
      </c>
      <c r="I965" t="s">
        <v>16</v>
      </c>
      <c r="J965">
        <v>1</v>
      </c>
      <c r="K965">
        <v>1</v>
      </c>
    </row>
    <row r="966" spans="1:11" x14ac:dyDescent="0.3">
      <c r="A966">
        <v>2413</v>
      </c>
      <c r="B966">
        <v>41666.666669999999</v>
      </c>
      <c r="C966" t="s">
        <v>14</v>
      </c>
      <c r="D966">
        <v>0</v>
      </c>
      <c r="E966">
        <v>0</v>
      </c>
      <c r="F966">
        <v>0</v>
      </c>
      <c r="G966">
        <v>1</v>
      </c>
      <c r="H966">
        <v>0</v>
      </c>
      <c r="I966" t="s">
        <v>16</v>
      </c>
      <c r="J966">
        <v>1</v>
      </c>
      <c r="K966">
        <v>0</v>
      </c>
    </row>
    <row r="967" spans="1:11" x14ac:dyDescent="0.3">
      <c r="A967">
        <v>2554</v>
      </c>
      <c r="B967">
        <v>155172.41380000001</v>
      </c>
      <c r="C967" t="s">
        <v>14</v>
      </c>
      <c r="D967">
        <v>0</v>
      </c>
      <c r="E967">
        <v>1</v>
      </c>
      <c r="F967">
        <v>0</v>
      </c>
      <c r="G967">
        <v>0</v>
      </c>
      <c r="H967">
        <v>1</v>
      </c>
      <c r="I967" t="s">
        <v>18</v>
      </c>
      <c r="J967">
        <v>1</v>
      </c>
      <c r="K967">
        <v>1</v>
      </c>
    </row>
    <row r="968" spans="1:11" x14ac:dyDescent="0.3">
      <c r="A968">
        <v>2581</v>
      </c>
      <c r="B968">
        <v>5000</v>
      </c>
      <c r="C968" t="s">
        <v>12</v>
      </c>
      <c r="D968">
        <v>1</v>
      </c>
      <c r="E968">
        <v>0</v>
      </c>
      <c r="F968">
        <v>0</v>
      </c>
      <c r="G968">
        <v>0</v>
      </c>
      <c r="H968">
        <v>1</v>
      </c>
      <c r="I968" t="s">
        <v>18</v>
      </c>
      <c r="J968">
        <v>1</v>
      </c>
      <c r="K968">
        <v>0</v>
      </c>
    </row>
    <row r="969" spans="1:11" x14ac:dyDescent="0.3">
      <c r="A969">
        <v>2596</v>
      </c>
      <c r="B969">
        <v>48387.096769999996</v>
      </c>
      <c r="C969" t="s">
        <v>14</v>
      </c>
      <c r="D969">
        <v>0</v>
      </c>
      <c r="E969">
        <v>0</v>
      </c>
      <c r="F969">
        <v>0</v>
      </c>
      <c r="G969">
        <v>0</v>
      </c>
      <c r="H969">
        <v>1</v>
      </c>
      <c r="I969" t="s">
        <v>18</v>
      </c>
      <c r="J969">
        <v>1</v>
      </c>
      <c r="K969">
        <v>0</v>
      </c>
    </row>
    <row r="970" spans="1:11" x14ac:dyDescent="0.3">
      <c r="A970">
        <v>2601</v>
      </c>
      <c r="B970">
        <v>3797.4683540000001</v>
      </c>
      <c r="C970" t="s">
        <v>14</v>
      </c>
      <c r="D970">
        <v>0</v>
      </c>
      <c r="E970">
        <v>0</v>
      </c>
      <c r="F970">
        <v>0</v>
      </c>
      <c r="G970">
        <v>0</v>
      </c>
      <c r="H970">
        <v>1</v>
      </c>
      <c r="I970" t="s">
        <v>18</v>
      </c>
      <c r="J970">
        <v>1</v>
      </c>
      <c r="K970">
        <v>0</v>
      </c>
    </row>
    <row r="971" spans="1:11" x14ac:dyDescent="0.3">
      <c r="A971">
        <v>2602</v>
      </c>
      <c r="B971">
        <v>10000</v>
      </c>
      <c r="C971" t="s">
        <v>14</v>
      </c>
      <c r="D971">
        <v>0</v>
      </c>
      <c r="E971">
        <v>0</v>
      </c>
      <c r="F971">
        <v>0</v>
      </c>
      <c r="G971">
        <v>0</v>
      </c>
      <c r="H971">
        <v>1</v>
      </c>
      <c r="I971" t="s">
        <v>18</v>
      </c>
      <c r="J971">
        <v>1</v>
      </c>
      <c r="K971">
        <v>0</v>
      </c>
    </row>
    <row r="972" spans="1:11" x14ac:dyDescent="0.3">
      <c r="A972">
        <v>3764</v>
      </c>
      <c r="B972">
        <v>16666.666669999999</v>
      </c>
      <c r="C972" t="s">
        <v>14</v>
      </c>
      <c r="D972">
        <v>0</v>
      </c>
      <c r="E972">
        <v>1</v>
      </c>
      <c r="F972">
        <v>0</v>
      </c>
      <c r="G972">
        <v>1</v>
      </c>
      <c r="H972">
        <v>0</v>
      </c>
      <c r="I972" t="s">
        <v>16</v>
      </c>
      <c r="J972">
        <v>1</v>
      </c>
      <c r="K972">
        <v>0</v>
      </c>
    </row>
    <row r="973" spans="1:11" x14ac:dyDescent="0.3">
      <c r="A973">
        <v>3763</v>
      </c>
      <c r="B973">
        <v>30000</v>
      </c>
      <c r="C973" t="s">
        <v>14</v>
      </c>
      <c r="D973">
        <v>0</v>
      </c>
      <c r="E973">
        <v>0</v>
      </c>
      <c r="F973">
        <v>0</v>
      </c>
      <c r="G973">
        <v>1</v>
      </c>
      <c r="H973">
        <v>0</v>
      </c>
      <c r="I973" t="s">
        <v>16</v>
      </c>
      <c r="J973">
        <v>1</v>
      </c>
      <c r="K973">
        <v>1</v>
      </c>
    </row>
    <row r="974" spans="1:11" x14ac:dyDescent="0.3">
      <c r="A974">
        <v>2609</v>
      </c>
      <c r="B974">
        <v>150000</v>
      </c>
      <c r="C974" t="s">
        <v>14</v>
      </c>
      <c r="D974">
        <v>0</v>
      </c>
      <c r="E974">
        <v>1</v>
      </c>
      <c r="F974">
        <v>0</v>
      </c>
      <c r="G974">
        <v>1</v>
      </c>
      <c r="H974">
        <v>0</v>
      </c>
      <c r="I974" t="s">
        <v>17</v>
      </c>
      <c r="J974">
        <v>1</v>
      </c>
      <c r="K974">
        <v>0</v>
      </c>
    </row>
    <row r="975" spans="1:11" x14ac:dyDescent="0.3">
      <c r="A975">
        <v>2611</v>
      </c>
      <c r="B975">
        <v>125000</v>
      </c>
      <c r="C975" t="s">
        <v>14</v>
      </c>
      <c r="D975">
        <v>0</v>
      </c>
      <c r="E975">
        <v>1</v>
      </c>
      <c r="F975">
        <v>0</v>
      </c>
      <c r="G975">
        <v>1</v>
      </c>
      <c r="H975">
        <v>0</v>
      </c>
      <c r="I975" t="s">
        <v>17</v>
      </c>
      <c r="J975">
        <v>1</v>
      </c>
      <c r="K975">
        <v>0</v>
      </c>
    </row>
    <row r="976" spans="1:11" x14ac:dyDescent="0.3">
      <c r="A976">
        <v>2614</v>
      </c>
      <c r="B976">
        <v>150000</v>
      </c>
      <c r="C976" t="s">
        <v>14</v>
      </c>
      <c r="D976">
        <v>0</v>
      </c>
      <c r="E976">
        <v>0</v>
      </c>
      <c r="F976">
        <v>0</v>
      </c>
      <c r="G976">
        <v>1</v>
      </c>
      <c r="H976">
        <v>0</v>
      </c>
      <c r="I976" t="s">
        <v>17</v>
      </c>
      <c r="J976">
        <v>1</v>
      </c>
      <c r="K976">
        <v>0</v>
      </c>
    </row>
    <row r="977" spans="1:11" x14ac:dyDescent="0.3">
      <c r="A977">
        <v>2619</v>
      </c>
      <c r="B977">
        <v>47318.611989999998</v>
      </c>
      <c r="C977" t="s">
        <v>14</v>
      </c>
      <c r="D977">
        <v>0</v>
      </c>
      <c r="E977">
        <v>0</v>
      </c>
      <c r="F977">
        <v>0</v>
      </c>
      <c r="G977">
        <v>1</v>
      </c>
      <c r="H977">
        <v>0</v>
      </c>
      <c r="I977" t="s">
        <v>17</v>
      </c>
      <c r="J977">
        <v>1</v>
      </c>
      <c r="K977">
        <v>0</v>
      </c>
    </row>
    <row r="978" spans="1:11" x14ac:dyDescent="0.3">
      <c r="A978">
        <v>2621</v>
      </c>
      <c r="B978">
        <v>125000</v>
      </c>
      <c r="C978" t="s">
        <v>14</v>
      </c>
      <c r="D978">
        <v>0</v>
      </c>
      <c r="E978">
        <v>1</v>
      </c>
      <c r="F978">
        <v>0</v>
      </c>
      <c r="G978">
        <v>1</v>
      </c>
      <c r="H978">
        <v>0</v>
      </c>
      <c r="I978" t="s">
        <v>17</v>
      </c>
      <c r="J978">
        <v>1</v>
      </c>
      <c r="K978">
        <v>0</v>
      </c>
    </row>
    <row r="979" spans="1:11" x14ac:dyDescent="0.3">
      <c r="A979">
        <v>2626</v>
      </c>
      <c r="B979">
        <v>150000</v>
      </c>
      <c r="C979" t="s">
        <v>14</v>
      </c>
      <c r="D979">
        <v>0</v>
      </c>
      <c r="E979">
        <v>1</v>
      </c>
      <c r="F979">
        <v>0</v>
      </c>
      <c r="G979">
        <v>1</v>
      </c>
      <c r="H979">
        <v>0</v>
      </c>
      <c r="I979" t="s">
        <v>17</v>
      </c>
      <c r="J979">
        <v>1</v>
      </c>
      <c r="K979">
        <v>0</v>
      </c>
    </row>
    <row r="980" spans="1:11" x14ac:dyDescent="0.3">
      <c r="A980">
        <v>2645</v>
      </c>
      <c r="B980">
        <v>0</v>
      </c>
      <c r="C980" t="s">
        <v>14</v>
      </c>
      <c r="D980">
        <v>0</v>
      </c>
      <c r="E980">
        <v>0</v>
      </c>
      <c r="F980">
        <v>0</v>
      </c>
      <c r="G980">
        <v>0</v>
      </c>
      <c r="H980">
        <v>1</v>
      </c>
      <c r="I980" t="s">
        <v>18</v>
      </c>
      <c r="J980">
        <v>1</v>
      </c>
      <c r="K980">
        <v>0</v>
      </c>
    </row>
    <row r="981" spans="1:11" x14ac:dyDescent="0.3">
      <c r="A981">
        <v>2648</v>
      </c>
      <c r="B981">
        <v>15000</v>
      </c>
      <c r="C981" t="s">
        <v>14</v>
      </c>
      <c r="D981">
        <v>0</v>
      </c>
      <c r="E981">
        <v>0</v>
      </c>
      <c r="F981">
        <v>0</v>
      </c>
      <c r="G981">
        <v>0</v>
      </c>
      <c r="H981">
        <v>1</v>
      </c>
      <c r="I981" t="s">
        <v>18</v>
      </c>
      <c r="J981">
        <v>1</v>
      </c>
      <c r="K981">
        <v>1</v>
      </c>
    </row>
    <row r="982" spans="1:11" x14ac:dyDescent="0.3">
      <c r="A982">
        <v>2664</v>
      </c>
      <c r="B982">
        <v>150000</v>
      </c>
      <c r="C982" t="s">
        <v>14</v>
      </c>
      <c r="D982">
        <v>0</v>
      </c>
      <c r="E982">
        <v>1</v>
      </c>
      <c r="F982">
        <v>0</v>
      </c>
      <c r="G982">
        <v>1</v>
      </c>
      <c r="H982">
        <v>0</v>
      </c>
      <c r="I982" t="s">
        <v>17</v>
      </c>
      <c r="J982">
        <v>1</v>
      </c>
      <c r="K982">
        <v>0</v>
      </c>
    </row>
    <row r="983" spans="1:11" x14ac:dyDescent="0.3">
      <c r="A983">
        <v>2667</v>
      </c>
      <c r="B983">
        <v>150000</v>
      </c>
      <c r="C983" t="s">
        <v>14</v>
      </c>
      <c r="D983">
        <v>0</v>
      </c>
      <c r="E983">
        <v>0</v>
      </c>
      <c r="F983">
        <v>0</v>
      </c>
      <c r="G983">
        <v>1</v>
      </c>
      <c r="H983">
        <v>0</v>
      </c>
      <c r="I983" t="s">
        <v>17</v>
      </c>
      <c r="J983">
        <v>1</v>
      </c>
      <c r="K983">
        <v>0</v>
      </c>
    </row>
    <row r="984" spans="1:11" x14ac:dyDescent="0.3">
      <c r="A984">
        <v>2674</v>
      </c>
      <c r="B984">
        <v>125000</v>
      </c>
      <c r="C984" t="s">
        <v>14</v>
      </c>
      <c r="D984">
        <v>0</v>
      </c>
      <c r="E984">
        <v>1</v>
      </c>
      <c r="F984">
        <v>0</v>
      </c>
      <c r="G984">
        <v>1</v>
      </c>
      <c r="H984">
        <v>0</v>
      </c>
      <c r="I984" t="s">
        <v>17</v>
      </c>
      <c r="J984">
        <v>1</v>
      </c>
      <c r="K984">
        <v>0</v>
      </c>
    </row>
    <row r="985" spans="1:11" x14ac:dyDescent="0.3">
      <c r="A985">
        <v>2681</v>
      </c>
      <c r="B985">
        <v>150000</v>
      </c>
      <c r="C985" t="s">
        <v>14</v>
      </c>
      <c r="D985">
        <v>0</v>
      </c>
      <c r="E985">
        <v>0</v>
      </c>
      <c r="F985">
        <v>0</v>
      </c>
      <c r="G985">
        <v>1</v>
      </c>
      <c r="H985">
        <v>0</v>
      </c>
      <c r="I985" t="s">
        <v>17</v>
      </c>
      <c r="J985">
        <v>1</v>
      </c>
      <c r="K985">
        <v>0</v>
      </c>
    </row>
    <row r="986" spans="1:11" x14ac:dyDescent="0.3">
      <c r="A986">
        <v>2685</v>
      </c>
      <c r="B986">
        <v>150000</v>
      </c>
      <c r="C986" t="s">
        <v>14</v>
      </c>
      <c r="D986">
        <v>0</v>
      </c>
      <c r="E986">
        <v>1</v>
      </c>
      <c r="F986">
        <v>0</v>
      </c>
      <c r="G986">
        <v>1</v>
      </c>
      <c r="H986">
        <v>0</v>
      </c>
      <c r="I986" t="s">
        <v>17</v>
      </c>
      <c r="J986">
        <v>1</v>
      </c>
      <c r="K986">
        <v>0</v>
      </c>
    </row>
    <row r="987" spans="1:11" x14ac:dyDescent="0.3">
      <c r="A987">
        <v>2686</v>
      </c>
      <c r="B987">
        <v>-25000</v>
      </c>
      <c r="C987" t="s">
        <v>14</v>
      </c>
      <c r="D987">
        <v>0</v>
      </c>
      <c r="E987">
        <v>0</v>
      </c>
      <c r="F987">
        <v>0</v>
      </c>
      <c r="G987">
        <v>1</v>
      </c>
      <c r="H987">
        <v>0</v>
      </c>
      <c r="I987" t="s">
        <v>17</v>
      </c>
      <c r="J987">
        <v>1</v>
      </c>
      <c r="K987">
        <v>0</v>
      </c>
    </row>
    <row r="988" spans="1:11" x14ac:dyDescent="0.3">
      <c r="A988">
        <v>2688</v>
      </c>
      <c r="B988">
        <v>150000</v>
      </c>
      <c r="C988" t="s">
        <v>14</v>
      </c>
      <c r="D988">
        <v>0</v>
      </c>
      <c r="E988">
        <v>0</v>
      </c>
      <c r="F988">
        <v>0</v>
      </c>
      <c r="G988">
        <v>1</v>
      </c>
      <c r="H988">
        <v>0</v>
      </c>
      <c r="I988" t="s">
        <v>17</v>
      </c>
      <c r="J988">
        <v>1</v>
      </c>
      <c r="K988">
        <v>0</v>
      </c>
    </row>
    <row r="989" spans="1:11" x14ac:dyDescent="0.3">
      <c r="A989">
        <v>2693</v>
      </c>
      <c r="B989">
        <v>-20833.333330000001</v>
      </c>
      <c r="C989" t="s">
        <v>14</v>
      </c>
      <c r="D989">
        <v>0</v>
      </c>
      <c r="E989">
        <v>0</v>
      </c>
      <c r="F989">
        <v>0</v>
      </c>
      <c r="G989">
        <v>1</v>
      </c>
      <c r="H989">
        <v>0</v>
      </c>
      <c r="I989" t="s">
        <v>17</v>
      </c>
      <c r="J989">
        <v>1</v>
      </c>
      <c r="K989">
        <v>0</v>
      </c>
    </row>
    <row r="990" spans="1:11" x14ac:dyDescent="0.3">
      <c r="A990">
        <v>2695</v>
      </c>
      <c r="B990">
        <v>150000</v>
      </c>
      <c r="C990" t="s">
        <v>14</v>
      </c>
      <c r="D990">
        <v>0</v>
      </c>
      <c r="E990">
        <v>1</v>
      </c>
      <c r="F990">
        <v>0</v>
      </c>
      <c r="G990">
        <v>1</v>
      </c>
      <c r="H990">
        <v>0</v>
      </c>
      <c r="I990" t="s">
        <v>17</v>
      </c>
      <c r="J990">
        <v>1</v>
      </c>
      <c r="K990">
        <v>0</v>
      </c>
    </row>
    <row r="991" spans="1:11" x14ac:dyDescent="0.3">
      <c r="A991">
        <v>2697</v>
      </c>
      <c r="B991">
        <v>125000</v>
      </c>
      <c r="C991" t="s">
        <v>14</v>
      </c>
      <c r="D991">
        <v>0</v>
      </c>
      <c r="E991">
        <v>1</v>
      </c>
      <c r="F991">
        <v>0</v>
      </c>
      <c r="G991">
        <v>1</v>
      </c>
      <c r="H991">
        <v>0</v>
      </c>
      <c r="I991" t="s">
        <v>17</v>
      </c>
      <c r="J991">
        <v>1</v>
      </c>
      <c r="K991">
        <v>0</v>
      </c>
    </row>
    <row r="992" spans="1:11" x14ac:dyDescent="0.3">
      <c r="A992">
        <v>2705</v>
      </c>
      <c r="B992">
        <v>50000</v>
      </c>
      <c r="C992" t="s">
        <v>14</v>
      </c>
      <c r="D992">
        <v>0</v>
      </c>
      <c r="E992">
        <v>1</v>
      </c>
      <c r="F992">
        <v>0</v>
      </c>
      <c r="G992">
        <v>1</v>
      </c>
      <c r="H992">
        <v>0</v>
      </c>
      <c r="I992" t="s">
        <v>17</v>
      </c>
      <c r="J992">
        <v>1</v>
      </c>
      <c r="K992">
        <v>0</v>
      </c>
    </row>
    <row r="993" spans="1:11" x14ac:dyDescent="0.3">
      <c r="A993">
        <v>2714</v>
      </c>
      <c r="B993">
        <v>150000</v>
      </c>
      <c r="C993" t="s">
        <v>14</v>
      </c>
      <c r="D993">
        <v>0</v>
      </c>
      <c r="E993">
        <v>1</v>
      </c>
      <c r="F993">
        <v>0</v>
      </c>
      <c r="G993">
        <v>1</v>
      </c>
      <c r="H993">
        <v>0</v>
      </c>
      <c r="I993" t="s">
        <v>17</v>
      </c>
      <c r="J993">
        <v>1</v>
      </c>
      <c r="K993">
        <v>0</v>
      </c>
    </row>
    <row r="994" spans="1:11" x14ac:dyDescent="0.3">
      <c r="A994">
        <v>2720</v>
      </c>
      <c r="B994">
        <v>50000</v>
      </c>
      <c r="C994" t="s">
        <v>14</v>
      </c>
      <c r="D994">
        <v>0</v>
      </c>
      <c r="E994">
        <v>1</v>
      </c>
      <c r="F994">
        <v>0</v>
      </c>
      <c r="G994">
        <v>1</v>
      </c>
      <c r="H994">
        <v>0</v>
      </c>
      <c r="I994" t="s">
        <v>17</v>
      </c>
      <c r="J994">
        <v>1</v>
      </c>
      <c r="K994">
        <v>0</v>
      </c>
    </row>
    <row r="995" spans="1:11" x14ac:dyDescent="0.3">
      <c r="A995">
        <v>2723</v>
      </c>
      <c r="B995">
        <v>75000</v>
      </c>
      <c r="C995" t="s">
        <v>14</v>
      </c>
      <c r="D995">
        <v>0</v>
      </c>
      <c r="E995">
        <v>0</v>
      </c>
      <c r="F995">
        <v>0</v>
      </c>
      <c r="G995">
        <v>1</v>
      </c>
      <c r="H995">
        <v>0</v>
      </c>
      <c r="I995" t="s">
        <v>17</v>
      </c>
      <c r="J995">
        <v>1</v>
      </c>
      <c r="K995">
        <v>0</v>
      </c>
    </row>
    <row r="996" spans="1:11" x14ac:dyDescent="0.3">
      <c r="A996">
        <v>2728</v>
      </c>
      <c r="B996">
        <v>150000</v>
      </c>
      <c r="C996" t="s">
        <v>14</v>
      </c>
      <c r="D996">
        <v>0</v>
      </c>
      <c r="E996">
        <v>0</v>
      </c>
      <c r="F996">
        <v>0</v>
      </c>
      <c r="G996">
        <v>1</v>
      </c>
      <c r="H996">
        <v>0</v>
      </c>
      <c r="I996" t="s">
        <v>17</v>
      </c>
      <c r="J996">
        <v>1</v>
      </c>
      <c r="K996">
        <v>0</v>
      </c>
    </row>
    <row r="997" spans="1:11" x14ac:dyDescent="0.3">
      <c r="A997">
        <v>2734</v>
      </c>
      <c r="B997">
        <v>75000</v>
      </c>
      <c r="C997" t="s">
        <v>14</v>
      </c>
      <c r="D997">
        <v>0</v>
      </c>
      <c r="E997">
        <v>1</v>
      </c>
      <c r="F997">
        <v>0</v>
      </c>
      <c r="G997">
        <v>1</v>
      </c>
      <c r="H997">
        <v>0</v>
      </c>
      <c r="I997" t="s">
        <v>17</v>
      </c>
      <c r="J997">
        <v>1</v>
      </c>
      <c r="K997">
        <v>0</v>
      </c>
    </row>
    <row r="998" spans="1:11" x14ac:dyDescent="0.3">
      <c r="A998">
        <v>2735</v>
      </c>
      <c r="B998">
        <v>150000</v>
      </c>
      <c r="C998" t="s">
        <v>14</v>
      </c>
      <c r="D998">
        <v>0</v>
      </c>
      <c r="E998">
        <v>1</v>
      </c>
      <c r="F998">
        <v>0</v>
      </c>
      <c r="G998">
        <v>1</v>
      </c>
      <c r="H998">
        <v>0</v>
      </c>
      <c r="I998" t="s">
        <v>17</v>
      </c>
      <c r="J998">
        <v>1</v>
      </c>
      <c r="K998">
        <v>0</v>
      </c>
    </row>
    <row r="999" spans="1:11" x14ac:dyDescent="0.3">
      <c r="A999">
        <v>2738</v>
      </c>
      <c r="B999">
        <v>125000</v>
      </c>
      <c r="C999" t="s">
        <v>14</v>
      </c>
      <c r="D999">
        <v>0</v>
      </c>
      <c r="E999">
        <v>0</v>
      </c>
      <c r="F999">
        <v>0</v>
      </c>
      <c r="G999">
        <v>1</v>
      </c>
      <c r="H999">
        <v>0</v>
      </c>
      <c r="I999" t="s">
        <v>17</v>
      </c>
      <c r="J999">
        <v>1</v>
      </c>
      <c r="K999">
        <v>0</v>
      </c>
    </row>
    <row r="1000" spans="1:11" x14ac:dyDescent="0.3">
      <c r="A1000">
        <v>2739</v>
      </c>
      <c r="B1000">
        <v>150000</v>
      </c>
      <c r="C1000" t="s">
        <v>14</v>
      </c>
      <c r="D1000">
        <v>0</v>
      </c>
      <c r="E1000">
        <v>1</v>
      </c>
      <c r="F1000">
        <v>0</v>
      </c>
      <c r="G1000">
        <v>1</v>
      </c>
      <c r="H1000">
        <v>0</v>
      </c>
      <c r="I1000" t="s">
        <v>17</v>
      </c>
      <c r="J1000">
        <v>1</v>
      </c>
      <c r="K1000">
        <v>0</v>
      </c>
    </row>
    <row r="1001" spans="1:11" x14ac:dyDescent="0.3">
      <c r="A1001">
        <v>2740</v>
      </c>
      <c r="B1001">
        <v>125000</v>
      </c>
      <c r="C1001" t="s">
        <v>14</v>
      </c>
      <c r="D1001">
        <v>0</v>
      </c>
      <c r="E1001">
        <v>1</v>
      </c>
      <c r="F1001">
        <v>0</v>
      </c>
      <c r="G1001">
        <v>1</v>
      </c>
      <c r="H1001">
        <v>0</v>
      </c>
      <c r="I1001" t="s">
        <v>17</v>
      </c>
      <c r="J1001">
        <v>1</v>
      </c>
      <c r="K1001">
        <v>0</v>
      </c>
    </row>
    <row r="1002" spans="1:11" x14ac:dyDescent="0.3">
      <c r="A1002">
        <v>2744</v>
      </c>
      <c r="B1002">
        <v>50000</v>
      </c>
      <c r="C1002" t="s">
        <v>14</v>
      </c>
      <c r="D1002">
        <v>0</v>
      </c>
      <c r="E1002">
        <v>1</v>
      </c>
      <c r="F1002">
        <v>0</v>
      </c>
      <c r="G1002">
        <v>1</v>
      </c>
      <c r="H1002">
        <v>0</v>
      </c>
      <c r="I1002" t="s">
        <v>17</v>
      </c>
      <c r="J1002">
        <v>1</v>
      </c>
      <c r="K1002">
        <v>0</v>
      </c>
    </row>
    <row r="1003" spans="1:11" x14ac:dyDescent="0.3">
      <c r="A1003">
        <v>2754</v>
      </c>
      <c r="B1003">
        <v>18000</v>
      </c>
      <c r="C1003" t="s">
        <v>14</v>
      </c>
      <c r="D1003">
        <v>0</v>
      </c>
      <c r="E1003">
        <v>0</v>
      </c>
      <c r="F1003">
        <v>0</v>
      </c>
      <c r="G1003">
        <v>0</v>
      </c>
      <c r="H1003">
        <v>1</v>
      </c>
      <c r="I1003" t="s">
        <v>18</v>
      </c>
      <c r="J1003">
        <v>0</v>
      </c>
      <c r="K1003">
        <v>0</v>
      </c>
    </row>
    <row r="1004" spans="1:11" x14ac:dyDescent="0.3">
      <c r="A1004">
        <v>2755</v>
      </c>
      <c r="B1004">
        <v>38793.103450000002</v>
      </c>
      <c r="C1004" t="s">
        <v>14</v>
      </c>
      <c r="D1004">
        <v>0</v>
      </c>
      <c r="E1004">
        <v>0</v>
      </c>
      <c r="F1004">
        <v>0</v>
      </c>
      <c r="G1004">
        <v>0</v>
      </c>
      <c r="H1004">
        <v>1</v>
      </c>
      <c r="I1004" t="s">
        <v>18</v>
      </c>
      <c r="J1004">
        <v>1</v>
      </c>
      <c r="K1004">
        <v>0</v>
      </c>
    </row>
    <row r="1005" spans="1:11" x14ac:dyDescent="0.3">
      <c r="A1005">
        <v>2760</v>
      </c>
      <c r="B1005">
        <v>121621.6216</v>
      </c>
      <c r="C1005" t="s">
        <v>14</v>
      </c>
      <c r="D1005">
        <v>0</v>
      </c>
      <c r="E1005">
        <v>0</v>
      </c>
      <c r="F1005">
        <v>0</v>
      </c>
      <c r="G1005">
        <v>0</v>
      </c>
      <c r="H1005">
        <v>1</v>
      </c>
      <c r="I1005" t="s">
        <v>18</v>
      </c>
      <c r="J1005">
        <v>1</v>
      </c>
      <c r="K1005">
        <v>0</v>
      </c>
    </row>
    <row r="1006" spans="1:11" x14ac:dyDescent="0.3">
      <c r="A1006">
        <v>2763</v>
      </c>
      <c r="B1006">
        <v>3750</v>
      </c>
      <c r="C1006" t="s">
        <v>14</v>
      </c>
      <c r="D1006">
        <v>0</v>
      </c>
      <c r="E1006">
        <v>0</v>
      </c>
      <c r="F1006">
        <v>0</v>
      </c>
      <c r="G1006">
        <v>0</v>
      </c>
      <c r="H1006">
        <v>1</v>
      </c>
      <c r="I1006" t="s">
        <v>18</v>
      </c>
      <c r="J1006">
        <v>1</v>
      </c>
      <c r="K1006">
        <v>0</v>
      </c>
    </row>
    <row r="1007" spans="1:11" x14ac:dyDescent="0.3">
      <c r="A1007">
        <v>2767</v>
      </c>
      <c r="B1007">
        <v>22500</v>
      </c>
      <c r="C1007" t="s">
        <v>14</v>
      </c>
      <c r="D1007">
        <v>0</v>
      </c>
      <c r="E1007">
        <v>0</v>
      </c>
      <c r="F1007">
        <v>0</v>
      </c>
      <c r="G1007">
        <v>0</v>
      </c>
      <c r="H1007">
        <v>1</v>
      </c>
      <c r="I1007" t="s">
        <v>18</v>
      </c>
      <c r="J1007">
        <v>1</v>
      </c>
      <c r="K1007">
        <v>0</v>
      </c>
    </row>
    <row r="1008" spans="1:11" x14ac:dyDescent="0.3">
      <c r="A1008">
        <v>2771</v>
      </c>
      <c r="B1008">
        <v>20930.23256</v>
      </c>
      <c r="C1008" t="s">
        <v>14</v>
      </c>
      <c r="D1008">
        <v>0</v>
      </c>
      <c r="E1008">
        <v>0</v>
      </c>
      <c r="F1008">
        <v>0</v>
      </c>
      <c r="G1008">
        <v>0</v>
      </c>
      <c r="H1008">
        <v>1</v>
      </c>
      <c r="I1008" t="s">
        <v>18</v>
      </c>
      <c r="J1008">
        <v>0</v>
      </c>
      <c r="K1008">
        <v>0</v>
      </c>
    </row>
    <row r="1009" spans="1:11" x14ac:dyDescent="0.3">
      <c r="A1009">
        <v>2772</v>
      </c>
      <c r="B1009">
        <v>37500</v>
      </c>
      <c r="C1009" t="s">
        <v>14</v>
      </c>
      <c r="D1009">
        <v>0</v>
      </c>
      <c r="E1009">
        <v>0</v>
      </c>
      <c r="F1009">
        <v>0</v>
      </c>
      <c r="G1009">
        <v>0</v>
      </c>
      <c r="H1009">
        <v>1</v>
      </c>
      <c r="I1009" t="s">
        <v>18</v>
      </c>
      <c r="J1009">
        <v>1</v>
      </c>
      <c r="K1009">
        <v>0</v>
      </c>
    </row>
    <row r="1010" spans="1:11" x14ac:dyDescent="0.3">
      <c r="A1010">
        <v>2773</v>
      </c>
      <c r="B1010">
        <v>93846.153850000002</v>
      </c>
      <c r="C1010" t="s">
        <v>14</v>
      </c>
      <c r="D1010">
        <v>0</v>
      </c>
      <c r="E1010">
        <v>0</v>
      </c>
      <c r="F1010">
        <v>0</v>
      </c>
      <c r="G1010">
        <v>0</v>
      </c>
      <c r="H1010">
        <v>1</v>
      </c>
      <c r="I1010" t="s">
        <v>18</v>
      </c>
      <c r="J1010">
        <v>1</v>
      </c>
      <c r="K1010">
        <v>0</v>
      </c>
    </row>
    <row r="1011" spans="1:11" x14ac:dyDescent="0.3">
      <c r="A1011">
        <v>2779</v>
      </c>
      <c r="B1011">
        <v>-3289.473684</v>
      </c>
      <c r="C1011" t="s">
        <v>14</v>
      </c>
      <c r="D1011">
        <v>0</v>
      </c>
      <c r="E1011">
        <v>0</v>
      </c>
      <c r="F1011">
        <v>0</v>
      </c>
      <c r="G1011">
        <v>0</v>
      </c>
      <c r="H1011">
        <v>1</v>
      </c>
      <c r="I1011" t="s">
        <v>18</v>
      </c>
      <c r="J1011">
        <v>1</v>
      </c>
      <c r="K1011">
        <v>0</v>
      </c>
    </row>
    <row r="1012" spans="1:11" x14ac:dyDescent="0.3">
      <c r="A1012">
        <v>2791</v>
      </c>
      <c r="B1012">
        <v>-4926.1083740000004</v>
      </c>
      <c r="C1012" t="s">
        <v>14</v>
      </c>
      <c r="D1012">
        <v>0</v>
      </c>
      <c r="E1012">
        <v>0</v>
      </c>
      <c r="F1012">
        <v>0</v>
      </c>
      <c r="G1012">
        <v>0</v>
      </c>
      <c r="H1012">
        <v>1</v>
      </c>
      <c r="I1012" t="s">
        <v>18</v>
      </c>
      <c r="J1012">
        <v>1</v>
      </c>
      <c r="K1012">
        <v>0</v>
      </c>
    </row>
    <row r="1013" spans="1:11" x14ac:dyDescent="0.3">
      <c r="A1013">
        <v>2851</v>
      </c>
      <c r="B1013">
        <v>9090.9090909999995</v>
      </c>
      <c r="C1013" t="s">
        <v>14</v>
      </c>
      <c r="D1013">
        <v>0</v>
      </c>
      <c r="E1013">
        <v>0</v>
      </c>
      <c r="F1013">
        <v>0</v>
      </c>
      <c r="G1013">
        <v>0</v>
      </c>
      <c r="H1013">
        <v>1</v>
      </c>
      <c r="I1013" t="s">
        <v>18</v>
      </c>
      <c r="J1013">
        <v>1</v>
      </c>
      <c r="K1013">
        <v>0</v>
      </c>
    </row>
    <row r="1014" spans="1:11" x14ac:dyDescent="0.3">
      <c r="A1014">
        <v>2853</v>
      </c>
      <c r="B1014">
        <v>-4761.9047620000001</v>
      </c>
      <c r="C1014" t="s">
        <v>14</v>
      </c>
      <c r="D1014">
        <v>0</v>
      </c>
      <c r="E1014">
        <v>0</v>
      </c>
      <c r="F1014">
        <v>0</v>
      </c>
      <c r="G1014">
        <v>0</v>
      </c>
      <c r="H1014">
        <v>1</v>
      </c>
      <c r="I1014" t="s">
        <v>18</v>
      </c>
      <c r="J1014">
        <v>1</v>
      </c>
      <c r="K1014">
        <v>0</v>
      </c>
    </row>
    <row r="1015" spans="1:11" x14ac:dyDescent="0.3">
      <c r="A1015">
        <v>2865</v>
      </c>
      <c r="B1015">
        <v>16666.666669999999</v>
      </c>
      <c r="C1015" t="s">
        <v>14</v>
      </c>
      <c r="D1015">
        <v>0</v>
      </c>
      <c r="E1015">
        <v>0</v>
      </c>
      <c r="F1015">
        <v>0</v>
      </c>
      <c r="G1015">
        <v>0</v>
      </c>
      <c r="H1015">
        <v>1</v>
      </c>
      <c r="I1015" t="s">
        <v>18</v>
      </c>
      <c r="J1015">
        <v>1</v>
      </c>
      <c r="K1015">
        <v>0</v>
      </c>
    </row>
    <row r="1016" spans="1:11" x14ac:dyDescent="0.3">
      <c r="A1016">
        <v>2867</v>
      </c>
      <c r="B1016">
        <v>1492.537313</v>
      </c>
      <c r="C1016" t="s">
        <v>14</v>
      </c>
      <c r="D1016">
        <v>0</v>
      </c>
      <c r="E1016">
        <v>0</v>
      </c>
      <c r="F1016">
        <v>0</v>
      </c>
      <c r="G1016">
        <v>0</v>
      </c>
      <c r="H1016">
        <v>1</v>
      </c>
      <c r="I1016" t="s">
        <v>18</v>
      </c>
      <c r="J1016">
        <v>1</v>
      </c>
      <c r="K1016">
        <v>0</v>
      </c>
    </row>
    <row r="1017" spans="1:11" x14ac:dyDescent="0.3">
      <c r="A1017">
        <v>2868</v>
      </c>
      <c r="B1017">
        <v>2314.8148150000002</v>
      </c>
      <c r="C1017" t="s">
        <v>14</v>
      </c>
      <c r="D1017">
        <v>0</v>
      </c>
      <c r="E1017">
        <v>0</v>
      </c>
      <c r="F1017">
        <v>0</v>
      </c>
      <c r="G1017">
        <v>0</v>
      </c>
      <c r="H1017">
        <v>1</v>
      </c>
      <c r="I1017" t="s">
        <v>18</v>
      </c>
      <c r="J1017">
        <v>1</v>
      </c>
      <c r="K1017">
        <v>0</v>
      </c>
    </row>
    <row r="1018" spans="1:11" x14ac:dyDescent="0.3">
      <c r="A1018">
        <v>2869</v>
      </c>
      <c r="B1018">
        <v>-2314.8148150000002</v>
      </c>
      <c r="C1018" t="s">
        <v>14</v>
      </c>
      <c r="D1018">
        <v>0</v>
      </c>
      <c r="E1018">
        <v>0</v>
      </c>
      <c r="F1018">
        <v>0</v>
      </c>
      <c r="G1018">
        <v>0</v>
      </c>
      <c r="H1018">
        <v>1</v>
      </c>
      <c r="I1018" t="s">
        <v>18</v>
      </c>
      <c r="J1018">
        <v>1</v>
      </c>
      <c r="K1018">
        <v>0</v>
      </c>
    </row>
    <row r="1019" spans="1:11" x14ac:dyDescent="0.3">
      <c r="A1019">
        <v>2870</v>
      </c>
      <c r="B1019">
        <v>-16129.03226</v>
      </c>
      <c r="C1019" t="s">
        <v>14</v>
      </c>
      <c r="D1019">
        <v>0</v>
      </c>
      <c r="E1019">
        <v>0</v>
      </c>
      <c r="F1019">
        <v>0</v>
      </c>
      <c r="G1019">
        <v>0</v>
      </c>
      <c r="H1019">
        <v>1</v>
      </c>
      <c r="I1019" t="s">
        <v>18</v>
      </c>
      <c r="J1019">
        <v>1</v>
      </c>
      <c r="K1019">
        <v>0</v>
      </c>
    </row>
    <row r="1020" spans="1:11" x14ac:dyDescent="0.3">
      <c r="A1020">
        <v>2965</v>
      </c>
      <c r="B1020">
        <v>18181.818179999998</v>
      </c>
      <c r="C1020" t="s">
        <v>14</v>
      </c>
      <c r="D1020">
        <v>0</v>
      </c>
      <c r="E1020">
        <v>0</v>
      </c>
      <c r="F1020">
        <v>0</v>
      </c>
      <c r="G1020">
        <v>1</v>
      </c>
      <c r="H1020">
        <v>0</v>
      </c>
      <c r="I1020" t="s">
        <v>16</v>
      </c>
      <c r="J1020">
        <v>1</v>
      </c>
      <c r="K1020">
        <v>0</v>
      </c>
    </row>
    <row r="1021" spans="1:11" x14ac:dyDescent="0.3">
      <c r="A1021">
        <v>3757</v>
      </c>
      <c r="B1021">
        <v>16666.666669999999</v>
      </c>
      <c r="C1021" t="s">
        <v>14</v>
      </c>
      <c r="D1021">
        <v>0</v>
      </c>
      <c r="E1021">
        <v>0</v>
      </c>
      <c r="F1021">
        <v>0</v>
      </c>
      <c r="G1021">
        <v>1</v>
      </c>
      <c r="H1021">
        <v>0</v>
      </c>
      <c r="I1021" t="s">
        <v>13</v>
      </c>
      <c r="J1021">
        <v>1</v>
      </c>
      <c r="K1021">
        <v>0</v>
      </c>
    </row>
    <row r="1022" spans="1:11" x14ac:dyDescent="0.3">
      <c r="A1022">
        <v>2969</v>
      </c>
      <c r="B1022">
        <v>13636.36364</v>
      </c>
      <c r="C1022" t="s">
        <v>14</v>
      </c>
      <c r="D1022">
        <v>0</v>
      </c>
      <c r="E1022">
        <v>1</v>
      </c>
      <c r="F1022">
        <v>0</v>
      </c>
      <c r="G1022">
        <v>1</v>
      </c>
      <c r="H1022">
        <v>0</v>
      </c>
      <c r="I1022" t="s">
        <v>16</v>
      </c>
      <c r="J1022">
        <v>0</v>
      </c>
      <c r="K1022">
        <v>1</v>
      </c>
    </row>
    <row r="1023" spans="1:11" x14ac:dyDescent="0.3">
      <c r="A1023">
        <v>2970</v>
      </c>
      <c r="B1023">
        <v>16666.666669999999</v>
      </c>
      <c r="C1023" t="s">
        <v>14</v>
      </c>
      <c r="D1023">
        <v>0</v>
      </c>
      <c r="E1023">
        <v>1</v>
      </c>
      <c r="F1023">
        <v>0</v>
      </c>
      <c r="G1023">
        <v>0</v>
      </c>
      <c r="H1023">
        <v>1</v>
      </c>
      <c r="I1023" t="s">
        <v>16</v>
      </c>
      <c r="J1023">
        <v>0</v>
      </c>
      <c r="K1023">
        <v>1</v>
      </c>
    </row>
    <row r="1024" spans="1:11" x14ac:dyDescent="0.3">
      <c r="A1024">
        <v>2971</v>
      </c>
      <c r="B1024">
        <v>5882.3529410000001</v>
      </c>
      <c r="C1024" t="s">
        <v>14</v>
      </c>
      <c r="D1024">
        <v>0</v>
      </c>
      <c r="E1024">
        <v>1</v>
      </c>
      <c r="F1024">
        <v>0</v>
      </c>
      <c r="G1024">
        <v>1</v>
      </c>
      <c r="H1024">
        <v>0</v>
      </c>
      <c r="I1024" t="s">
        <v>16</v>
      </c>
      <c r="J1024">
        <v>0</v>
      </c>
      <c r="K1024">
        <v>1</v>
      </c>
    </row>
    <row r="1025" spans="1:11" x14ac:dyDescent="0.3">
      <c r="A1025">
        <v>2979</v>
      </c>
      <c r="B1025">
        <v>2500</v>
      </c>
      <c r="C1025" t="s">
        <v>12</v>
      </c>
      <c r="D1025">
        <v>1</v>
      </c>
      <c r="E1025">
        <v>0</v>
      </c>
      <c r="F1025">
        <v>0</v>
      </c>
      <c r="G1025">
        <v>0</v>
      </c>
      <c r="H1025">
        <v>1</v>
      </c>
      <c r="I1025" t="s">
        <v>16</v>
      </c>
      <c r="J1025">
        <v>0</v>
      </c>
      <c r="K1025">
        <v>1</v>
      </c>
    </row>
    <row r="1026" spans="1:11" x14ac:dyDescent="0.3">
      <c r="A1026">
        <v>3755</v>
      </c>
      <c r="B1026">
        <v>12500</v>
      </c>
      <c r="C1026" t="s">
        <v>14</v>
      </c>
      <c r="D1026">
        <v>0</v>
      </c>
      <c r="E1026">
        <v>0</v>
      </c>
      <c r="F1026">
        <v>0</v>
      </c>
      <c r="G1026">
        <v>1</v>
      </c>
      <c r="H1026">
        <v>0</v>
      </c>
      <c r="I1026" t="s">
        <v>13</v>
      </c>
      <c r="J1026">
        <v>1</v>
      </c>
      <c r="K1026">
        <v>0</v>
      </c>
    </row>
    <row r="1027" spans="1:11" x14ac:dyDescent="0.3">
      <c r="A1027">
        <v>3748</v>
      </c>
      <c r="B1027">
        <v>143884.8921</v>
      </c>
      <c r="C1027" t="s">
        <v>14</v>
      </c>
      <c r="D1027">
        <v>0</v>
      </c>
      <c r="E1027">
        <v>0</v>
      </c>
      <c r="F1027">
        <v>0</v>
      </c>
      <c r="G1027">
        <v>0</v>
      </c>
      <c r="H1027">
        <v>1</v>
      </c>
      <c r="I1027" t="s">
        <v>15</v>
      </c>
      <c r="J1027">
        <v>1</v>
      </c>
      <c r="K1027">
        <v>0</v>
      </c>
    </row>
    <row r="1028" spans="1:11" x14ac:dyDescent="0.3">
      <c r="A1028">
        <v>3742</v>
      </c>
      <c r="B1028">
        <v>150000</v>
      </c>
      <c r="C1028" t="s">
        <v>14</v>
      </c>
      <c r="D1028">
        <v>0</v>
      </c>
      <c r="E1028">
        <v>0</v>
      </c>
      <c r="F1028">
        <v>0</v>
      </c>
      <c r="G1028">
        <v>0</v>
      </c>
      <c r="H1028">
        <v>1</v>
      </c>
      <c r="I1028" t="s">
        <v>15</v>
      </c>
      <c r="J1028">
        <v>0</v>
      </c>
      <c r="K1028">
        <v>0</v>
      </c>
    </row>
    <row r="1029" spans="1:11" x14ac:dyDescent="0.3">
      <c r="A1029">
        <v>3050</v>
      </c>
      <c r="B1029">
        <v>58333.333330000001</v>
      </c>
      <c r="C1029" t="s">
        <v>14</v>
      </c>
      <c r="D1029">
        <v>0</v>
      </c>
      <c r="E1029">
        <v>0</v>
      </c>
      <c r="F1029">
        <v>0</v>
      </c>
      <c r="G1029">
        <v>0</v>
      </c>
      <c r="H1029">
        <v>1</v>
      </c>
      <c r="I1029" t="s">
        <v>18</v>
      </c>
      <c r="J1029">
        <v>1</v>
      </c>
      <c r="K1029">
        <v>0</v>
      </c>
    </row>
    <row r="1030" spans="1:11" x14ac:dyDescent="0.3">
      <c r="A1030">
        <v>3051</v>
      </c>
      <c r="B1030">
        <v>25000</v>
      </c>
      <c r="C1030" t="s">
        <v>14</v>
      </c>
      <c r="D1030">
        <v>0</v>
      </c>
      <c r="E1030">
        <v>0</v>
      </c>
      <c r="F1030">
        <v>0</v>
      </c>
      <c r="G1030">
        <v>0</v>
      </c>
      <c r="H1030">
        <v>1</v>
      </c>
      <c r="I1030" t="s">
        <v>18</v>
      </c>
      <c r="J1030">
        <v>1</v>
      </c>
      <c r="K1030">
        <v>0</v>
      </c>
    </row>
    <row r="1031" spans="1:11" x14ac:dyDescent="0.3">
      <c r="A1031">
        <v>3740</v>
      </c>
      <c r="B1031">
        <v>100000</v>
      </c>
      <c r="C1031" t="s">
        <v>14</v>
      </c>
      <c r="D1031">
        <v>0</v>
      </c>
      <c r="E1031">
        <v>0</v>
      </c>
      <c r="F1031">
        <v>0</v>
      </c>
      <c r="G1031">
        <v>0</v>
      </c>
      <c r="H1031">
        <v>1</v>
      </c>
      <c r="I1031" t="s">
        <v>15</v>
      </c>
      <c r="J1031">
        <v>1</v>
      </c>
      <c r="K1031">
        <v>0</v>
      </c>
    </row>
    <row r="1032" spans="1:11" x14ac:dyDescent="0.3">
      <c r="A1032">
        <v>3739</v>
      </c>
      <c r="B1032">
        <v>100000</v>
      </c>
      <c r="C1032" t="s">
        <v>14</v>
      </c>
      <c r="D1032">
        <v>0</v>
      </c>
      <c r="E1032">
        <v>0</v>
      </c>
      <c r="F1032">
        <v>0</v>
      </c>
      <c r="G1032">
        <v>0</v>
      </c>
      <c r="H1032">
        <v>1</v>
      </c>
      <c r="I1032" t="s">
        <v>15</v>
      </c>
      <c r="J1032">
        <v>1</v>
      </c>
      <c r="K1032">
        <v>1</v>
      </c>
    </row>
    <row r="1033" spans="1:11" x14ac:dyDescent="0.3">
      <c r="A1033">
        <v>3737</v>
      </c>
      <c r="B1033">
        <v>100000</v>
      </c>
      <c r="C1033" t="s">
        <v>14</v>
      </c>
      <c r="D1033">
        <v>0</v>
      </c>
      <c r="E1033">
        <v>0</v>
      </c>
      <c r="F1033">
        <v>0</v>
      </c>
      <c r="G1033">
        <v>0</v>
      </c>
      <c r="H1033">
        <v>1</v>
      </c>
      <c r="I1033" t="s">
        <v>15</v>
      </c>
      <c r="J1033">
        <v>1</v>
      </c>
      <c r="K1033">
        <v>0</v>
      </c>
    </row>
    <row r="1034" spans="1:11" x14ac:dyDescent="0.3">
      <c r="A1034">
        <v>3735</v>
      </c>
      <c r="B1034">
        <v>150000</v>
      </c>
      <c r="C1034" t="s">
        <v>14</v>
      </c>
      <c r="D1034">
        <v>0</v>
      </c>
      <c r="E1034">
        <v>0</v>
      </c>
      <c r="F1034">
        <v>0</v>
      </c>
      <c r="G1034">
        <v>0</v>
      </c>
      <c r="H1034">
        <v>1</v>
      </c>
      <c r="I1034" t="s">
        <v>15</v>
      </c>
      <c r="J1034">
        <v>1</v>
      </c>
      <c r="K1034">
        <v>0</v>
      </c>
    </row>
    <row r="1035" spans="1:11" x14ac:dyDescent="0.3">
      <c r="A1035">
        <v>3064</v>
      </c>
      <c r="B1035">
        <v>23809.523809999999</v>
      </c>
      <c r="C1035" t="s">
        <v>14</v>
      </c>
      <c r="D1035">
        <v>0</v>
      </c>
      <c r="E1035">
        <v>0</v>
      </c>
      <c r="F1035">
        <v>0</v>
      </c>
      <c r="G1035">
        <v>0</v>
      </c>
      <c r="H1035">
        <v>1</v>
      </c>
      <c r="I1035" t="s">
        <v>18</v>
      </c>
      <c r="J1035">
        <v>1</v>
      </c>
      <c r="K1035">
        <v>0</v>
      </c>
    </row>
    <row r="1036" spans="1:11" x14ac:dyDescent="0.3">
      <c r="A1036">
        <v>3733</v>
      </c>
      <c r="B1036">
        <v>83333.333329999994</v>
      </c>
      <c r="C1036" t="s">
        <v>14</v>
      </c>
      <c r="D1036">
        <v>0</v>
      </c>
      <c r="E1036">
        <v>0</v>
      </c>
      <c r="F1036">
        <v>0</v>
      </c>
      <c r="G1036">
        <v>0</v>
      </c>
      <c r="H1036">
        <v>1</v>
      </c>
      <c r="I1036" t="s">
        <v>15</v>
      </c>
      <c r="J1036">
        <v>1</v>
      </c>
      <c r="K1036">
        <v>0</v>
      </c>
    </row>
    <row r="1037" spans="1:11" x14ac:dyDescent="0.3">
      <c r="A1037">
        <v>3096</v>
      </c>
      <c r="B1037">
        <v>140000</v>
      </c>
      <c r="C1037" t="s">
        <v>14</v>
      </c>
      <c r="D1037">
        <v>0</v>
      </c>
      <c r="E1037">
        <v>0</v>
      </c>
      <c r="F1037">
        <v>0</v>
      </c>
      <c r="G1037">
        <v>1</v>
      </c>
      <c r="H1037">
        <v>0</v>
      </c>
      <c r="I1037" t="s">
        <v>17</v>
      </c>
      <c r="J1037">
        <v>1</v>
      </c>
      <c r="K1037">
        <v>0</v>
      </c>
    </row>
    <row r="1038" spans="1:11" x14ac:dyDescent="0.3">
      <c r="A1038">
        <v>3101</v>
      </c>
      <c r="B1038">
        <v>150000</v>
      </c>
      <c r="C1038" t="s">
        <v>14</v>
      </c>
      <c r="D1038">
        <v>0</v>
      </c>
      <c r="E1038">
        <v>1</v>
      </c>
      <c r="F1038">
        <v>0</v>
      </c>
      <c r="G1038">
        <v>1</v>
      </c>
      <c r="H1038">
        <v>0</v>
      </c>
      <c r="I1038" t="s">
        <v>17</v>
      </c>
      <c r="J1038">
        <v>0</v>
      </c>
      <c r="K1038">
        <v>0</v>
      </c>
    </row>
    <row r="1039" spans="1:11" x14ac:dyDescent="0.3">
      <c r="A1039">
        <v>3105</v>
      </c>
      <c r="B1039">
        <v>150000</v>
      </c>
      <c r="C1039" t="s">
        <v>14</v>
      </c>
      <c r="D1039">
        <v>0</v>
      </c>
      <c r="E1039">
        <v>0</v>
      </c>
      <c r="F1039">
        <v>0</v>
      </c>
      <c r="G1039">
        <v>1</v>
      </c>
      <c r="H1039">
        <v>0</v>
      </c>
      <c r="I1039" t="s">
        <v>17</v>
      </c>
      <c r="J1039">
        <v>1</v>
      </c>
      <c r="K1039">
        <v>0</v>
      </c>
    </row>
    <row r="1040" spans="1:11" x14ac:dyDescent="0.3">
      <c r="A1040">
        <v>3106</v>
      </c>
      <c r="B1040">
        <v>150000</v>
      </c>
      <c r="C1040" t="s">
        <v>14</v>
      </c>
      <c r="D1040">
        <v>0</v>
      </c>
      <c r="E1040">
        <v>1</v>
      </c>
      <c r="F1040">
        <v>0</v>
      </c>
      <c r="G1040">
        <v>1</v>
      </c>
      <c r="H1040">
        <v>0</v>
      </c>
      <c r="I1040" t="s">
        <v>17</v>
      </c>
      <c r="J1040">
        <v>1</v>
      </c>
      <c r="K1040">
        <v>0</v>
      </c>
    </row>
    <row r="1041" spans="1:11" x14ac:dyDescent="0.3">
      <c r="A1041">
        <v>3108</v>
      </c>
      <c r="B1041">
        <v>125000</v>
      </c>
      <c r="C1041" t="s">
        <v>14</v>
      </c>
      <c r="D1041">
        <v>0</v>
      </c>
      <c r="E1041">
        <v>0</v>
      </c>
      <c r="F1041">
        <v>0</v>
      </c>
      <c r="G1041">
        <v>1</v>
      </c>
      <c r="H1041">
        <v>0</v>
      </c>
      <c r="I1041" t="s">
        <v>17</v>
      </c>
      <c r="J1041">
        <v>1</v>
      </c>
      <c r="K1041">
        <v>0</v>
      </c>
    </row>
    <row r="1042" spans="1:11" x14ac:dyDescent="0.3">
      <c r="A1042">
        <v>3110</v>
      </c>
      <c r="B1042">
        <v>-31250</v>
      </c>
      <c r="C1042" t="s">
        <v>14</v>
      </c>
      <c r="D1042">
        <v>0</v>
      </c>
      <c r="E1042">
        <v>1</v>
      </c>
      <c r="F1042">
        <v>0</v>
      </c>
      <c r="G1042">
        <v>1</v>
      </c>
      <c r="H1042">
        <v>0</v>
      </c>
      <c r="I1042" t="s">
        <v>17</v>
      </c>
      <c r="J1042">
        <v>1</v>
      </c>
      <c r="K1042">
        <v>0</v>
      </c>
    </row>
    <row r="1043" spans="1:11" x14ac:dyDescent="0.3">
      <c r="A1043">
        <v>3114</v>
      </c>
      <c r="B1043">
        <v>125000</v>
      </c>
      <c r="C1043" t="s">
        <v>14</v>
      </c>
      <c r="D1043">
        <v>0</v>
      </c>
      <c r="E1043">
        <v>0</v>
      </c>
      <c r="F1043">
        <v>0</v>
      </c>
      <c r="G1043">
        <v>1</v>
      </c>
      <c r="H1043">
        <v>0</v>
      </c>
      <c r="I1043" t="s">
        <v>17</v>
      </c>
      <c r="J1043">
        <v>1</v>
      </c>
      <c r="K1043">
        <v>0</v>
      </c>
    </row>
    <row r="1044" spans="1:11" x14ac:dyDescent="0.3">
      <c r="A1044">
        <v>3117</v>
      </c>
      <c r="B1044">
        <v>0</v>
      </c>
      <c r="C1044" t="s">
        <v>14</v>
      </c>
      <c r="D1044">
        <v>0</v>
      </c>
      <c r="E1044">
        <v>1</v>
      </c>
      <c r="F1044">
        <v>0</v>
      </c>
      <c r="G1044">
        <v>1</v>
      </c>
      <c r="H1044">
        <v>0</v>
      </c>
      <c r="I1044" t="s">
        <v>18</v>
      </c>
      <c r="J1044">
        <v>1</v>
      </c>
      <c r="K1044">
        <v>0</v>
      </c>
    </row>
    <row r="1045" spans="1:11" x14ac:dyDescent="0.3">
      <c r="A1045">
        <v>3121</v>
      </c>
      <c r="B1045">
        <v>-4166.6666670000004</v>
      </c>
      <c r="C1045" t="s">
        <v>14</v>
      </c>
      <c r="D1045">
        <v>0</v>
      </c>
      <c r="E1045">
        <v>0</v>
      </c>
      <c r="F1045">
        <v>0</v>
      </c>
      <c r="G1045">
        <v>0</v>
      </c>
      <c r="H1045">
        <v>1</v>
      </c>
      <c r="I1045" t="s">
        <v>18</v>
      </c>
      <c r="J1045">
        <v>0</v>
      </c>
      <c r="K1045">
        <v>0</v>
      </c>
    </row>
    <row r="1046" spans="1:11" x14ac:dyDescent="0.3">
      <c r="A1046">
        <v>3135</v>
      </c>
      <c r="B1046">
        <v>40909.090909999999</v>
      </c>
      <c r="C1046" t="s">
        <v>14</v>
      </c>
      <c r="D1046">
        <v>0</v>
      </c>
      <c r="E1046">
        <v>0</v>
      </c>
      <c r="F1046">
        <v>0</v>
      </c>
      <c r="G1046">
        <v>0</v>
      </c>
      <c r="H1046">
        <v>1</v>
      </c>
      <c r="I1046" t="s">
        <v>18</v>
      </c>
      <c r="J1046">
        <v>1</v>
      </c>
      <c r="K1046">
        <v>1</v>
      </c>
    </row>
    <row r="1047" spans="1:11" x14ac:dyDescent="0.3">
      <c r="A1047">
        <v>3139</v>
      </c>
      <c r="B1047">
        <v>42307.692309999999</v>
      </c>
      <c r="C1047" t="s">
        <v>14</v>
      </c>
      <c r="D1047">
        <v>0</v>
      </c>
      <c r="E1047">
        <v>0</v>
      </c>
      <c r="F1047">
        <v>0</v>
      </c>
      <c r="G1047">
        <v>0</v>
      </c>
      <c r="H1047">
        <v>1</v>
      </c>
      <c r="I1047" t="s">
        <v>18</v>
      </c>
      <c r="J1047">
        <v>1</v>
      </c>
      <c r="K1047">
        <v>1</v>
      </c>
    </row>
    <row r="1048" spans="1:11" x14ac:dyDescent="0.3">
      <c r="A1048">
        <v>3146</v>
      </c>
      <c r="B1048">
        <v>18333.333330000001</v>
      </c>
      <c r="C1048" t="s">
        <v>12</v>
      </c>
      <c r="D1048">
        <v>1</v>
      </c>
      <c r="E1048">
        <v>0</v>
      </c>
      <c r="F1048">
        <v>0</v>
      </c>
      <c r="G1048">
        <v>0</v>
      </c>
      <c r="H1048">
        <v>1</v>
      </c>
      <c r="I1048" t="s">
        <v>18</v>
      </c>
      <c r="J1048">
        <v>1</v>
      </c>
      <c r="K1048">
        <v>1</v>
      </c>
    </row>
    <row r="1049" spans="1:11" x14ac:dyDescent="0.3">
      <c r="A1049">
        <v>3148</v>
      </c>
      <c r="B1049">
        <v>125000</v>
      </c>
      <c r="C1049" t="s">
        <v>14</v>
      </c>
      <c r="D1049">
        <v>0</v>
      </c>
      <c r="E1049">
        <v>0</v>
      </c>
      <c r="F1049">
        <v>0</v>
      </c>
      <c r="G1049">
        <v>0</v>
      </c>
      <c r="H1049">
        <v>1</v>
      </c>
      <c r="I1049" t="s">
        <v>18</v>
      </c>
      <c r="J1049">
        <v>0</v>
      </c>
      <c r="K1049">
        <v>1</v>
      </c>
    </row>
    <row r="1050" spans="1:11" x14ac:dyDescent="0.3">
      <c r="A1050">
        <v>3150</v>
      </c>
      <c r="B1050">
        <v>35714.285709999996</v>
      </c>
      <c r="C1050" t="s">
        <v>14</v>
      </c>
      <c r="D1050">
        <v>0</v>
      </c>
      <c r="E1050">
        <v>0</v>
      </c>
      <c r="F1050">
        <v>0</v>
      </c>
      <c r="G1050">
        <v>0</v>
      </c>
      <c r="H1050">
        <v>1</v>
      </c>
      <c r="I1050" t="s">
        <v>18</v>
      </c>
      <c r="J1050">
        <v>1</v>
      </c>
      <c r="K1050">
        <v>1</v>
      </c>
    </row>
    <row r="1051" spans="1:11" x14ac:dyDescent="0.3">
      <c r="A1051">
        <v>3731</v>
      </c>
      <c r="B1051">
        <v>15000</v>
      </c>
      <c r="C1051" t="s">
        <v>14</v>
      </c>
      <c r="D1051">
        <v>0</v>
      </c>
      <c r="E1051">
        <v>0</v>
      </c>
      <c r="F1051">
        <v>0</v>
      </c>
      <c r="G1051">
        <v>1</v>
      </c>
      <c r="H1051">
        <v>0</v>
      </c>
      <c r="I1051" t="s">
        <v>16</v>
      </c>
      <c r="J1051">
        <v>1</v>
      </c>
      <c r="K1051">
        <v>0</v>
      </c>
    </row>
    <row r="1052" spans="1:11" x14ac:dyDescent="0.3">
      <c r="A1052">
        <v>3278</v>
      </c>
      <c r="B1052">
        <v>75000</v>
      </c>
      <c r="C1052" t="s">
        <v>14</v>
      </c>
      <c r="D1052">
        <v>0</v>
      </c>
      <c r="E1052">
        <v>1</v>
      </c>
      <c r="F1052">
        <v>0</v>
      </c>
      <c r="G1052">
        <v>1</v>
      </c>
      <c r="H1052">
        <v>0</v>
      </c>
      <c r="I1052" t="s">
        <v>17</v>
      </c>
      <c r="J1052">
        <v>1</v>
      </c>
      <c r="K1052">
        <v>0</v>
      </c>
    </row>
    <row r="1053" spans="1:11" x14ac:dyDescent="0.3">
      <c r="A1053">
        <v>3282</v>
      </c>
      <c r="B1053">
        <v>-12500</v>
      </c>
      <c r="C1053" t="s">
        <v>14</v>
      </c>
      <c r="D1053">
        <v>0</v>
      </c>
      <c r="E1053">
        <v>1</v>
      </c>
      <c r="F1053">
        <v>0</v>
      </c>
      <c r="G1053">
        <v>1</v>
      </c>
      <c r="H1053">
        <v>0</v>
      </c>
      <c r="I1053" t="s">
        <v>17</v>
      </c>
      <c r="J1053">
        <v>1</v>
      </c>
      <c r="K1053">
        <v>0</v>
      </c>
    </row>
    <row r="1054" spans="1:11" x14ac:dyDescent="0.3">
      <c r="A1054">
        <v>3283</v>
      </c>
      <c r="B1054">
        <v>-5000</v>
      </c>
      <c r="C1054" t="s">
        <v>14</v>
      </c>
      <c r="D1054">
        <v>0</v>
      </c>
      <c r="E1054">
        <v>1</v>
      </c>
      <c r="F1054">
        <v>0</v>
      </c>
      <c r="G1054">
        <v>1</v>
      </c>
      <c r="H1054">
        <v>0</v>
      </c>
      <c r="I1054" t="s">
        <v>17</v>
      </c>
      <c r="J1054">
        <v>1</v>
      </c>
      <c r="K1054">
        <v>1</v>
      </c>
    </row>
    <row r="1055" spans="1:11" x14ac:dyDescent="0.3">
      <c r="A1055">
        <v>3285</v>
      </c>
      <c r="B1055">
        <v>-5000</v>
      </c>
      <c r="C1055" t="s">
        <v>14</v>
      </c>
      <c r="D1055">
        <v>0</v>
      </c>
      <c r="E1055">
        <v>0</v>
      </c>
      <c r="F1055">
        <v>0</v>
      </c>
      <c r="G1055">
        <v>1</v>
      </c>
      <c r="H1055">
        <v>0</v>
      </c>
      <c r="I1055" t="s">
        <v>17</v>
      </c>
      <c r="J1055">
        <v>0</v>
      </c>
      <c r="K1055">
        <v>0</v>
      </c>
    </row>
    <row r="1056" spans="1:11" x14ac:dyDescent="0.3">
      <c r="A1056">
        <v>3286</v>
      </c>
      <c r="B1056">
        <v>-5000</v>
      </c>
      <c r="C1056" t="s">
        <v>14</v>
      </c>
      <c r="D1056">
        <v>0</v>
      </c>
      <c r="E1056">
        <v>0</v>
      </c>
      <c r="F1056">
        <v>0</v>
      </c>
      <c r="G1056">
        <v>1</v>
      </c>
      <c r="H1056">
        <v>0</v>
      </c>
      <c r="I1056" t="s">
        <v>17</v>
      </c>
      <c r="J1056">
        <v>1</v>
      </c>
      <c r="K1056">
        <v>0</v>
      </c>
    </row>
    <row r="1057" spans="1:11" x14ac:dyDescent="0.3">
      <c r="A1057">
        <v>3287</v>
      </c>
      <c r="B1057">
        <v>-62500</v>
      </c>
      <c r="C1057" t="s">
        <v>14</v>
      </c>
      <c r="D1057">
        <v>0</v>
      </c>
      <c r="E1057">
        <v>0</v>
      </c>
      <c r="F1057">
        <v>0</v>
      </c>
      <c r="G1057">
        <v>1</v>
      </c>
      <c r="H1057">
        <v>0</v>
      </c>
      <c r="I1057" t="s">
        <v>17</v>
      </c>
      <c r="J1057">
        <v>1</v>
      </c>
      <c r="K1057">
        <v>0</v>
      </c>
    </row>
    <row r="1058" spans="1:11" x14ac:dyDescent="0.3">
      <c r="A1058">
        <v>3360</v>
      </c>
      <c r="B1058">
        <v>4761.9047620000001</v>
      </c>
      <c r="C1058" t="s">
        <v>14</v>
      </c>
      <c r="D1058">
        <v>0</v>
      </c>
      <c r="E1058">
        <v>0</v>
      </c>
      <c r="F1058">
        <v>0</v>
      </c>
      <c r="G1058">
        <v>0</v>
      </c>
      <c r="H1058">
        <v>1</v>
      </c>
      <c r="I1058" t="s">
        <v>18</v>
      </c>
      <c r="J1058">
        <v>1</v>
      </c>
      <c r="K1058">
        <v>0</v>
      </c>
    </row>
    <row r="1059" spans="1:11" x14ac:dyDescent="0.3">
      <c r="A1059">
        <v>3361</v>
      </c>
      <c r="B1059">
        <v>-8064.5161289999996</v>
      </c>
      <c r="C1059" t="s">
        <v>14</v>
      </c>
      <c r="D1059">
        <v>0</v>
      </c>
      <c r="E1059">
        <v>0</v>
      </c>
      <c r="F1059">
        <v>0</v>
      </c>
      <c r="G1059">
        <v>0</v>
      </c>
      <c r="H1059">
        <v>1</v>
      </c>
      <c r="I1059" t="s">
        <v>18</v>
      </c>
      <c r="J1059">
        <v>1</v>
      </c>
      <c r="K1059">
        <v>0</v>
      </c>
    </row>
    <row r="1060" spans="1:11" x14ac:dyDescent="0.3">
      <c r="A1060">
        <v>3363</v>
      </c>
      <c r="B1060">
        <v>8333.3333330000005</v>
      </c>
      <c r="C1060" t="s">
        <v>12</v>
      </c>
      <c r="D1060">
        <v>1</v>
      </c>
      <c r="E1060">
        <v>0</v>
      </c>
      <c r="F1060">
        <v>0</v>
      </c>
      <c r="G1060">
        <v>0</v>
      </c>
      <c r="H1060">
        <v>1</v>
      </c>
      <c r="I1060" t="s">
        <v>18</v>
      </c>
      <c r="J1060">
        <v>1</v>
      </c>
      <c r="K1060">
        <v>0</v>
      </c>
    </row>
    <row r="1061" spans="1:11" x14ac:dyDescent="0.3">
      <c r="A1061">
        <v>3365</v>
      </c>
      <c r="B1061">
        <v>-6521.7391299999999</v>
      </c>
      <c r="C1061" t="s">
        <v>14</v>
      </c>
      <c r="D1061">
        <v>0</v>
      </c>
      <c r="E1061">
        <v>0</v>
      </c>
      <c r="F1061">
        <v>0</v>
      </c>
      <c r="G1061">
        <v>0</v>
      </c>
      <c r="H1061">
        <v>1</v>
      </c>
      <c r="I1061" t="s">
        <v>18</v>
      </c>
      <c r="J1061">
        <v>1</v>
      </c>
      <c r="K1061">
        <v>0</v>
      </c>
    </row>
    <row r="1062" spans="1:11" x14ac:dyDescent="0.3">
      <c r="A1062">
        <v>3373</v>
      </c>
      <c r="B1062">
        <v>66666.666670000006</v>
      </c>
      <c r="C1062" t="s">
        <v>14</v>
      </c>
      <c r="D1062">
        <v>0</v>
      </c>
      <c r="E1062">
        <v>0</v>
      </c>
      <c r="F1062">
        <v>0</v>
      </c>
      <c r="G1062">
        <v>0</v>
      </c>
      <c r="H1062">
        <v>1</v>
      </c>
      <c r="I1062" t="s">
        <v>18</v>
      </c>
      <c r="J1062">
        <v>1</v>
      </c>
      <c r="K1062">
        <v>1</v>
      </c>
    </row>
    <row r="1063" spans="1:11" x14ac:dyDescent="0.3">
      <c r="A1063">
        <v>3729</v>
      </c>
      <c r="B1063">
        <v>66666.666670000006</v>
      </c>
      <c r="C1063" t="s">
        <v>14</v>
      </c>
      <c r="D1063">
        <v>0</v>
      </c>
      <c r="E1063">
        <v>0</v>
      </c>
      <c r="F1063">
        <v>0</v>
      </c>
      <c r="G1063">
        <v>1</v>
      </c>
      <c r="H1063">
        <v>0</v>
      </c>
      <c r="I1063" t="s">
        <v>16</v>
      </c>
      <c r="J1063">
        <v>1</v>
      </c>
      <c r="K1063">
        <v>0</v>
      </c>
    </row>
    <row r="1064" spans="1:11" x14ac:dyDescent="0.3">
      <c r="A1064">
        <v>3419</v>
      </c>
      <c r="B1064">
        <v>4000</v>
      </c>
      <c r="C1064" t="s">
        <v>14</v>
      </c>
      <c r="D1064">
        <v>0</v>
      </c>
      <c r="E1064">
        <v>0</v>
      </c>
      <c r="F1064">
        <v>0</v>
      </c>
      <c r="G1064">
        <v>0</v>
      </c>
      <c r="H1064">
        <v>1</v>
      </c>
      <c r="I1064" t="s">
        <v>18</v>
      </c>
      <c r="J1064">
        <v>1</v>
      </c>
      <c r="K1064">
        <v>0</v>
      </c>
    </row>
    <row r="1065" spans="1:11" x14ac:dyDescent="0.3">
      <c r="A1065">
        <v>3464</v>
      </c>
      <c r="B1065">
        <v>-11904.7619</v>
      </c>
      <c r="C1065" t="s">
        <v>14</v>
      </c>
      <c r="D1065">
        <v>0</v>
      </c>
      <c r="E1065">
        <v>1</v>
      </c>
      <c r="F1065">
        <v>0</v>
      </c>
      <c r="G1065">
        <v>0</v>
      </c>
      <c r="H1065">
        <v>1</v>
      </c>
      <c r="I1065" t="s">
        <v>18</v>
      </c>
      <c r="J1065">
        <v>1</v>
      </c>
      <c r="K1065">
        <v>0</v>
      </c>
    </row>
    <row r="1066" spans="1:11" x14ac:dyDescent="0.3">
      <c r="A1066">
        <v>3465</v>
      </c>
      <c r="B1066">
        <v>33333.333330000001</v>
      </c>
      <c r="C1066" t="s">
        <v>14</v>
      </c>
      <c r="D1066">
        <v>0</v>
      </c>
      <c r="E1066">
        <v>0</v>
      </c>
      <c r="F1066">
        <v>0</v>
      </c>
      <c r="G1066">
        <v>0</v>
      </c>
      <c r="H1066">
        <v>1</v>
      </c>
      <c r="I1066" t="s">
        <v>18</v>
      </c>
      <c r="J1066">
        <v>1</v>
      </c>
      <c r="K1066">
        <v>0</v>
      </c>
    </row>
    <row r="1067" spans="1:11" x14ac:dyDescent="0.3">
      <c r="A1067">
        <v>3480</v>
      </c>
      <c r="B1067">
        <v>10000</v>
      </c>
      <c r="C1067" t="s">
        <v>14</v>
      </c>
      <c r="D1067">
        <v>0</v>
      </c>
      <c r="E1067">
        <v>0</v>
      </c>
      <c r="F1067">
        <v>0</v>
      </c>
      <c r="G1067">
        <v>0</v>
      </c>
      <c r="H1067">
        <v>1</v>
      </c>
      <c r="I1067" t="s">
        <v>18</v>
      </c>
      <c r="J1067">
        <v>1</v>
      </c>
      <c r="K1067">
        <v>0</v>
      </c>
    </row>
    <row r="1068" spans="1:11" x14ac:dyDescent="0.3">
      <c r="A1068">
        <v>3576</v>
      </c>
      <c r="B1068">
        <v>34615.384619999997</v>
      </c>
      <c r="C1068" t="s">
        <v>14</v>
      </c>
      <c r="D1068">
        <v>0</v>
      </c>
      <c r="E1068">
        <v>0</v>
      </c>
      <c r="F1068">
        <v>0</v>
      </c>
      <c r="G1068">
        <v>0</v>
      </c>
      <c r="H1068">
        <v>1</v>
      </c>
      <c r="I1068" t="s">
        <v>18</v>
      </c>
      <c r="J1068">
        <v>1</v>
      </c>
      <c r="K1068">
        <v>1</v>
      </c>
    </row>
    <row r="1069" spans="1:11" x14ac:dyDescent="0.3">
      <c r="A1069">
        <v>3615</v>
      </c>
      <c r="B1069">
        <v>100000</v>
      </c>
      <c r="C1069" t="s">
        <v>14</v>
      </c>
      <c r="D1069">
        <v>0</v>
      </c>
      <c r="E1069">
        <v>0</v>
      </c>
      <c r="F1069">
        <v>0</v>
      </c>
      <c r="G1069">
        <v>0</v>
      </c>
      <c r="H1069">
        <v>1</v>
      </c>
      <c r="I1069" t="s">
        <v>15</v>
      </c>
      <c r="J1069">
        <v>1</v>
      </c>
      <c r="K1069">
        <v>0</v>
      </c>
    </row>
    <row r="1070" spans="1:11" x14ac:dyDescent="0.3">
      <c r="A1070">
        <v>3619</v>
      </c>
      <c r="B1070">
        <v>82857.142860000007</v>
      </c>
      <c r="C1070" t="s">
        <v>14</v>
      </c>
      <c r="D1070">
        <v>0</v>
      </c>
      <c r="E1070">
        <v>0</v>
      </c>
      <c r="F1070">
        <v>0</v>
      </c>
      <c r="G1070">
        <v>0</v>
      </c>
      <c r="H1070">
        <v>1</v>
      </c>
      <c r="I1070" t="s">
        <v>15</v>
      </c>
      <c r="J1070">
        <v>1</v>
      </c>
      <c r="K1070">
        <v>1</v>
      </c>
    </row>
    <row r="1071" spans="1:11" x14ac:dyDescent="0.3">
      <c r="A1071">
        <v>3620</v>
      </c>
      <c r="B1071">
        <v>145000</v>
      </c>
      <c r="C1071" t="s">
        <v>14</v>
      </c>
      <c r="D1071">
        <v>0</v>
      </c>
      <c r="E1071">
        <v>0</v>
      </c>
      <c r="F1071">
        <v>0</v>
      </c>
      <c r="G1071">
        <v>0</v>
      </c>
      <c r="H1071">
        <v>1</v>
      </c>
      <c r="I1071" t="s">
        <v>15</v>
      </c>
      <c r="J1071">
        <v>0</v>
      </c>
      <c r="K1071">
        <v>1</v>
      </c>
    </row>
    <row r="1072" spans="1:11" x14ac:dyDescent="0.3">
      <c r="A1072">
        <v>3621</v>
      </c>
      <c r="B1072">
        <v>50000</v>
      </c>
      <c r="C1072" t="s">
        <v>14</v>
      </c>
      <c r="D1072">
        <v>0</v>
      </c>
      <c r="E1072">
        <v>1</v>
      </c>
      <c r="F1072">
        <v>0</v>
      </c>
      <c r="G1072">
        <v>0</v>
      </c>
      <c r="H1072">
        <v>1</v>
      </c>
      <c r="I1072" t="s">
        <v>15</v>
      </c>
      <c r="J1072">
        <v>1</v>
      </c>
      <c r="K1072">
        <v>0</v>
      </c>
    </row>
    <row r="1073" spans="1:11" x14ac:dyDescent="0.3">
      <c r="A1073">
        <v>3625</v>
      </c>
      <c r="B1073">
        <v>66666.666670000006</v>
      </c>
      <c r="C1073" t="s">
        <v>14</v>
      </c>
      <c r="D1073">
        <v>0</v>
      </c>
      <c r="E1073">
        <v>0</v>
      </c>
      <c r="F1073">
        <v>0</v>
      </c>
      <c r="G1073">
        <v>0</v>
      </c>
      <c r="H1073">
        <v>1</v>
      </c>
      <c r="I1073" t="s">
        <v>15</v>
      </c>
      <c r="J1073">
        <v>1</v>
      </c>
      <c r="K1073">
        <v>0</v>
      </c>
    </row>
    <row r="1074" spans="1:11" x14ac:dyDescent="0.3">
      <c r="A1074">
        <v>3626</v>
      </c>
      <c r="B1074">
        <v>100000</v>
      </c>
      <c r="C1074" t="s">
        <v>14</v>
      </c>
      <c r="D1074">
        <v>0</v>
      </c>
      <c r="E1074">
        <v>0</v>
      </c>
      <c r="F1074">
        <v>0</v>
      </c>
      <c r="G1074">
        <v>0</v>
      </c>
      <c r="H1074">
        <v>1</v>
      </c>
      <c r="I1074" t="s">
        <v>15</v>
      </c>
      <c r="J1074">
        <v>1</v>
      </c>
      <c r="K1074">
        <v>1</v>
      </c>
    </row>
    <row r="1075" spans="1:11" x14ac:dyDescent="0.3">
      <c r="A1075">
        <v>3627</v>
      </c>
      <c r="B1075">
        <v>136363.63639999999</v>
      </c>
      <c r="C1075" t="s">
        <v>12</v>
      </c>
      <c r="D1075">
        <v>1</v>
      </c>
      <c r="E1075">
        <v>0</v>
      </c>
      <c r="F1075">
        <v>0</v>
      </c>
      <c r="G1075">
        <v>0</v>
      </c>
      <c r="H1075">
        <v>1</v>
      </c>
      <c r="I1075" t="s">
        <v>15</v>
      </c>
      <c r="J1075">
        <v>1</v>
      </c>
      <c r="K1075">
        <v>0</v>
      </c>
    </row>
    <row r="1076" spans="1:11" x14ac:dyDescent="0.3">
      <c r="A1076">
        <v>3631</v>
      </c>
      <c r="B1076">
        <v>-5714.2857139999996</v>
      </c>
      <c r="C1076" t="s">
        <v>14</v>
      </c>
      <c r="D1076">
        <v>0</v>
      </c>
      <c r="E1076">
        <v>0</v>
      </c>
      <c r="F1076">
        <v>0</v>
      </c>
      <c r="G1076">
        <v>0</v>
      </c>
      <c r="H1076">
        <v>1</v>
      </c>
      <c r="I1076" t="s">
        <v>15</v>
      </c>
      <c r="J1076">
        <v>1</v>
      </c>
      <c r="K1076">
        <v>1</v>
      </c>
    </row>
    <row r="1077" spans="1:11" x14ac:dyDescent="0.3">
      <c r="A1077">
        <v>3634</v>
      </c>
      <c r="B1077">
        <v>111111.11109999999</v>
      </c>
      <c r="C1077" t="s">
        <v>14</v>
      </c>
      <c r="D1077">
        <v>0</v>
      </c>
      <c r="E1077">
        <v>0</v>
      </c>
      <c r="F1077">
        <v>0</v>
      </c>
      <c r="G1077">
        <v>0</v>
      </c>
      <c r="H1077">
        <v>1</v>
      </c>
      <c r="I1077" t="s">
        <v>15</v>
      </c>
      <c r="J1077">
        <v>1</v>
      </c>
      <c r="K1077">
        <v>1</v>
      </c>
    </row>
    <row r="1078" spans="1:11" x14ac:dyDescent="0.3">
      <c r="A1078">
        <v>3635</v>
      </c>
      <c r="B1078">
        <v>100000</v>
      </c>
      <c r="C1078" t="s">
        <v>14</v>
      </c>
      <c r="D1078">
        <v>0</v>
      </c>
      <c r="E1078">
        <v>0</v>
      </c>
      <c r="F1078">
        <v>0</v>
      </c>
      <c r="G1078">
        <v>0</v>
      </c>
      <c r="H1078">
        <v>1</v>
      </c>
      <c r="I1078" t="s">
        <v>15</v>
      </c>
      <c r="J1078">
        <v>1</v>
      </c>
      <c r="K1078">
        <v>0</v>
      </c>
    </row>
    <row r="1079" spans="1:11" x14ac:dyDescent="0.3">
      <c r="A1079">
        <v>3636</v>
      </c>
      <c r="B1079">
        <v>136363.63639999999</v>
      </c>
      <c r="C1079" t="s">
        <v>14</v>
      </c>
      <c r="D1079">
        <v>0</v>
      </c>
      <c r="E1079">
        <v>0</v>
      </c>
      <c r="F1079">
        <v>0</v>
      </c>
      <c r="G1079">
        <v>0</v>
      </c>
      <c r="H1079">
        <v>1</v>
      </c>
      <c r="I1079" t="s">
        <v>15</v>
      </c>
      <c r="J1079">
        <v>1</v>
      </c>
      <c r="K1079">
        <v>0</v>
      </c>
    </row>
    <row r="1080" spans="1:11" x14ac:dyDescent="0.3">
      <c r="A1080">
        <v>3637</v>
      </c>
      <c r="B1080">
        <v>95000</v>
      </c>
      <c r="C1080" t="s">
        <v>14</v>
      </c>
      <c r="D1080">
        <v>0</v>
      </c>
      <c r="E1080">
        <v>0</v>
      </c>
      <c r="F1080">
        <v>0</v>
      </c>
      <c r="G1080">
        <v>0</v>
      </c>
      <c r="H1080">
        <v>1</v>
      </c>
      <c r="I1080" t="s">
        <v>15</v>
      </c>
      <c r="J1080">
        <v>1</v>
      </c>
      <c r="K1080">
        <v>1</v>
      </c>
    </row>
    <row r="1081" spans="1:11" x14ac:dyDescent="0.3">
      <c r="A1081">
        <v>3641</v>
      </c>
      <c r="B1081">
        <v>100000</v>
      </c>
      <c r="C1081" t="s">
        <v>12</v>
      </c>
      <c r="D1081">
        <v>1</v>
      </c>
      <c r="E1081">
        <v>0</v>
      </c>
      <c r="F1081">
        <v>0</v>
      </c>
      <c r="G1081">
        <v>0</v>
      </c>
      <c r="H1081">
        <v>1</v>
      </c>
      <c r="I1081" t="s">
        <v>15</v>
      </c>
      <c r="J1081">
        <v>1</v>
      </c>
      <c r="K1081">
        <v>1</v>
      </c>
    </row>
    <row r="1082" spans="1:11" x14ac:dyDescent="0.3">
      <c r="A1082">
        <v>3647</v>
      </c>
      <c r="B1082">
        <v>100000</v>
      </c>
      <c r="C1082" t="s">
        <v>14</v>
      </c>
      <c r="D1082">
        <v>0</v>
      </c>
      <c r="E1082">
        <v>0</v>
      </c>
      <c r="F1082">
        <v>0</v>
      </c>
      <c r="G1082">
        <v>0</v>
      </c>
      <c r="H1082">
        <v>1</v>
      </c>
      <c r="I1082" t="s">
        <v>15</v>
      </c>
      <c r="J1082">
        <v>1</v>
      </c>
      <c r="K1082">
        <v>0</v>
      </c>
    </row>
    <row r="1083" spans="1:11" x14ac:dyDescent="0.3">
      <c r="A1083">
        <v>3649</v>
      </c>
      <c r="B1083">
        <v>25000</v>
      </c>
      <c r="C1083" t="s">
        <v>14</v>
      </c>
      <c r="D1083">
        <v>0</v>
      </c>
      <c r="E1083">
        <v>0</v>
      </c>
      <c r="F1083">
        <v>0</v>
      </c>
      <c r="G1083">
        <v>0</v>
      </c>
      <c r="H1083">
        <v>1</v>
      </c>
      <c r="I1083" t="s">
        <v>15</v>
      </c>
      <c r="J1083">
        <v>1</v>
      </c>
      <c r="K1083">
        <v>0</v>
      </c>
    </row>
    <row r="1084" spans="1:11" x14ac:dyDescent="0.3">
      <c r="A1084">
        <v>3652</v>
      </c>
      <c r="B1084">
        <v>83333.333329999994</v>
      </c>
      <c r="C1084" t="s">
        <v>14</v>
      </c>
      <c r="D1084">
        <v>0</v>
      </c>
      <c r="E1084">
        <v>0</v>
      </c>
      <c r="F1084">
        <v>0</v>
      </c>
      <c r="G1084">
        <v>0</v>
      </c>
      <c r="H1084">
        <v>1</v>
      </c>
      <c r="I1084" t="s">
        <v>15</v>
      </c>
      <c r="J1084">
        <v>1</v>
      </c>
      <c r="K1084">
        <v>0</v>
      </c>
    </row>
    <row r="1085" spans="1:11" x14ac:dyDescent="0.3">
      <c r="A1085">
        <v>3653</v>
      </c>
      <c r="B1085">
        <v>36904.761899999998</v>
      </c>
      <c r="C1085" t="s">
        <v>14</v>
      </c>
      <c r="D1085">
        <v>0</v>
      </c>
      <c r="E1085">
        <v>0</v>
      </c>
      <c r="F1085">
        <v>0</v>
      </c>
      <c r="G1085">
        <v>0</v>
      </c>
      <c r="H1085">
        <v>1</v>
      </c>
      <c r="I1085" t="s">
        <v>15</v>
      </c>
      <c r="J1085">
        <v>1</v>
      </c>
      <c r="K1085">
        <v>0</v>
      </c>
    </row>
    <row r="1086" spans="1:11" x14ac:dyDescent="0.3">
      <c r="A1086">
        <v>3654</v>
      </c>
      <c r="B1086">
        <v>100000</v>
      </c>
      <c r="C1086" t="s">
        <v>12</v>
      </c>
      <c r="D1086">
        <v>1</v>
      </c>
      <c r="E1086">
        <v>0</v>
      </c>
      <c r="F1086">
        <v>0</v>
      </c>
      <c r="G1086">
        <v>0</v>
      </c>
      <c r="H1086">
        <v>1</v>
      </c>
      <c r="I1086" t="s">
        <v>15</v>
      </c>
      <c r="J1086">
        <v>1</v>
      </c>
      <c r="K1086">
        <v>0</v>
      </c>
    </row>
    <row r="1087" spans="1:11" x14ac:dyDescent="0.3">
      <c r="A1087">
        <v>3656</v>
      </c>
      <c r="B1087">
        <v>40000</v>
      </c>
      <c r="C1087" t="s">
        <v>14</v>
      </c>
      <c r="D1087">
        <v>0</v>
      </c>
      <c r="E1087">
        <v>0</v>
      </c>
      <c r="F1087">
        <v>0</v>
      </c>
      <c r="G1087">
        <v>0</v>
      </c>
      <c r="H1087">
        <v>1</v>
      </c>
      <c r="I1087" t="s">
        <v>15</v>
      </c>
      <c r="J1087">
        <v>1</v>
      </c>
      <c r="K1087">
        <v>0</v>
      </c>
    </row>
    <row r="1088" spans="1:11" x14ac:dyDescent="0.3">
      <c r="A1088">
        <v>3661</v>
      </c>
      <c r="B1088">
        <v>75000</v>
      </c>
      <c r="C1088" t="s">
        <v>14</v>
      </c>
      <c r="D1088">
        <v>0</v>
      </c>
      <c r="E1088">
        <v>0</v>
      </c>
      <c r="F1088">
        <v>0</v>
      </c>
      <c r="G1088">
        <v>0</v>
      </c>
      <c r="H1088">
        <v>1</v>
      </c>
      <c r="I1088" t="s">
        <v>15</v>
      </c>
      <c r="J1088">
        <v>1</v>
      </c>
      <c r="K1088">
        <v>0</v>
      </c>
    </row>
    <row r="1089" spans="1:11" x14ac:dyDescent="0.3">
      <c r="A1089">
        <v>3672</v>
      </c>
      <c r="B1089">
        <v>70093.457939999993</v>
      </c>
      <c r="C1089" t="s">
        <v>14</v>
      </c>
      <c r="D1089">
        <v>0</v>
      </c>
      <c r="E1089">
        <v>0</v>
      </c>
      <c r="F1089">
        <v>0</v>
      </c>
      <c r="G1089">
        <v>0</v>
      </c>
      <c r="H1089">
        <v>1</v>
      </c>
      <c r="I1089" t="s">
        <v>15</v>
      </c>
      <c r="J1089">
        <v>1</v>
      </c>
      <c r="K1089">
        <v>0</v>
      </c>
    </row>
    <row r="1090" spans="1:11" x14ac:dyDescent="0.3">
      <c r="A1090">
        <v>3725</v>
      </c>
      <c r="B1090">
        <v>15000</v>
      </c>
      <c r="C1090" t="s">
        <v>14</v>
      </c>
      <c r="D1090">
        <v>0</v>
      </c>
      <c r="E1090">
        <v>0</v>
      </c>
      <c r="F1090">
        <v>0</v>
      </c>
      <c r="G1090">
        <v>1</v>
      </c>
      <c r="H1090">
        <v>0</v>
      </c>
      <c r="I1090" t="s">
        <v>16</v>
      </c>
      <c r="J1090">
        <v>1</v>
      </c>
      <c r="K1090">
        <v>0</v>
      </c>
    </row>
    <row r="1091" spans="1:11" x14ac:dyDescent="0.3">
      <c r="A1091">
        <v>3674</v>
      </c>
      <c r="B1091">
        <v>83333.333329999994</v>
      </c>
      <c r="C1091" t="s">
        <v>14</v>
      </c>
      <c r="D1091">
        <v>0</v>
      </c>
      <c r="E1091">
        <v>0</v>
      </c>
      <c r="F1091">
        <v>0</v>
      </c>
      <c r="G1091">
        <v>0</v>
      </c>
      <c r="H1091">
        <v>1</v>
      </c>
      <c r="I1091" t="s">
        <v>15</v>
      </c>
      <c r="J1091">
        <v>1</v>
      </c>
      <c r="K1091">
        <v>0</v>
      </c>
    </row>
    <row r="1092" spans="1:11" x14ac:dyDescent="0.3">
      <c r="A1092">
        <v>3677</v>
      </c>
      <c r="B1092">
        <v>50000</v>
      </c>
      <c r="C1092" t="s">
        <v>14</v>
      </c>
      <c r="D1092">
        <v>0</v>
      </c>
      <c r="E1092">
        <v>0</v>
      </c>
      <c r="F1092">
        <v>0</v>
      </c>
      <c r="G1092">
        <v>0</v>
      </c>
      <c r="H1092">
        <v>1</v>
      </c>
      <c r="I1092" t="s">
        <v>15</v>
      </c>
      <c r="J1092">
        <v>1</v>
      </c>
      <c r="K1092">
        <v>0</v>
      </c>
    </row>
    <row r="1093" spans="1:11" x14ac:dyDescent="0.3">
      <c r="A1093">
        <v>3681</v>
      </c>
      <c r="B1093">
        <v>50000</v>
      </c>
      <c r="C1093" t="s">
        <v>12</v>
      </c>
      <c r="D1093">
        <v>1</v>
      </c>
      <c r="E1093">
        <v>0</v>
      </c>
      <c r="F1093">
        <v>0</v>
      </c>
      <c r="G1093">
        <v>0</v>
      </c>
      <c r="H1093">
        <v>1</v>
      </c>
      <c r="I1093" t="s">
        <v>15</v>
      </c>
      <c r="J1093">
        <v>0</v>
      </c>
      <c r="K1093">
        <v>0</v>
      </c>
    </row>
    <row r="1094" spans="1:11" x14ac:dyDescent="0.3">
      <c r="A1094">
        <v>3694</v>
      </c>
      <c r="B1094">
        <v>150000</v>
      </c>
      <c r="C1094" t="s">
        <v>12</v>
      </c>
      <c r="D1094">
        <v>1</v>
      </c>
      <c r="E1094">
        <v>0</v>
      </c>
      <c r="F1094">
        <v>0</v>
      </c>
      <c r="G1094">
        <v>0</v>
      </c>
      <c r="H1094">
        <v>1</v>
      </c>
      <c r="I1094" t="s">
        <v>15</v>
      </c>
      <c r="J1094">
        <v>1</v>
      </c>
      <c r="K1094">
        <v>0</v>
      </c>
    </row>
    <row r="1095" spans="1:11" x14ac:dyDescent="0.3">
      <c r="A1095">
        <v>3695</v>
      </c>
      <c r="B1095">
        <v>100000</v>
      </c>
      <c r="C1095" t="s">
        <v>14</v>
      </c>
      <c r="D1095">
        <v>0</v>
      </c>
      <c r="E1095">
        <v>0</v>
      </c>
      <c r="F1095">
        <v>0</v>
      </c>
      <c r="G1095">
        <v>0</v>
      </c>
      <c r="H1095">
        <v>1</v>
      </c>
      <c r="I1095" t="s">
        <v>15</v>
      </c>
      <c r="J1095">
        <v>1</v>
      </c>
      <c r="K1095">
        <v>0</v>
      </c>
    </row>
    <row r="1096" spans="1:11" x14ac:dyDescent="0.3">
      <c r="A1096">
        <v>3696</v>
      </c>
      <c r="B1096">
        <v>100000</v>
      </c>
      <c r="C1096" t="s">
        <v>12</v>
      </c>
      <c r="D1096">
        <v>1</v>
      </c>
      <c r="E1096">
        <v>0</v>
      </c>
      <c r="F1096">
        <v>0</v>
      </c>
      <c r="G1096">
        <v>0</v>
      </c>
      <c r="H1096">
        <v>1</v>
      </c>
      <c r="I1096" t="s">
        <v>15</v>
      </c>
      <c r="J1096">
        <v>1</v>
      </c>
      <c r="K1096">
        <v>0</v>
      </c>
    </row>
    <row r="1097" spans="1:11" x14ac:dyDescent="0.3">
      <c r="A1097">
        <v>3697</v>
      </c>
      <c r="B1097">
        <v>68493.150680000006</v>
      </c>
      <c r="C1097" t="s">
        <v>12</v>
      </c>
      <c r="D1097">
        <v>1</v>
      </c>
      <c r="E1097">
        <v>0</v>
      </c>
      <c r="F1097">
        <v>0</v>
      </c>
      <c r="G1097">
        <v>0</v>
      </c>
      <c r="H1097">
        <v>1</v>
      </c>
      <c r="I1097" t="s">
        <v>15</v>
      </c>
      <c r="J1097">
        <v>1</v>
      </c>
      <c r="K1097">
        <v>0</v>
      </c>
    </row>
    <row r="1098" spans="1:11" x14ac:dyDescent="0.3">
      <c r="A1098">
        <v>3699</v>
      </c>
      <c r="B1098">
        <v>100000</v>
      </c>
      <c r="C1098" t="s">
        <v>14</v>
      </c>
      <c r="D1098">
        <v>0</v>
      </c>
      <c r="E1098">
        <v>0</v>
      </c>
      <c r="F1098">
        <v>0</v>
      </c>
      <c r="G1098">
        <v>0</v>
      </c>
      <c r="H1098">
        <v>1</v>
      </c>
      <c r="I1098" t="s">
        <v>15</v>
      </c>
      <c r="J1098">
        <v>1</v>
      </c>
      <c r="K1098">
        <v>0</v>
      </c>
    </row>
    <row r="1099" spans="1:11" x14ac:dyDescent="0.3">
      <c r="A1099">
        <v>3704</v>
      </c>
      <c r="B1099">
        <v>136363.63639999999</v>
      </c>
      <c r="C1099" t="s">
        <v>14</v>
      </c>
      <c r="D1099">
        <v>0</v>
      </c>
      <c r="E1099">
        <v>0</v>
      </c>
      <c r="F1099">
        <v>0</v>
      </c>
      <c r="G1099">
        <v>0</v>
      </c>
      <c r="H1099">
        <v>1</v>
      </c>
      <c r="I1099" t="s">
        <v>15</v>
      </c>
      <c r="J1099">
        <v>1</v>
      </c>
      <c r="K1099">
        <v>0</v>
      </c>
    </row>
    <row r="1100" spans="1:11" x14ac:dyDescent="0.3">
      <c r="A1100">
        <v>3713</v>
      </c>
      <c r="B1100">
        <v>5000</v>
      </c>
      <c r="C1100" t="s">
        <v>14</v>
      </c>
      <c r="D1100">
        <v>0</v>
      </c>
      <c r="E1100">
        <v>0</v>
      </c>
      <c r="F1100">
        <v>0</v>
      </c>
      <c r="G1100">
        <v>0</v>
      </c>
      <c r="H1100">
        <v>1</v>
      </c>
      <c r="I1100" t="s">
        <v>16</v>
      </c>
      <c r="J1100">
        <v>0</v>
      </c>
      <c r="K1100">
        <v>1</v>
      </c>
    </row>
    <row r="1101" spans="1:11" x14ac:dyDescent="0.3">
      <c r="A1101">
        <v>3714</v>
      </c>
      <c r="B1101">
        <v>-40000</v>
      </c>
      <c r="C1101" t="s">
        <v>14</v>
      </c>
      <c r="D1101">
        <v>0</v>
      </c>
      <c r="E1101">
        <v>1</v>
      </c>
      <c r="F1101">
        <v>0</v>
      </c>
      <c r="G1101">
        <v>1</v>
      </c>
      <c r="H1101">
        <v>0</v>
      </c>
      <c r="I1101" t="s">
        <v>16</v>
      </c>
      <c r="J1101">
        <v>0</v>
      </c>
      <c r="K1101">
        <v>1</v>
      </c>
    </row>
    <row r="1102" spans="1:11" x14ac:dyDescent="0.3">
      <c r="A1102">
        <v>3715</v>
      </c>
      <c r="B1102">
        <v>30000</v>
      </c>
      <c r="C1102" t="s">
        <v>14</v>
      </c>
      <c r="D1102">
        <v>0</v>
      </c>
      <c r="E1102">
        <v>1</v>
      </c>
      <c r="F1102">
        <v>0</v>
      </c>
      <c r="G1102">
        <v>0</v>
      </c>
      <c r="H1102">
        <v>1</v>
      </c>
      <c r="I1102" t="s">
        <v>16</v>
      </c>
      <c r="J1102">
        <v>1</v>
      </c>
      <c r="K1102">
        <v>1</v>
      </c>
    </row>
    <row r="1103" spans="1:11" x14ac:dyDescent="0.3">
      <c r="A1103">
        <v>3720</v>
      </c>
      <c r="B1103">
        <v>3750</v>
      </c>
      <c r="C1103" t="s">
        <v>14</v>
      </c>
      <c r="D1103">
        <v>0</v>
      </c>
      <c r="E1103">
        <v>1</v>
      </c>
      <c r="F1103">
        <v>0</v>
      </c>
      <c r="G1103">
        <v>1</v>
      </c>
      <c r="H1103">
        <v>0</v>
      </c>
      <c r="I1103" t="s">
        <v>16</v>
      </c>
      <c r="J1103">
        <v>1</v>
      </c>
      <c r="K1103">
        <v>0</v>
      </c>
    </row>
    <row r="1104" spans="1:11" x14ac:dyDescent="0.3">
      <c r="A1104">
        <v>3721</v>
      </c>
      <c r="B1104">
        <v>25000</v>
      </c>
      <c r="C1104" t="s">
        <v>14</v>
      </c>
      <c r="D1104">
        <v>0</v>
      </c>
      <c r="E1104">
        <v>0</v>
      </c>
      <c r="F1104">
        <v>0</v>
      </c>
      <c r="G1104">
        <v>1</v>
      </c>
      <c r="H1104">
        <v>0</v>
      </c>
      <c r="I1104" t="s">
        <v>16</v>
      </c>
      <c r="J1104">
        <v>1</v>
      </c>
      <c r="K1104">
        <v>0</v>
      </c>
    </row>
    <row r="1105" spans="1:11" x14ac:dyDescent="0.3">
      <c r="A1105">
        <v>3722</v>
      </c>
      <c r="B1105">
        <v>7500</v>
      </c>
      <c r="C1105" t="s">
        <v>14</v>
      </c>
      <c r="D1105">
        <v>0</v>
      </c>
      <c r="E1105">
        <v>0</v>
      </c>
      <c r="F1105">
        <v>0</v>
      </c>
      <c r="G1105">
        <v>1</v>
      </c>
      <c r="H1105">
        <v>0</v>
      </c>
      <c r="I1105" t="s">
        <v>16</v>
      </c>
      <c r="J1105">
        <v>1</v>
      </c>
      <c r="K1105">
        <v>0</v>
      </c>
    </row>
    <row r="1106" spans="1:11" x14ac:dyDescent="0.3">
      <c r="A1106">
        <v>3724</v>
      </c>
      <c r="B1106">
        <v>15000</v>
      </c>
      <c r="C1106" t="s">
        <v>14</v>
      </c>
      <c r="D1106">
        <v>0</v>
      </c>
      <c r="E1106">
        <v>0</v>
      </c>
      <c r="F1106">
        <v>0</v>
      </c>
      <c r="G1106">
        <v>1</v>
      </c>
      <c r="H1106">
        <v>0</v>
      </c>
      <c r="I1106" t="s">
        <v>16</v>
      </c>
      <c r="J1106">
        <v>1</v>
      </c>
      <c r="K1106">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D9D84-C395-457C-B6A7-4B74430B82B3}">
  <dimension ref="A1:G6"/>
  <sheetViews>
    <sheetView workbookViewId="0">
      <selection activeCell="M5" sqref="M5"/>
    </sheetView>
  </sheetViews>
  <sheetFormatPr defaultRowHeight="14.4" x14ac:dyDescent="0.3"/>
  <cols>
    <col min="1" max="1" width="12.5546875" bestFit="1" customWidth="1"/>
    <col min="2" max="2" width="28.6640625" bestFit="1" customWidth="1"/>
  </cols>
  <sheetData>
    <row r="1" spans="1:7" ht="18" x14ac:dyDescent="0.35">
      <c r="D1" s="40" t="s">
        <v>90</v>
      </c>
      <c r="E1" s="41"/>
      <c r="F1" s="41"/>
      <c r="G1" s="41"/>
    </row>
    <row r="3" spans="1:7" x14ac:dyDescent="0.3">
      <c r="A3" s="4" t="s">
        <v>39</v>
      </c>
      <c r="B3" t="s">
        <v>40</v>
      </c>
    </row>
    <row r="4" spans="1:7" x14ac:dyDescent="0.3">
      <c r="A4" s="5">
        <v>0</v>
      </c>
      <c r="B4">
        <v>1103</v>
      </c>
    </row>
    <row r="5" spans="1:7" x14ac:dyDescent="0.3">
      <c r="A5" s="5">
        <v>1</v>
      </c>
      <c r="B5">
        <v>115</v>
      </c>
    </row>
    <row r="6" spans="1:7" x14ac:dyDescent="0.3">
      <c r="A6" s="5" t="s">
        <v>38</v>
      </c>
      <c r="B6">
        <v>1218</v>
      </c>
    </row>
  </sheetData>
  <mergeCells count="1">
    <mergeCell ref="D1:G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E7EF-32CF-4361-A408-2851108A1118}">
  <dimension ref="A1:P1219"/>
  <sheetViews>
    <sheetView workbookViewId="0">
      <selection activeCell="M3" sqref="M3"/>
    </sheetView>
  </sheetViews>
  <sheetFormatPr defaultRowHeight="14.4" x14ac:dyDescent="0.3"/>
  <cols>
    <col min="1" max="1" width="11.21875" customWidth="1"/>
    <col min="2" max="2" width="17.44140625" customWidth="1"/>
    <col min="5" max="5" width="22.33203125" customWidth="1"/>
    <col min="6" max="7" width="13.88671875" customWidth="1"/>
    <col min="8" max="8" width="21.21875" customWidth="1"/>
    <col min="10" max="10" width="12.88671875" customWidth="1"/>
    <col min="11" max="11" width="17.5546875" customWidth="1"/>
  </cols>
  <sheetData>
    <row r="1" spans="1:16" x14ac:dyDescent="0.3">
      <c r="A1" s="11" t="s">
        <v>1</v>
      </c>
      <c r="B1" s="12" t="s">
        <v>2</v>
      </c>
      <c r="C1" s="13" t="s">
        <v>3</v>
      </c>
      <c r="D1" s="13" t="s">
        <v>4</v>
      </c>
      <c r="E1" s="13" t="s">
        <v>5</v>
      </c>
      <c r="F1" s="13" t="s">
        <v>6</v>
      </c>
      <c r="G1" s="13" t="s">
        <v>7</v>
      </c>
      <c r="H1" s="13" t="s">
        <v>8</v>
      </c>
      <c r="I1" s="13" t="s">
        <v>9</v>
      </c>
      <c r="J1" s="13" t="s">
        <v>10</v>
      </c>
      <c r="K1" s="14" t="s">
        <v>11</v>
      </c>
      <c r="O1" s="12" t="s">
        <v>2</v>
      </c>
      <c r="P1" s="13" t="s">
        <v>6</v>
      </c>
    </row>
    <row r="2" spans="1:16" x14ac:dyDescent="0.3">
      <c r="A2" s="15">
        <v>5</v>
      </c>
      <c r="B2" s="16">
        <v>35937.5</v>
      </c>
      <c r="C2" s="17" t="s">
        <v>12</v>
      </c>
      <c r="D2" s="17">
        <v>1</v>
      </c>
      <c r="E2" s="17">
        <v>0</v>
      </c>
      <c r="F2" s="17">
        <v>0</v>
      </c>
      <c r="G2" s="17">
        <v>1</v>
      </c>
      <c r="H2" s="17">
        <v>0</v>
      </c>
      <c r="I2" s="17" t="s">
        <v>13</v>
      </c>
      <c r="J2" s="17">
        <v>1</v>
      </c>
      <c r="K2" s="18">
        <v>1</v>
      </c>
      <c r="O2" s="16">
        <v>35937.5</v>
      </c>
      <c r="P2" s="17">
        <v>0</v>
      </c>
    </row>
    <row r="3" spans="1:16" x14ac:dyDescent="0.3">
      <c r="A3" s="19">
        <v>8</v>
      </c>
      <c r="B3" s="20">
        <v>61264.82213</v>
      </c>
      <c r="C3" s="21" t="s">
        <v>14</v>
      </c>
      <c r="D3" s="21">
        <v>0</v>
      </c>
      <c r="E3" s="21">
        <v>1</v>
      </c>
      <c r="F3" s="21">
        <v>1</v>
      </c>
      <c r="G3" s="21">
        <v>1</v>
      </c>
      <c r="H3" s="21">
        <v>0</v>
      </c>
      <c r="I3" s="21" t="s">
        <v>13</v>
      </c>
      <c r="J3" s="21">
        <v>1</v>
      </c>
      <c r="K3" s="22">
        <v>0</v>
      </c>
      <c r="O3" s="20">
        <v>61264.82213</v>
      </c>
      <c r="P3" s="21">
        <v>1</v>
      </c>
    </row>
    <row r="4" spans="1:16" x14ac:dyDescent="0.3">
      <c r="A4" s="15">
        <v>10</v>
      </c>
      <c r="B4" s="16">
        <v>25000</v>
      </c>
      <c r="C4" s="17" t="s">
        <v>12</v>
      </c>
      <c r="D4" s="17">
        <v>1</v>
      </c>
      <c r="E4" s="17">
        <v>1</v>
      </c>
      <c r="F4" s="17">
        <v>0</v>
      </c>
      <c r="G4" s="17">
        <v>1</v>
      </c>
      <c r="H4" s="17">
        <v>0</v>
      </c>
      <c r="I4" s="17" t="s">
        <v>13</v>
      </c>
      <c r="J4" s="17">
        <v>1</v>
      </c>
      <c r="K4" s="18">
        <v>0</v>
      </c>
      <c r="O4" s="16">
        <v>25000</v>
      </c>
      <c r="P4" s="17">
        <v>0</v>
      </c>
    </row>
    <row r="5" spans="1:16" x14ac:dyDescent="0.3">
      <c r="A5" s="19">
        <v>18</v>
      </c>
      <c r="B5" s="20">
        <v>31111.111110000002</v>
      </c>
      <c r="C5" s="21" t="s">
        <v>14</v>
      </c>
      <c r="D5" s="21">
        <v>0</v>
      </c>
      <c r="E5" s="21">
        <v>1</v>
      </c>
      <c r="F5" s="21">
        <v>0</v>
      </c>
      <c r="G5" s="21">
        <v>0</v>
      </c>
      <c r="H5" s="21">
        <v>1</v>
      </c>
      <c r="I5" s="21" t="s">
        <v>13</v>
      </c>
      <c r="J5" s="21">
        <v>1</v>
      </c>
      <c r="K5" s="22">
        <v>1</v>
      </c>
      <c r="O5" s="20">
        <v>31111.111110000002</v>
      </c>
      <c r="P5" s="21">
        <v>0</v>
      </c>
    </row>
    <row r="6" spans="1:16" x14ac:dyDescent="0.3">
      <c r="A6" s="15">
        <v>19</v>
      </c>
      <c r="B6" s="16">
        <v>20161.29032</v>
      </c>
      <c r="C6" s="17" t="s">
        <v>14</v>
      </c>
      <c r="D6" s="17">
        <v>0</v>
      </c>
      <c r="E6" s="17">
        <v>1</v>
      </c>
      <c r="F6" s="17">
        <v>0</v>
      </c>
      <c r="G6" s="17">
        <v>1</v>
      </c>
      <c r="H6" s="17">
        <v>0</v>
      </c>
      <c r="I6" s="17" t="s">
        <v>13</v>
      </c>
      <c r="J6" s="17">
        <v>1</v>
      </c>
      <c r="K6" s="18">
        <v>0</v>
      </c>
      <c r="O6" s="16">
        <v>20161.29032</v>
      </c>
      <c r="P6" s="17">
        <v>0</v>
      </c>
    </row>
    <row r="7" spans="1:16" x14ac:dyDescent="0.3">
      <c r="A7" s="19">
        <v>21</v>
      </c>
      <c r="B7" s="20">
        <v>24000</v>
      </c>
      <c r="C7" s="21" t="s">
        <v>12</v>
      </c>
      <c r="D7" s="21">
        <v>1</v>
      </c>
      <c r="E7" s="21">
        <v>1</v>
      </c>
      <c r="F7" s="21">
        <v>0</v>
      </c>
      <c r="G7" s="21">
        <v>1</v>
      </c>
      <c r="H7" s="21">
        <v>0</v>
      </c>
      <c r="I7" s="21" t="s">
        <v>13</v>
      </c>
      <c r="J7" s="21">
        <v>1</v>
      </c>
      <c r="K7" s="22">
        <v>1</v>
      </c>
      <c r="O7" s="20">
        <v>24000</v>
      </c>
      <c r="P7" s="21">
        <v>0</v>
      </c>
    </row>
    <row r="8" spans="1:16" x14ac:dyDescent="0.3">
      <c r="A8" s="15">
        <v>24</v>
      </c>
      <c r="B8" s="16">
        <v>32500</v>
      </c>
      <c r="C8" s="17" t="s">
        <v>14</v>
      </c>
      <c r="D8" s="17">
        <v>0</v>
      </c>
      <c r="E8" s="17">
        <v>1</v>
      </c>
      <c r="F8" s="17">
        <v>1</v>
      </c>
      <c r="G8" s="17">
        <v>1</v>
      </c>
      <c r="H8" s="17">
        <v>0</v>
      </c>
      <c r="I8" s="17" t="s">
        <v>13</v>
      </c>
      <c r="J8" s="17">
        <v>1</v>
      </c>
      <c r="K8" s="18">
        <v>1</v>
      </c>
      <c r="O8" s="16">
        <v>32500</v>
      </c>
      <c r="P8" s="17">
        <v>1</v>
      </c>
    </row>
    <row r="9" spans="1:16" x14ac:dyDescent="0.3">
      <c r="A9" s="19">
        <v>25</v>
      </c>
      <c r="B9" s="20">
        <v>24444.444439999999</v>
      </c>
      <c r="C9" s="21" t="s">
        <v>12</v>
      </c>
      <c r="D9" s="21">
        <v>1</v>
      </c>
      <c r="E9" s="21">
        <v>1</v>
      </c>
      <c r="F9" s="21">
        <v>1</v>
      </c>
      <c r="G9" s="21">
        <v>1</v>
      </c>
      <c r="H9" s="21">
        <v>0</v>
      </c>
      <c r="I9" s="21" t="s">
        <v>13</v>
      </c>
      <c r="J9" s="21">
        <v>1</v>
      </c>
      <c r="K9" s="22">
        <v>1</v>
      </c>
      <c r="O9" s="20">
        <v>24444.444439999999</v>
      </c>
      <c r="P9" s="21">
        <v>1</v>
      </c>
    </row>
    <row r="10" spans="1:16" x14ac:dyDescent="0.3">
      <c r="A10" s="15">
        <v>26</v>
      </c>
      <c r="B10" s="16">
        <v>21739.130430000001</v>
      </c>
      <c r="C10" s="17" t="s">
        <v>14</v>
      </c>
      <c r="D10" s="17">
        <v>0</v>
      </c>
      <c r="E10" s="17">
        <v>1</v>
      </c>
      <c r="F10" s="17">
        <v>0</v>
      </c>
      <c r="G10" s="17">
        <v>1</v>
      </c>
      <c r="H10" s="17">
        <v>0</v>
      </c>
      <c r="I10" s="17" t="s">
        <v>13</v>
      </c>
      <c r="J10" s="17">
        <v>0</v>
      </c>
      <c r="K10" s="18">
        <v>1</v>
      </c>
      <c r="O10" s="16">
        <v>21739.130430000001</v>
      </c>
      <c r="P10" s="17">
        <v>0</v>
      </c>
    </row>
    <row r="11" spans="1:16" x14ac:dyDescent="0.3">
      <c r="A11" s="19">
        <v>27</v>
      </c>
      <c r="B11" s="20">
        <v>15000</v>
      </c>
      <c r="C11" s="21" t="s">
        <v>14</v>
      </c>
      <c r="D11" s="21">
        <v>0</v>
      </c>
      <c r="E11" s="21">
        <v>1</v>
      </c>
      <c r="F11" s="21">
        <v>0</v>
      </c>
      <c r="G11" s="21">
        <v>1</v>
      </c>
      <c r="H11" s="21">
        <v>0</v>
      </c>
      <c r="I11" s="21" t="s">
        <v>13</v>
      </c>
      <c r="J11" s="21">
        <v>1</v>
      </c>
      <c r="K11" s="22">
        <v>1</v>
      </c>
      <c r="O11" s="20">
        <v>15000</v>
      </c>
      <c r="P11" s="21">
        <v>0</v>
      </c>
    </row>
    <row r="12" spans="1:16" x14ac:dyDescent="0.3">
      <c r="A12" s="15">
        <v>29</v>
      </c>
      <c r="B12" s="16">
        <v>33333.333330000001</v>
      </c>
      <c r="C12" s="17" t="s">
        <v>14</v>
      </c>
      <c r="D12" s="17">
        <v>0</v>
      </c>
      <c r="E12" s="17">
        <v>1</v>
      </c>
      <c r="F12" s="17">
        <v>1</v>
      </c>
      <c r="G12" s="17">
        <v>1</v>
      </c>
      <c r="H12" s="17">
        <v>0</v>
      </c>
      <c r="I12" s="17" t="s">
        <v>13</v>
      </c>
      <c r="J12" s="17">
        <v>0</v>
      </c>
      <c r="K12" s="18">
        <v>1</v>
      </c>
      <c r="O12" s="16">
        <v>33333.333330000001</v>
      </c>
      <c r="P12" s="17">
        <v>1</v>
      </c>
    </row>
    <row r="13" spans="1:16" x14ac:dyDescent="0.3">
      <c r="A13" s="19">
        <v>31</v>
      </c>
      <c r="B13" s="20">
        <v>23255.81395</v>
      </c>
      <c r="C13" s="21" t="s">
        <v>14</v>
      </c>
      <c r="D13" s="21">
        <v>0</v>
      </c>
      <c r="E13" s="21">
        <v>1</v>
      </c>
      <c r="F13" s="21">
        <v>1</v>
      </c>
      <c r="G13" s="21">
        <v>1</v>
      </c>
      <c r="H13" s="21">
        <v>0</v>
      </c>
      <c r="I13" s="21" t="s">
        <v>13</v>
      </c>
      <c r="J13" s="21">
        <v>1</v>
      </c>
      <c r="K13" s="22">
        <v>0</v>
      </c>
      <c r="O13" s="20">
        <v>23255.81395</v>
      </c>
      <c r="P13" s="21">
        <v>1</v>
      </c>
    </row>
    <row r="14" spans="1:16" x14ac:dyDescent="0.3">
      <c r="A14" s="15">
        <v>32</v>
      </c>
      <c r="B14" s="16">
        <v>67500</v>
      </c>
      <c r="C14" s="17" t="s">
        <v>14</v>
      </c>
      <c r="D14" s="17">
        <v>0</v>
      </c>
      <c r="E14" s="17">
        <v>1</v>
      </c>
      <c r="F14" s="17">
        <v>1</v>
      </c>
      <c r="G14" s="17">
        <v>1</v>
      </c>
      <c r="H14" s="17">
        <v>0</v>
      </c>
      <c r="I14" s="17" t="s">
        <v>13</v>
      </c>
      <c r="J14" s="17">
        <v>1</v>
      </c>
      <c r="K14" s="18">
        <v>1</v>
      </c>
      <c r="O14" s="16">
        <v>67500</v>
      </c>
      <c r="P14" s="17">
        <v>1</v>
      </c>
    </row>
    <row r="15" spans="1:16" x14ac:dyDescent="0.3">
      <c r="A15" s="19">
        <v>33</v>
      </c>
      <c r="B15" s="20">
        <v>28888.888889999998</v>
      </c>
      <c r="C15" s="21" t="s">
        <v>14</v>
      </c>
      <c r="D15" s="21">
        <v>0</v>
      </c>
      <c r="E15" s="21">
        <v>1</v>
      </c>
      <c r="F15" s="21">
        <v>1</v>
      </c>
      <c r="G15" s="21">
        <v>1</v>
      </c>
      <c r="H15" s="21">
        <v>0</v>
      </c>
      <c r="I15" s="21" t="s">
        <v>13</v>
      </c>
      <c r="J15" s="21">
        <v>0</v>
      </c>
      <c r="K15" s="22">
        <v>1</v>
      </c>
      <c r="O15" s="20">
        <v>28888.888889999998</v>
      </c>
      <c r="P15" s="21">
        <v>1</v>
      </c>
    </row>
    <row r="16" spans="1:16" x14ac:dyDescent="0.3">
      <c r="A16" s="15">
        <v>35</v>
      </c>
      <c r="B16" s="16">
        <v>-12500</v>
      </c>
      <c r="C16" s="17" t="s">
        <v>14</v>
      </c>
      <c r="D16" s="17">
        <v>0</v>
      </c>
      <c r="E16" s="17">
        <v>1</v>
      </c>
      <c r="F16" s="17">
        <v>0</v>
      </c>
      <c r="G16" s="17">
        <v>1</v>
      </c>
      <c r="H16" s="17">
        <v>0</v>
      </c>
      <c r="I16" s="17" t="s">
        <v>13</v>
      </c>
      <c r="J16" s="17">
        <v>0</v>
      </c>
      <c r="K16" s="18">
        <v>1</v>
      </c>
      <c r="O16" s="16">
        <v>-12500</v>
      </c>
      <c r="P16" s="17">
        <v>0</v>
      </c>
    </row>
    <row r="17" spans="1:16" x14ac:dyDescent="0.3">
      <c r="A17" s="19">
        <v>38</v>
      </c>
      <c r="B17" s="20">
        <v>-833.33333330000005</v>
      </c>
      <c r="C17" s="21" t="s">
        <v>14</v>
      </c>
      <c r="D17" s="21">
        <v>0</v>
      </c>
      <c r="E17" s="21">
        <v>1</v>
      </c>
      <c r="F17" s="21">
        <v>0</v>
      </c>
      <c r="G17" s="21">
        <v>0</v>
      </c>
      <c r="H17" s="21">
        <v>1</v>
      </c>
      <c r="I17" s="21" t="s">
        <v>13</v>
      </c>
      <c r="J17" s="21">
        <v>1</v>
      </c>
      <c r="K17" s="22">
        <v>1</v>
      </c>
      <c r="O17" s="20">
        <v>-833.33333330000005</v>
      </c>
      <c r="P17" s="21">
        <v>0</v>
      </c>
    </row>
    <row r="18" spans="1:16" x14ac:dyDescent="0.3">
      <c r="A18" s="15">
        <v>58</v>
      </c>
      <c r="B18" s="16">
        <v>0</v>
      </c>
      <c r="C18" s="17" t="s">
        <v>14</v>
      </c>
      <c r="D18" s="17">
        <v>0</v>
      </c>
      <c r="E18" s="17">
        <v>1</v>
      </c>
      <c r="F18" s="17">
        <v>0</v>
      </c>
      <c r="G18" s="17">
        <v>0</v>
      </c>
      <c r="H18" s="17">
        <v>1</v>
      </c>
      <c r="I18" s="17" t="s">
        <v>13</v>
      </c>
      <c r="J18" s="17">
        <v>1</v>
      </c>
      <c r="K18" s="18">
        <v>1</v>
      </c>
      <c r="O18" s="16">
        <v>0</v>
      </c>
      <c r="P18" s="17">
        <v>0</v>
      </c>
    </row>
    <row r="19" spans="1:16" x14ac:dyDescent="0.3">
      <c r="A19" s="19">
        <v>59</v>
      </c>
      <c r="B19" s="20">
        <v>-2500</v>
      </c>
      <c r="C19" s="21" t="s">
        <v>14</v>
      </c>
      <c r="D19" s="21">
        <v>0</v>
      </c>
      <c r="E19" s="21">
        <v>1</v>
      </c>
      <c r="F19" s="21">
        <v>0</v>
      </c>
      <c r="G19" s="21">
        <v>0</v>
      </c>
      <c r="H19" s="21">
        <v>1</v>
      </c>
      <c r="I19" s="21" t="s">
        <v>13</v>
      </c>
      <c r="J19" s="21">
        <v>1</v>
      </c>
      <c r="K19" s="22">
        <v>1</v>
      </c>
      <c r="O19" s="20">
        <v>-2500</v>
      </c>
      <c r="P19" s="21">
        <v>0</v>
      </c>
    </row>
    <row r="20" spans="1:16" x14ac:dyDescent="0.3">
      <c r="A20" s="15">
        <v>60</v>
      </c>
      <c r="B20" s="16">
        <v>0</v>
      </c>
      <c r="C20" s="17" t="s">
        <v>14</v>
      </c>
      <c r="D20" s="17">
        <v>0</v>
      </c>
      <c r="E20" s="17">
        <v>0</v>
      </c>
      <c r="F20" s="17">
        <v>0</v>
      </c>
      <c r="G20" s="17">
        <v>1</v>
      </c>
      <c r="H20" s="17">
        <v>0</v>
      </c>
      <c r="I20" s="17" t="s">
        <v>13</v>
      </c>
      <c r="J20" s="17">
        <v>1</v>
      </c>
      <c r="K20" s="18">
        <v>0</v>
      </c>
      <c r="O20" s="16">
        <v>0</v>
      </c>
      <c r="P20" s="17">
        <v>0</v>
      </c>
    </row>
    <row r="21" spans="1:16" x14ac:dyDescent="0.3">
      <c r="A21" s="19">
        <v>63</v>
      </c>
      <c r="B21" s="20">
        <v>0</v>
      </c>
      <c r="C21" s="21" t="s">
        <v>14</v>
      </c>
      <c r="D21" s="21">
        <v>0</v>
      </c>
      <c r="E21" s="21">
        <v>1</v>
      </c>
      <c r="F21" s="21">
        <v>0</v>
      </c>
      <c r="G21" s="21">
        <v>1</v>
      </c>
      <c r="H21" s="21">
        <v>0</v>
      </c>
      <c r="I21" s="21" t="s">
        <v>13</v>
      </c>
      <c r="J21" s="21">
        <v>0</v>
      </c>
      <c r="K21" s="22">
        <v>1</v>
      </c>
      <c r="O21" s="20">
        <v>0</v>
      </c>
      <c r="P21" s="21">
        <v>0</v>
      </c>
    </row>
    <row r="22" spans="1:16" x14ac:dyDescent="0.3">
      <c r="A22" s="15">
        <v>64</v>
      </c>
      <c r="B22" s="16">
        <v>-5376.3440860000001</v>
      </c>
      <c r="C22" s="17" t="s">
        <v>14</v>
      </c>
      <c r="D22" s="17">
        <v>0</v>
      </c>
      <c r="E22" s="17">
        <v>0</v>
      </c>
      <c r="F22" s="17">
        <v>0</v>
      </c>
      <c r="G22" s="17">
        <v>0</v>
      </c>
      <c r="H22" s="17">
        <v>1</v>
      </c>
      <c r="I22" s="17" t="s">
        <v>13</v>
      </c>
      <c r="J22" s="17">
        <v>1</v>
      </c>
      <c r="K22" s="18">
        <v>0</v>
      </c>
      <c r="O22" s="16">
        <v>-5376.3440860000001</v>
      </c>
      <c r="P22" s="17">
        <v>0</v>
      </c>
    </row>
    <row r="23" spans="1:16" x14ac:dyDescent="0.3">
      <c r="A23" s="19">
        <v>65</v>
      </c>
      <c r="B23" s="20">
        <v>50000</v>
      </c>
      <c r="C23" s="21" t="s">
        <v>14</v>
      </c>
      <c r="D23" s="21">
        <v>0</v>
      </c>
      <c r="E23" s="21">
        <v>0</v>
      </c>
      <c r="F23" s="21">
        <v>0</v>
      </c>
      <c r="G23" s="21">
        <v>1</v>
      </c>
      <c r="H23" s="21">
        <v>0</v>
      </c>
      <c r="I23" s="21" t="s">
        <v>13</v>
      </c>
      <c r="J23" s="21">
        <v>1</v>
      </c>
      <c r="K23" s="22">
        <v>0</v>
      </c>
      <c r="O23" s="20">
        <v>50000</v>
      </c>
      <c r="P23" s="21">
        <v>0</v>
      </c>
    </row>
    <row r="24" spans="1:16" x14ac:dyDescent="0.3">
      <c r="A24" s="15">
        <v>66</v>
      </c>
      <c r="B24" s="16">
        <v>50000</v>
      </c>
      <c r="C24" s="17" t="s">
        <v>14</v>
      </c>
      <c r="D24" s="17">
        <v>0</v>
      </c>
      <c r="E24" s="17">
        <v>0</v>
      </c>
      <c r="F24" s="17">
        <v>0</v>
      </c>
      <c r="G24" s="17">
        <v>0</v>
      </c>
      <c r="H24" s="17">
        <v>1</v>
      </c>
      <c r="I24" s="17" t="s">
        <v>13</v>
      </c>
      <c r="J24" s="17">
        <v>1</v>
      </c>
      <c r="K24" s="18">
        <v>0</v>
      </c>
      <c r="O24" s="16">
        <v>50000</v>
      </c>
      <c r="P24" s="17">
        <v>0</v>
      </c>
    </row>
    <row r="25" spans="1:16" x14ac:dyDescent="0.3">
      <c r="A25" s="19">
        <v>67</v>
      </c>
      <c r="B25" s="20">
        <v>60000</v>
      </c>
      <c r="C25" s="21" t="s">
        <v>14</v>
      </c>
      <c r="D25" s="21">
        <v>0</v>
      </c>
      <c r="E25" s="21">
        <v>0</v>
      </c>
      <c r="F25" s="21">
        <v>0</v>
      </c>
      <c r="G25" s="21">
        <v>1</v>
      </c>
      <c r="H25" s="21">
        <v>0</v>
      </c>
      <c r="I25" s="21" t="s">
        <v>13</v>
      </c>
      <c r="J25" s="21">
        <v>1</v>
      </c>
      <c r="K25" s="22">
        <v>0</v>
      </c>
      <c r="O25" s="20">
        <v>60000</v>
      </c>
      <c r="P25" s="21">
        <v>0</v>
      </c>
    </row>
    <row r="26" spans="1:16" x14ac:dyDescent="0.3">
      <c r="A26" s="15">
        <v>68</v>
      </c>
      <c r="B26" s="16">
        <v>25000</v>
      </c>
      <c r="C26" s="17" t="s">
        <v>14</v>
      </c>
      <c r="D26" s="17">
        <v>0</v>
      </c>
      <c r="E26" s="17">
        <v>0</v>
      </c>
      <c r="F26" s="17">
        <v>0</v>
      </c>
      <c r="G26" s="17">
        <v>0</v>
      </c>
      <c r="H26" s="17">
        <v>1</v>
      </c>
      <c r="I26" s="17" t="s">
        <v>13</v>
      </c>
      <c r="J26" s="17">
        <v>1</v>
      </c>
      <c r="K26" s="18">
        <v>0</v>
      </c>
      <c r="O26" s="16">
        <v>25000</v>
      </c>
      <c r="P26" s="17">
        <v>0</v>
      </c>
    </row>
    <row r="27" spans="1:16" x14ac:dyDescent="0.3">
      <c r="A27" s="19">
        <v>69</v>
      </c>
      <c r="B27" s="20">
        <v>26666.666669999999</v>
      </c>
      <c r="C27" s="21" t="s">
        <v>14</v>
      </c>
      <c r="D27" s="21">
        <v>0</v>
      </c>
      <c r="E27" s="21">
        <v>1</v>
      </c>
      <c r="F27" s="21">
        <v>0</v>
      </c>
      <c r="G27" s="21">
        <v>1</v>
      </c>
      <c r="H27" s="21">
        <v>0</v>
      </c>
      <c r="I27" s="21" t="s">
        <v>13</v>
      </c>
      <c r="J27" s="21">
        <v>1</v>
      </c>
      <c r="K27" s="22">
        <v>1</v>
      </c>
      <c r="O27" s="20">
        <v>26666.666669999999</v>
      </c>
      <c r="P27" s="21">
        <v>0</v>
      </c>
    </row>
    <row r="28" spans="1:16" x14ac:dyDescent="0.3">
      <c r="A28" s="15">
        <v>72</v>
      </c>
      <c r="B28" s="16">
        <v>13333.333329999999</v>
      </c>
      <c r="C28" s="17" t="s">
        <v>12</v>
      </c>
      <c r="D28" s="17">
        <v>1</v>
      </c>
      <c r="E28" s="17">
        <v>0</v>
      </c>
      <c r="F28" s="17">
        <v>0</v>
      </c>
      <c r="G28" s="17">
        <v>1</v>
      </c>
      <c r="H28" s="17">
        <v>0</v>
      </c>
      <c r="I28" s="17" t="s">
        <v>13</v>
      </c>
      <c r="J28" s="17">
        <v>1</v>
      </c>
      <c r="K28" s="18">
        <v>0</v>
      </c>
      <c r="O28" s="16">
        <v>13333.333329999999</v>
      </c>
      <c r="P28" s="17">
        <v>0</v>
      </c>
    </row>
    <row r="29" spans="1:16" x14ac:dyDescent="0.3">
      <c r="A29" s="19">
        <v>75</v>
      </c>
      <c r="B29" s="20">
        <v>50000</v>
      </c>
      <c r="C29" s="21" t="s">
        <v>14</v>
      </c>
      <c r="D29" s="21">
        <v>0</v>
      </c>
      <c r="E29" s="21">
        <v>1</v>
      </c>
      <c r="F29" s="21">
        <v>0</v>
      </c>
      <c r="G29" s="21">
        <v>0</v>
      </c>
      <c r="H29" s="21">
        <v>1</v>
      </c>
      <c r="I29" s="21" t="s">
        <v>13</v>
      </c>
      <c r="J29" s="21">
        <v>1</v>
      </c>
      <c r="K29" s="22">
        <v>1</v>
      </c>
      <c r="O29" s="20">
        <v>50000</v>
      </c>
      <c r="P29" s="21">
        <v>0</v>
      </c>
    </row>
    <row r="30" spans="1:16" x14ac:dyDescent="0.3">
      <c r="A30" s="15">
        <v>76</v>
      </c>
      <c r="B30" s="16">
        <v>50000</v>
      </c>
      <c r="C30" s="17" t="s">
        <v>14</v>
      </c>
      <c r="D30" s="17">
        <v>0</v>
      </c>
      <c r="E30" s="17">
        <v>1</v>
      </c>
      <c r="F30" s="17">
        <v>0</v>
      </c>
      <c r="G30" s="17">
        <v>0</v>
      </c>
      <c r="H30" s="17">
        <v>1</v>
      </c>
      <c r="I30" s="17" t="s">
        <v>13</v>
      </c>
      <c r="J30" s="17">
        <v>1</v>
      </c>
      <c r="K30" s="18">
        <v>1</v>
      </c>
      <c r="O30" s="16">
        <v>50000</v>
      </c>
      <c r="P30" s="17">
        <v>0</v>
      </c>
    </row>
    <row r="31" spans="1:16" x14ac:dyDescent="0.3">
      <c r="A31" s="19">
        <v>77</v>
      </c>
      <c r="B31" s="20">
        <v>40000</v>
      </c>
      <c r="C31" s="21" t="s">
        <v>14</v>
      </c>
      <c r="D31" s="21">
        <v>0</v>
      </c>
      <c r="E31" s="21">
        <v>1</v>
      </c>
      <c r="F31" s="21">
        <v>0</v>
      </c>
      <c r="G31" s="21">
        <v>0</v>
      </c>
      <c r="H31" s="21">
        <v>1</v>
      </c>
      <c r="I31" s="21" t="s">
        <v>13</v>
      </c>
      <c r="J31" s="21">
        <v>1</v>
      </c>
      <c r="K31" s="22">
        <v>0</v>
      </c>
      <c r="O31" s="20">
        <v>40000</v>
      </c>
      <c r="P31" s="21">
        <v>0</v>
      </c>
    </row>
    <row r="32" spans="1:16" x14ac:dyDescent="0.3">
      <c r="A32" s="15">
        <v>79</v>
      </c>
      <c r="B32" s="16">
        <v>40000</v>
      </c>
      <c r="C32" s="17" t="s">
        <v>14</v>
      </c>
      <c r="D32" s="17">
        <v>0</v>
      </c>
      <c r="E32" s="17">
        <v>1</v>
      </c>
      <c r="F32" s="17">
        <v>0</v>
      </c>
      <c r="G32" s="17">
        <v>0</v>
      </c>
      <c r="H32" s="17">
        <v>1</v>
      </c>
      <c r="I32" s="17" t="s">
        <v>13</v>
      </c>
      <c r="J32" s="17">
        <v>1</v>
      </c>
      <c r="K32" s="18">
        <v>0</v>
      </c>
      <c r="O32" s="16">
        <v>40000</v>
      </c>
      <c r="P32" s="17">
        <v>0</v>
      </c>
    </row>
    <row r="33" spans="1:16" x14ac:dyDescent="0.3">
      <c r="A33" s="19">
        <v>80</v>
      </c>
      <c r="B33" s="20">
        <v>60000</v>
      </c>
      <c r="C33" s="21" t="s">
        <v>14</v>
      </c>
      <c r="D33" s="21">
        <v>0</v>
      </c>
      <c r="E33" s="21">
        <v>1</v>
      </c>
      <c r="F33" s="21">
        <v>0</v>
      </c>
      <c r="G33" s="21">
        <v>0</v>
      </c>
      <c r="H33" s="21">
        <v>1</v>
      </c>
      <c r="I33" s="21" t="s">
        <v>13</v>
      </c>
      <c r="J33" s="21">
        <v>1</v>
      </c>
      <c r="K33" s="22">
        <v>1</v>
      </c>
      <c r="O33" s="20">
        <v>60000</v>
      </c>
      <c r="P33" s="21">
        <v>0</v>
      </c>
    </row>
    <row r="34" spans="1:16" x14ac:dyDescent="0.3">
      <c r="A34" s="15">
        <v>81</v>
      </c>
      <c r="B34" s="16">
        <v>10000</v>
      </c>
      <c r="C34" s="17" t="s">
        <v>14</v>
      </c>
      <c r="D34" s="17">
        <v>0</v>
      </c>
      <c r="E34" s="17">
        <v>0</v>
      </c>
      <c r="F34" s="17">
        <v>0</v>
      </c>
      <c r="G34" s="17">
        <v>0</v>
      </c>
      <c r="H34" s="17">
        <v>1</v>
      </c>
      <c r="I34" s="17" t="s">
        <v>13</v>
      </c>
      <c r="J34" s="17">
        <v>1</v>
      </c>
      <c r="K34" s="18">
        <v>0</v>
      </c>
      <c r="O34" s="16">
        <v>10000</v>
      </c>
      <c r="P34" s="17">
        <v>0</v>
      </c>
    </row>
    <row r="35" spans="1:16" x14ac:dyDescent="0.3">
      <c r="A35" s="19">
        <v>82</v>
      </c>
      <c r="B35" s="20">
        <v>50000</v>
      </c>
      <c r="C35" s="21" t="s">
        <v>14</v>
      </c>
      <c r="D35" s="21">
        <v>0</v>
      </c>
      <c r="E35" s="21">
        <v>1</v>
      </c>
      <c r="F35" s="21">
        <v>0</v>
      </c>
      <c r="G35" s="21">
        <v>0</v>
      </c>
      <c r="H35" s="21">
        <v>1</v>
      </c>
      <c r="I35" s="21" t="s">
        <v>13</v>
      </c>
      <c r="J35" s="21">
        <v>1</v>
      </c>
      <c r="K35" s="22">
        <v>1</v>
      </c>
      <c r="O35" s="20">
        <v>50000</v>
      </c>
      <c r="P35" s="21">
        <v>0</v>
      </c>
    </row>
    <row r="36" spans="1:16" x14ac:dyDescent="0.3">
      <c r="A36" s="15">
        <v>84</v>
      </c>
      <c r="B36" s="16">
        <v>120000</v>
      </c>
      <c r="C36" s="17" t="s">
        <v>14</v>
      </c>
      <c r="D36" s="17">
        <v>0</v>
      </c>
      <c r="E36" s="17">
        <v>0</v>
      </c>
      <c r="F36" s="17">
        <v>0</v>
      </c>
      <c r="G36" s="17">
        <v>1</v>
      </c>
      <c r="H36" s="17">
        <v>0</v>
      </c>
      <c r="I36" s="17" t="s">
        <v>13</v>
      </c>
      <c r="J36" s="17">
        <v>1</v>
      </c>
      <c r="K36" s="18">
        <v>1</v>
      </c>
      <c r="O36" s="16">
        <v>120000</v>
      </c>
      <c r="P36" s="17">
        <v>0</v>
      </c>
    </row>
    <row r="37" spans="1:16" x14ac:dyDescent="0.3">
      <c r="A37" s="19">
        <v>86</v>
      </c>
      <c r="B37" s="20">
        <v>-20000</v>
      </c>
      <c r="C37" s="21" t="s">
        <v>14</v>
      </c>
      <c r="D37" s="21">
        <v>0</v>
      </c>
      <c r="E37" s="21">
        <v>1</v>
      </c>
      <c r="F37" s="21">
        <v>0</v>
      </c>
      <c r="G37" s="21">
        <v>0</v>
      </c>
      <c r="H37" s="21">
        <v>1</v>
      </c>
      <c r="I37" s="21" t="s">
        <v>13</v>
      </c>
      <c r="J37" s="21">
        <v>1</v>
      </c>
      <c r="K37" s="22">
        <v>0</v>
      </c>
      <c r="O37" s="20">
        <v>-20000</v>
      </c>
      <c r="P37" s="21">
        <v>0</v>
      </c>
    </row>
    <row r="38" spans="1:16" x14ac:dyDescent="0.3">
      <c r="A38" s="15">
        <v>88</v>
      </c>
      <c r="B38" s="16">
        <v>50000</v>
      </c>
      <c r="C38" s="17" t="s">
        <v>14</v>
      </c>
      <c r="D38" s="17">
        <v>0</v>
      </c>
      <c r="E38" s="17">
        <v>1</v>
      </c>
      <c r="F38" s="17">
        <v>1</v>
      </c>
      <c r="G38" s="17">
        <v>0</v>
      </c>
      <c r="H38" s="17">
        <v>1</v>
      </c>
      <c r="I38" s="17" t="s">
        <v>13</v>
      </c>
      <c r="J38" s="17">
        <v>1</v>
      </c>
      <c r="K38" s="18">
        <v>1</v>
      </c>
      <c r="O38" s="16">
        <v>50000</v>
      </c>
      <c r="P38" s="17">
        <v>1</v>
      </c>
    </row>
    <row r="39" spans="1:16" x14ac:dyDescent="0.3">
      <c r="A39" s="19">
        <v>89</v>
      </c>
      <c r="B39" s="20">
        <v>60000</v>
      </c>
      <c r="C39" s="21" t="s">
        <v>14</v>
      </c>
      <c r="D39" s="21">
        <v>0</v>
      </c>
      <c r="E39" s="21">
        <v>1</v>
      </c>
      <c r="F39" s="21">
        <v>0</v>
      </c>
      <c r="G39" s="21">
        <v>0</v>
      </c>
      <c r="H39" s="21">
        <v>1</v>
      </c>
      <c r="I39" s="21" t="s">
        <v>13</v>
      </c>
      <c r="J39" s="21">
        <v>1</v>
      </c>
      <c r="K39" s="22">
        <v>0</v>
      </c>
      <c r="O39" s="20">
        <v>60000</v>
      </c>
      <c r="P39" s="21">
        <v>0</v>
      </c>
    </row>
    <row r="40" spans="1:16" x14ac:dyDescent="0.3">
      <c r="A40" s="15">
        <v>92</v>
      </c>
      <c r="B40" s="16">
        <v>20000</v>
      </c>
      <c r="C40" s="17" t="s">
        <v>14</v>
      </c>
      <c r="D40" s="17">
        <v>0</v>
      </c>
      <c r="E40" s="17">
        <v>0</v>
      </c>
      <c r="F40" s="17">
        <v>0</v>
      </c>
      <c r="G40" s="17">
        <v>1</v>
      </c>
      <c r="H40" s="17">
        <v>0</v>
      </c>
      <c r="I40" s="17" t="s">
        <v>13</v>
      </c>
      <c r="J40" s="17">
        <v>1</v>
      </c>
      <c r="K40" s="18">
        <v>1</v>
      </c>
      <c r="O40" s="16">
        <v>20000</v>
      </c>
      <c r="P40" s="17">
        <v>0</v>
      </c>
    </row>
    <row r="41" spans="1:16" x14ac:dyDescent="0.3">
      <c r="A41" s="19">
        <v>95</v>
      </c>
      <c r="B41" s="20">
        <v>70000</v>
      </c>
      <c r="C41" s="21" t="s">
        <v>14</v>
      </c>
      <c r="D41" s="21">
        <v>0</v>
      </c>
      <c r="E41" s="21">
        <v>1</v>
      </c>
      <c r="F41" s="21">
        <v>0</v>
      </c>
      <c r="G41" s="21">
        <v>0</v>
      </c>
      <c r="H41" s="21">
        <v>1</v>
      </c>
      <c r="I41" s="21" t="s">
        <v>13</v>
      </c>
      <c r="J41" s="21">
        <v>1</v>
      </c>
      <c r="K41" s="22">
        <v>1</v>
      </c>
      <c r="O41" s="20">
        <v>70000</v>
      </c>
      <c r="P41" s="21">
        <v>0</v>
      </c>
    </row>
    <row r="42" spans="1:16" x14ac:dyDescent="0.3">
      <c r="A42" s="15">
        <v>96</v>
      </c>
      <c r="B42" s="16">
        <v>40000</v>
      </c>
      <c r="C42" s="17" t="s">
        <v>14</v>
      </c>
      <c r="D42" s="17">
        <v>0</v>
      </c>
      <c r="E42" s="17">
        <v>0</v>
      </c>
      <c r="F42" s="17">
        <v>0</v>
      </c>
      <c r="G42" s="17">
        <v>1</v>
      </c>
      <c r="H42" s="17">
        <v>0</v>
      </c>
      <c r="I42" s="17" t="s">
        <v>13</v>
      </c>
      <c r="J42" s="17">
        <v>1</v>
      </c>
      <c r="K42" s="18">
        <v>0</v>
      </c>
      <c r="O42" s="16">
        <v>40000</v>
      </c>
      <c r="P42" s="17">
        <v>0</v>
      </c>
    </row>
    <row r="43" spans="1:16" x14ac:dyDescent="0.3">
      <c r="A43" s="19">
        <v>97</v>
      </c>
      <c r="B43" s="20">
        <v>50000</v>
      </c>
      <c r="C43" s="21" t="s">
        <v>14</v>
      </c>
      <c r="D43" s="21">
        <v>0</v>
      </c>
      <c r="E43" s="21">
        <v>1</v>
      </c>
      <c r="F43" s="21">
        <v>0</v>
      </c>
      <c r="G43" s="21">
        <v>0</v>
      </c>
      <c r="H43" s="21">
        <v>1</v>
      </c>
      <c r="I43" s="21" t="s">
        <v>13</v>
      </c>
      <c r="J43" s="21">
        <v>1</v>
      </c>
      <c r="K43" s="22">
        <v>0</v>
      </c>
      <c r="O43" s="20">
        <v>50000</v>
      </c>
      <c r="P43" s="21">
        <v>0</v>
      </c>
    </row>
    <row r="44" spans="1:16" x14ac:dyDescent="0.3">
      <c r="A44" s="15">
        <v>98</v>
      </c>
      <c r="B44" s="16">
        <v>60000</v>
      </c>
      <c r="C44" s="17" t="s">
        <v>12</v>
      </c>
      <c r="D44" s="17">
        <v>1</v>
      </c>
      <c r="E44" s="17">
        <v>0</v>
      </c>
      <c r="F44" s="17">
        <v>0</v>
      </c>
      <c r="G44" s="17">
        <v>0</v>
      </c>
      <c r="H44" s="17">
        <v>1</v>
      </c>
      <c r="I44" s="17" t="s">
        <v>13</v>
      </c>
      <c r="J44" s="17">
        <v>1</v>
      </c>
      <c r="K44" s="18">
        <v>0</v>
      </c>
      <c r="O44" s="16">
        <v>60000</v>
      </c>
      <c r="P44" s="17">
        <v>0</v>
      </c>
    </row>
    <row r="45" spans="1:16" x14ac:dyDescent="0.3">
      <c r="A45" s="19">
        <v>103</v>
      </c>
      <c r="B45" s="20">
        <v>33333.333330000001</v>
      </c>
      <c r="C45" s="21" t="s">
        <v>12</v>
      </c>
      <c r="D45" s="21">
        <v>1</v>
      </c>
      <c r="E45" s="21">
        <v>0</v>
      </c>
      <c r="F45" s="21">
        <v>0</v>
      </c>
      <c r="G45" s="21">
        <v>1</v>
      </c>
      <c r="H45" s="21">
        <v>0</v>
      </c>
      <c r="I45" s="21" t="s">
        <v>13</v>
      </c>
      <c r="J45" s="21">
        <v>1</v>
      </c>
      <c r="K45" s="22">
        <v>0</v>
      </c>
      <c r="O45" s="20">
        <v>33333.333330000001</v>
      </c>
      <c r="P45" s="21">
        <v>0</v>
      </c>
    </row>
    <row r="46" spans="1:16" x14ac:dyDescent="0.3">
      <c r="A46" s="15">
        <v>104</v>
      </c>
      <c r="B46" s="16">
        <v>40000</v>
      </c>
      <c r="C46" s="17" t="s">
        <v>14</v>
      </c>
      <c r="D46" s="17">
        <v>0</v>
      </c>
      <c r="E46" s="17">
        <v>0</v>
      </c>
      <c r="F46" s="17">
        <v>0</v>
      </c>
      <c r="G46" s="17">
        <v>1</v>
      </c>
      <c r="H46" s="17">
        <v>0</v>
      </c>
      <c r="I46" s="17" t="s">
        <v>13</v>
      </c>
      <c r="J46" s="17">
        <v>1</v>
      </c>
      <c r="K46" s="18">
        <v>0</v>
      </c>
      <c r="O46" s="16">
        <v>40000</v>
      </c>
      <c r="P46" s="17">
        <v>0</v>
      </c>
    </row>
    <row r="47" spans="1:16" x14ac:dyDescent="0.3">
      <c r="A47" s="19">
        <v>106</v>
      </c>
      <c r="B47" s="20">
        <v>36666.666669999999</v>
      </c>
      <c r="C47" s="21" t="s">
        <v>14</v>
      </c>
      <c r="D47" s="21">
        <v>0</v>
      </c>
      <c r="E47" s="21">
        <v>1</v>
      </c>
      <c r="F47" s="21">
        <v>0</v>
      </c>
      <c r="G47" s="21">
        <v>0</v>
      </c>
      <c r="H47" s="21">
        <v>1</v>
      </c>
      <c r="I47" s="21" t="s">
        <v>13</v>
      </c>
      <c r="J47" s="21">
        <v>1</v>
      </c>
      <c r="K47" s="22">
        <v>1</v>
      </c>
      <c r="O47" s="20">
        <v>36666.666669999999</v>
      </c>
      <c r="P47" s="21">
        <v>0</v>
      </c>
    </row>
    <row r="48" spans="1:16" x14ac:dyDescent="0.3">
      <c r="A48" s="15">
        <v>107</v>
      </c>
      <c r="B48" s="16">
        <v>30000</v>
      </c>
      <c r="C48" s="17" t="s">
        <v>14</v>
      </c>
      <c r="D48" s="17">
        <v>0</v>
      </c>
      <c r="E48" s="17">
        <v>1</v>
      </c>
      <c r="F48" s="17">
        <v>0</v>
      </c>
      <c r="G48" s="17">
        <v>0</v>
      </c>
      <c r="H48" s="17">
        <v>1</v>
      </c>
      <c r="I48" s="17" t="s">
        <v>13</v>
      </c>
      <c r="J48" s="17">
        <v>1</v>
      </c>
      <c r="K48" s="18">
        <v>1</v>
      </c>
      <c r="O48" s="16">
        <v>30000</v>
      </c>
      <c r="P48" s="17">
        <v>0</v>
      </c>
    </row>
    <row r="49" spans="1:16" x14ac:dyDescent="0.3">
      <c r="A49" s="19">
        <v>111</v>
      </c>
      <c r="B49" s="20">
        <v>33333.333330000001</v>
      </c>
      <c r="C49" s="21" t="s">
        <v>14</v>
      </c>
      <c r="D49" s="21">
        <v>0</v>
      </c>
      <c r="E49" s="21">
        <v>0</v>
      </c>
      <c r="F49" s="21">
        <v>0</v>
      </c>
      <c r="G49" s="21">
        <v>1</v>
      </c>
      <c r="H49" s="21">
        <v>0</v>
      </c>
      <c r="I49" s="21" t="s">
        <v>13</v>
      </c>
      <c r="J49" s="21">
        <v>1</v>
      </c>
      <c r="K49" s="22">
        <v>0</v>
      </c>
      <c r="O49" s="20">
        <v>33333.333330000001</v>
      </c>
      <c r="P49" s="21">
        <v>0</v>
      </c>
    </row>
    <row r="50" spans="1:16" x14ac:dyDescent="0.3">
      <c r="A50" s="15">
        <v>115</v>
      </c>
      <c r="B50" s="16">
        <v>-40000</v>
      </c>
      <c r="C50" s="17" t="s">
        <v>14</v>
      </c>
      <c r="D50" s="17">
        <v>0</v>
      </c>
      <c r="E50" s="17">
        <v>1</v>
      </c>
      <c r="F50" s="17">
        <v>0</v>
      </c>
      <c r="G50" s="17">
        <v>0</v>
      </c>
      <c r="H50" s="17">
        <v>1</v>
      </c>
      <c r="I50" s="17" t="s">
        <v>13</v>
      </c>
      <c r="J50" s="17">
        <v>1</v>
      </c>
      <c r="K50" s="18">
        <v>1</v>
      </c>
      <c r="O50" s="16">
        <v>-40000</v>
      </c>
      <c r="P50" s="17">
        <v>0</v>
      </c>
    </row>
    <row r="51" spans="1:16" x14ac:dyDescent="0.3">
      <c r="A51" s="19">
        <v>116</v>
      </c>
      <c r="B51" s="20">
        <v>30000</v>
      </c>
      <c r="C51" s="21" t="s">
        <v>14</v>
      </c>
      <c r="D51" s="21">
        <v>0</v>
      </c>
      <c r="E51" s="21">
        <v>1</v>
      </c>
      <c r="F51" s="21">
        <v>0</v>
      </c>
      <c r="G51" s="21">
        <v>0</v>
      </c>
      <c r="H51" s="21">
        <v>1</v>
      </c>
      <c r="I51" s="21" t="s">
        <v>13</v>
      </c>
      <c r="J51" s="21">
        <v>1</v>
      </c>
      <c r="K51" s="22">
        <v>1</v>
      </c>
      <c r="O51" s="20">
        <v>30000</v>
      </c>
      <c r="P51" s="21">
        <v>0</v>
      </c>
    </row>
    <row r="52" spans="1:16" x14ac:dyDescent="0.3">
      <c r="A52" s="15">
        <v>120</v>
      </c>
      <c r="B52" s="16">
        <v>45000</v>
      </c>
      <c r="C52" s="17" t="s">
        <v>14</v>
      </c>
      <c r="D52" s="17">
        <v>0</v>
      </c>
      <c r="E52" s="17">
        <v>1</v>
      </c>
      <c r="F52" s="17">
        <v>0</v>
      </c>
      <c r="G52" s="17">
        <v>1</v>
      </c>
      <c r="H52" s="17">
        <v>0</v>
      </c>
      <c r="I52" s="17" t="s">
        <v>13</v>
      </c>
      <c r="J52" s="17">
        <v>1</v>
      </c>
      <c r="K52" s="18">
        <v>1</v>
      </c>
      <c r="O52" s="16">
        <v>45000</v>
      </c>
      <c r="P52" s="17">
        <v>0</v>
      </c>
    </row>
    <row r="53" spans="1:16" x14ac:dyDescent="0.3">
      <c r="A53" s="19">
        <v>124</v>
      </c>
      <c r="B53" s="20">
        <v>-20771.513350000001</v>
      </c>
      <c r="C53" s="21" t="s">
        <v>14</v>
      </c>
      <c r="D53" s="21">
        <v>0</v>
      </c>
      <c r="E53" s="21">
        <v>1</v>
      </c>
      <c r="F53" s="21">
        <v>0</v>
      </c>
      <c r="G53" s="21">
        <v>0</v>
      </c>
      <c r="H53" s="21">
        <v>1</v>
      </c>
      <c r="I53" s="21" t="s">
        <v>13</v>
      </c>
      <c r="J53" s="21">
        <v>0</v>
      </c>
      <c r="K53" s="22">
        <v>1</v>
      </c>
      <c r="O53" s="20">
        <v>-20771.513350000001</v>
      </c>
      <c r="P53" s="21">
        <v>0</v>
      </c>
    </row>
    <row r="54" spans="1:16" x14ac:dyDescent="0.3">
      <c r="A54" s="15">
        <v>126</v>
      </c>
      <c r="B54" s="16">
        <v>21739.130430000001</v>
      </c>
      <c r="C54" s="17" t="s">
        <v>12</v>
      </c>
      <c r="D54" s="17">
        <v>1</v>
      </c>
      <c r="E54" s="17">
        <v>1</v>
      </c>
      <c r="F54" s="17">
        <v>1</v>
      </c>
      <c r="G54" s="17">
        <v>1</v>
      </c>
      <c r="H54" s="17">
        <v>0</v>
      </c>
      <c r="I54" s="17" t="s">
        <v>13</v>
      </c>
      <c r="J54" s="17">
        <v>1</v>
      </c>
      <c r="K54" s="18">
        <v>1</v>
      </c>
      <c r="O54" s="16">
        <v>21739.130430000001</v>
      </c>
      <c r="P54" s="17">
        <v>1</v>
      </c>
    </row>
    <row r="55" spans="1:16" x14ac:dyDescent="0.3">
      <c r="A55" s="19">
        <v>128</v>
      </c>
      <c r="B55" s="20">
        <v>-10000</v>
      </c>
      <c r="C55" s="21" t="s">
        <v>12</v>
      </c>
      <c r="D55" s="21">
        <v>1</v>
      </c>
      <c r="E55" s="21">
        <v>0</v>
      </c>
      <c r="F55" s="21">
        <v>0</v>
      </c>
      <c r="G55" s="21">
        <v>0</v>
      </c>
      <c r="H55" s="21">
        <v>1</v>
      </c>
      <c r="I55" s="21" t="s">
        <v>13</v>
      </c>
      <c r="J55" s="21">
        <v>1</v>
      </c>
      <c r="K55" s="22">
        <v>1</v>
      </c>
      <c r="O55" s="20">
        <v>-10000</v>
      </c>
      <c r="P55" s="21">
        <v>0</v>
      </c>
    </row>
    <row r="56" spans="1:16" x14ac:dyDescent="0.3">
      <c r="A56" s="15">
        <v>132</v>
      </c>
      <c r="B56" s="16">
        <v>27500</v>
      </c>
      <c r="C56" s="17" t="s">
        <v>14</v>
      </c>
      <c r="D56" s="17">
        <v>0</v>
      </c>
      <c r="E56" s="17">
        <v>1</v>
      </c>
      <c r="F56" s="17">
        <v>0</v>
      </c>
      <c r="G56" s="17">
        <v>1</v>
      </c>
      <c r="H56" s="17">
        <v>0</v>
      </c>
      <c r="I56" s="17" t="s">
        <v>13</v>
      </c>
      <c r="J56" s="17">
        <v>1</v>
      </c>
      <c r="K56" s="18">
        <v>1</v>
      </c>
      <c r="O56" s="16">
        <v>27500</v>
      </c>
      <c r="P56" s="17">
        <v>0</v>
      </c>
    </row>
    <row r="57" spans="1:16" x14ac:dyDescent="0.3">
      <c r="A57" s="19">
        <v>133</v>
      </c>
      <c r="B57" s="20">
        <v>-7692.3076920000003</v>
      </c>
      <c r="C57" s="21" t="s">
        <v>12</v>
      </c>
      <c r="D57" s="21">
        <v>1</v>
      </c>
      <c r="E57" s="21">
        <v>1</v>
      </c>
      <c r="F57" s="21">
        <v>0</v>
      </c>
      <c r="G57" s="21">
        <v>1</v>
      </c>
      <c r="H57" s="21">
        <v>0</v>
      </c>
      <c r="I57" s="21" t="s">
        <v>13</v>
      </c>
      <c r="J57" s="21">
        <v>1</v>
      </c>
      <c r="K57" s="22">
        <v>0</v>
      </c>
      <c r="O57" s="20">
        <v>-7692.3076920000003</v>
      </c>
      <c r="P57" s="21">
        <v>0</v>
      </c>
    </row>
    <row r="58" spans="1:16" x14ac:dyDescent="0.3">
      <c r="A58" s="15">
        <v>135</v>
      </c>
      <c r="B58" s="16">
        <v>13432.83582</v>
      </c>
      <c r="C58" s="17" t="s">
        <v>14</v>
      </c>
      <c r="D58" s="17">
        <v>0</v>
      </c>
      <c r="E58" s="17">
        <v>1</v>
      </c>
      <c r="F58" s="17">
        <v>1</v>
      </c>
      <c r="G58" s="17">
        <v>1</v>
      </c>
      <c r="H58" s="17">
        <v>0</v>
      </c>
      <c r="I58" s="17" t="s">
        <v>13</v>
      </c>
      <c r="J58" s="17">
        <v>1</v>
      </c>
      <c r="K58" s="18">
        <v>1</v>
      </c>
      <c r="O58" s="16">
        <v>13432.83582</v>
      </c>
      <c r="P58" s="17">
        <v>1</v>
      </c>
    </row>
    <row r="59" spans="1:16" x14ac:dyDescent="0.3">
      <c r="A59" s="19">
        <v>136</v>
      </c>
      <c r="B59" s="20">
        <v>72000</v>
      </c>
      <c r="C59" s="21" t="s">
        <v>14</v>
      </c>
      <c r="D59" s="21">
        <v>0</v>
      </c>
      <c r="E59" s="21">
        <v>1</v>
      </c>
      <c r="F59" s="21">
        <v>0</v>
      </c>
      <c r="G59" s="21">
        <v>1</v>
      </c>
      <c r="H59" s="21">
        <v>0</v>
      </c>
      <c r="I59" s="21" t="s">
        <v>13</v>
      </c>
      <c r="J59" s="21">
        <v>0</v>
      </c>
      <c r="K59" s="22">
        <v>0</v>
      </c>
      <c r="O59" s="20">
        <v>72000</v>
      </c>
      <c r="P59" s="21">
        <v>0</v>
      </c>
    </row>
    <row r="60" spans="1:16" x14ac:dyDescent="0.3">
      <c r="A60" s="15">
        <v>140</v>
      </c>
      <c r="B60" s="16">
        <v>73333.333329999994</v>
      </c>
      <c r="C60" s="17" t="s">
        <v>14</v>
      </c>
      <c r="D60" s="17">
        <v>0</v>
      </c>
      <c r="E60" s="17">
        <v>1</v>
      </c>
      <c r="F60" s="17">
        <v>0</v>
      </c>
      <c r="G60" s="17">
        <v>0</v>
      </c>
      <c r="H60" s="17">
        <v>1</v>
      </c>
      <c r="I60" s="17" t="s">
        <v>13</v>
      </c>
      <c r="J60" s="17">
        <v>1</v>
      </c>
      <c r="K60" s="18">
        <v>0</v>
      </c>
      <c r="O60" s="16">
        <v>73333.333329999994</v>
      </c>
      <c r="P60" s="17">
        <v>0</v>
      </c>
    </row>
    <row r="61" spans="1:16" x14ac:dyDescent="0.3">
      <c r="A61" s="19">
        <v>143</v>
      </c>
      <c r="B61" s="20">
        <v>58823.529410000003</v>
      </c>
      <c r="C61" s="21" t="s">
        <v>14</v>
      </c>
      <c r="D61" s="21">
        <v>0</v>
      </c>
      <c r="E61" s="21">
        <v>0</v>
      </c>
      <c r="F61" s="21">
        <v>0</v>
      </c>
      <c r="G61" s="21">
        <v>0</v>
      </c>
      <c r="H61" s="21">
        <v>1</v>
      </c>
      <c r="I61" s="21" t="s">
        <v>13</v>
      </c>
      <c r="J61" s="21">
        <v>1</v>
      </c>
      <c r="K61" s="22">
        <v>0</v>
      </c>
      <c r="O61" s="20">
        <v>58823.529410000003</v>
      </c>
      <c r="P61" s="21">
        <v>0</v>
      </c>
    </row>
    <row r="62" spans="1:16" x14ac:dyDescent="0.3">
      <c r="A62" s="15">
        <v>145</v>
      </c>
      <c r="B62" s="16">
        <v>25000</v>
      </c>
      <c r="C62" s="17" t="s">
        <v>12</v>
      </c>
      <c r="D62" s="17">
        <v>1</v>
      </c>
      <c r="E62" s="17">
        <v>1</v>
      </c>
      <c r="F62" s="17">
        <v>0</v>
      </c>
      <c r="G62" s="17">
        <v>0</v>
      </c>
      <c r="H62" s="17">
        <v>1</v>
      </c>
      <c r="I62" s="17" t="s">
        <v>13</v>
      </c>
      <c r="J62" s="17">
        <v>1</v>
      </c>
      <c r="K62" s="18">
        <v>0</v>
      </c>
      <c r="O62" s="16">
        <v>25000</v>
      </c>
      <c r="P62" s="17">
        <v>0</v>
      </c>
    </row>
    <row r="63" spans="1:16" x14ac:dyDescent="0.3">
      <c r="A63" s="19">
        <v>149</v>
      </c>
      <c r="B63" s="20">
        <v>50000</v>
      </c>
      <c r="C63" s="21" t="s">
        <v>14</v>
      </c>
      <c r="D63" s="21">
        <v>0</v>
      </c>
      <c r="E63" s="21">
        <v>0</v>
      </c>
      <c r="F63" s="21">
        <v>0</v>
      </c>
      <c r="G63" s="21">
        <v>0</v>
      </c>
      <c r="H63" s="21">
        <v>1</v>
      </c>
      <c r="I63" s="21" t="s">
        <v>13</v>
      </c>
      <c r="J63" s="21">
        <v>0</v>
      </c>
      <c r="K63" s="22">
        <v>1</v>
      </c>
      <c r="O63" s="20">
        <v>50000</v>
      </c>
      <c r="P63" s="21">
        <v>0</v>
      </c>
    </row>
    <row r="64" spans="1:16" x14ac:dyDescent="0.3">
      <c r="A64" s="15">
        <v>150</v>
      </c>
      <c r="B64" s="16">
        <v>40000</v>
      </c>
      <c r="C64" s="17" t="s">
        <v>14</v>
      </c>
      <c r="D64" s="17">
        <v>0</v>
      </c>
      <c r="E64" s="17">
        <v>1</v>
      </c>
      <c r="F64" s="17">
        <v>0</v>
      </c>
      <c r="G64" s="17">
        <v>0</v>
      </c>
      <c r="H64" s="17">
        <v>1</v>
      </c>
      <c r="I64" s="17" t="s">
        <v>13</v>
      </c>
      <c r="J64" s="17">
        <v>0</v>
      </c>
      <c r="K64" s="18">
        <v>1</v>
      </c>
      <c r="O64" s="16">
        <v>40000</v>
      </c>
      <c r="P64" s="17">
        <v>0</v>
      </c>
    </row>
    <row r="65" spans="1:16" x14ac:dyDescent="0.3">
      <c r="A65" s="19">
        <v>153</v>
      </c>
      <c r="B65" s="20">
        <v>80000</v>
      </c>
      <c r="C65" s="21" t="s">
        <v>14</v>
      </c>
      <c r="D65" s="21">
        <v>0</v>
      </c>
      <c r="E65" s="21">
        <v>0</v>
      </c>
      <c r="F65" s="21">
        <v>0</v>
      </c>
      <c r="G65" s="21">
        <v>0</v>
      </c>
      <c r="H65" s="21">
        <v>1</v>
      </c>
      <c r="I65" s="21" t="s">
        <v>13</v>
      </c>
      <c r="J65" s="21">
        <v>0</v>
      </c>
      <c r="K65" s="22">
        <v>1</v>
      </c>
      <c r="O65" s="20">
        <v>80000</v>
      </c>
      <c r="P65" s="21">
        <v>0</v>
      </c>
    </row>
    <row r="66" spans="1:16" x14ac:dyDescent="0.3">
      <c r="A66" s="15">
        <v>154</v>
      </c>
      <c r="B66" s="16">
        <v>9090.9090909999995</v>
      </c>
      <c r="C66" s="17" t="s">
        <v>14</v>
      </c>
      <c r="D66" s="17">
        <v>0</v>
      </c>
      <c r="E66" s="17">
        <v>0</v>
      </c>
      <c r="F66" s="17">
        <v>0</v>
      </c>
      <c r="G66" s="17">
        <v>0</v>
      </c>
      <c r="H66" s="17">
        <v>1</v>
      </c>
      <c r="I66" s="17" t="s">
        <v>13</v>
      </c>
      <c r="J66" s="17">
        <v>0</v>
      </c>
      <c r="K66" s="18">
        <v>1</v>
      </c>
      <c r="O66" s="16">
        <v>9090.9090909999995</v>
      </c>
      <c r="P66" s="17">
        <v>0</v>
      </c>
    </row>
    <row r="67" spans="1:16" x14ac:dyDescent="0.3">
      <c r="A67" s="19">
        <v>161</v>
      </c>
      <c r="B67" s="20">
        <v>35000</v>
      </c>
      <c r="C67" s="21" t="s">
        <v>14</v>
      </c>
      <c r="D67" s="21">
        <v>0</v>
      </c>
      <c r="E67" s="21">
        <v>1</v>
      </c>
      <c r="F67" s="21">
        <v>0</v>
      </c>
      <c r="G67" s="21">
        <v>0</v>
      </c>
      <c r="H67" s="21">
        <v>1</v>
      </c>
      <c r="I67" s="21" t="s">
        <v>13</v>
      </c>
      <c r="J67" s="21">
        <v>1</v>
      </c>
      <c r="K67" s="22">
        <v>0</v>
      </c>
      <c r="O67" s="20">
        <v>35000</v>
      </c>
      <c r="P67" s="21">
        <v>0</v>
      </c>
    </row>
    <row r="68" spans="1:16" x14ac:dyDescent="0.3">
      <c r="A68" s="15">
        <v>165</v>
      </c>
      <c r="B68" s="16">
        <v>-12000</v>
      </c>
      <c r="C68" s="17" t="s">
        <v>14</v>
      </c>
      <c r="D68" s="17">
        <v>0</v>
      </c>
      <c r="E68" s="17">
        <v>0</v>
      </c>
      <c r="F68" s="17">
        <v>0</v>
      </c>
      <c r="G68" s="17">
        <v>1</v>
      </c>
      <c r="H68" s="17">
        <v>0</v>
      </c>
      <c r="I68" s="17" t="s">
        <v>13</v>
      </c>
      <c r="J68" s="17">
        <v>1</v>
      </c>
      <c r="K68" s="18">
        <v>0</v>
      </c>
      <c r="O68" s="16">
        <v>-12000</v>
      </c>
      <c r="P68" s="17">
        <v>0</v>
      </c>
    </row>
    <row r="69" spans="1:16" x14ac:dyDescent="0.3">
      <c r="A69" s="19">
        <v>169</v>
      </c>
      <c r="B69" s="20">
        <v>-12500</v>
      </c>
      <c r="C69" s="21" t="s">
        <v>14</v>
      </c>
      <c r="D69" s="21">
        <v>0</v>
      </c>
      <c r="E69" s="21">
        <v>1</v>
      </c>
      <c r="F69" s="21">
        <v>1</v>
      </c>
      <c r="G69" s="21">
        <v>1</v>
      </c>
      <c r="H69" s="21">
        <v>0</v>
      </c>
      <c r="I69" s="21" t="s">
        <v>13</v>
      </c>
      <c r="J69" s="21">
        <v>1</v>
      </c>
      <c r="K69" s="22">
        <v>1</v>
      </c>
      <c r="O69" s="20">
        <v>-12500</v>
      </c>
      <c r="P69" s="21">
        <v>1</v>
      </c>
    </row>
    <row r="70" spans="1:16" x14ac:dyDescent="0.3">
      <c r="A70" s="15">
        <v>174</v>
      </c>
      <c r="B70" s="16">
        <v>40000</v>
      </c>
      <c r="C70" s="17" t="s">
        <v>12</v>
      </c>
      <c r="D70" s="17">
        <v>1</v>
      </c>
      <c r="E70" s="17">
        <v>0</v>
      </c>
      <c r="F70" s="17">
        <v>0</v>
      </c>
      <c r="G70" s="17">
        <v>0</v>
      </c>
      <c r="H70" s="17">
        <v>1</v>
      </c>
      <c r="I70" s="17" t="s">
        <v>13</v>
      </c>
      <c r="J70" s="17">
        <v>1</v>
      </c>
      <c r="K70" s="18">
        <v>1</v>
      </c>
      <c r="O70" s="16">
        <v>40000</v>
      </c>
      <c r="P70" s="17">
        <v>0</v>
      </c>
    </row>
    <row r="71" spans="1:16" x14ac:dyDescent="0.3">
      <c r="A71" s="19">
        <v>175</v>
      </c>
      <c r="B71" s="20">
        <v>50000</v>
      </c>
      <c r="C71" s="21" t="s">
        <v>14</v>
      </c>
      <c r="D71" s="21">
        <v>0</v>
      </c>
      <c r="E71" s="21">
        <v>0</v>
      </c>
      <c r="F71" s="21">
        <v>0</v>
      </c>
      <c r="G71" s="21">
        <v>0</v>
      </c>
      <c r="H71" s="21">
        <v>1</v>
      </c>
      <c r="I71" s="21" t="s">
        <v>13</v>
      </c>
      <c r="J71" s="21">
        <v>0</v>
      </c>
      <c r="K71" s="22">
        <v>0</v>
      </c>
      <c r="O71" s="20">
        <v>50000</v>
      </c>
      <c r="P71" s="21">
        <v>0</v>
      </c>
    </row>
    <row r="72" spans="1:16" x14ac:dyDescent="0.3">
      <c r="A72" s="15">
        <v>181</v>
      </c>
      <c r="B72" s="16">
        <v>66666.666670000006</v>
      </c>
      <c r="C72" s="17" t="s">
        <v>14</v>
      </c>
      <c r="D72" s="17">
        <v>0</v>
      </c>
      <c r="E72" s="17">
        <v>1</v>
      </c>
      <c r="F72" s="17">
        <v>0</v>
      </c>
      <c r="G72" s="17">
        <v>0</v>
      </c>
      <c r="H72" s="17">
        <v>1</v>
      </c>
      <c r="I72" s="17" t="s">
        <v>13</v>
      </c>
      <c r="J72" s="17">
        <v>1</v>
      </c>
      <c r="K72" s="18">
        <v>0</v>
      </c>
      <c r="O72" s="16">
        <v>66666.666670000006</v>
      </c>
      <c r="P72" s="17">
        <v>0</v>
      </c>
    </row>
    <row r="73" spans="1:16" x14ac:dyDescent="0.3">
      <c r="A73" s="19">
        <v>183</v>
      </c>
      <c r="B73" s="20">
        <v>7777.7777779999997</v>
      </c>
      <c r="C73" s="21" t="s">
        <v>14</v>
      </c>
      <c r="D73" s="21">
        <v>0</v>
      </c>
      <c r="E73" s="21">
        <v>0</v>
      </c>
      <c r="F73" s="21">
        <v>0</v>
      </c>
      <c r="G73" s="21">
        <v>1</v>
      </c>
      <c r="H73" s="21">
        <v>0</v>
      </c>
      <c r="I73" s="21" t="s">
        <v>13</v>
      </c>
      <c r="J73" s="21">
        <v>0</v>
      </c>
      <c r="K73" s="22">
        <v>1</v>
      </c>
      <c r="O73" s="20">
        <v>7777.7777779999997</v>
      </c>
      <c r="P73" s="21">
        <v>0</v>
      </c>
    </row>
    <row r="74" spans="1:16" x14ac:dyDescent="0.3">
      <c r="A74" s="15">
        <v>184</v>
      </c>
      <c r="B74" s="16">
        <v>10000</v>
      </c>
      <c r="C74" s="17" t="s">
        <v>14</v>
      </c>
      <c r="D74" s="17">
        <v>0</v>
      </c>
      <c r="E74" s="17">
        <v>1</v>
      </c>
      <c r="F74" s="17">
        <v>0</v>
      </c>
      <c r="G74" s="17">
        <v>0</v>
      </c>
      <c r="H74" s="17">
        <v>1</v>
      </c>
      <c r="I74" s="17" t="s">
        <v>13</v>
      </c>
      <c r="J74" s="17">
        <v>0</v>
      </c>
      <c r="K74" s="18">
        <v>1</v>
      </c>
      <c r="O74" s="16">
        <v>10000</v>
      </c>
      <c r="P74" s="17">
        <v>0</v>
      </c>
    </row>
    <row r="75" spans="1:16" x14ac:dyDescent="0.3">
      <c r="A75" s="19">
        <v>185</v>
      </c>
      <c r="B75" s="20">
        <v>33333.333330000001</v>
      </c>
      <c r="C75" s="21" t="s">
        <v>14</v>
      </c>
      <c r="D75" s="21">
        <v>0</v>
      </c>
      <c r="E75" s="21">
        <v>0</v>
      </c>
      <c r="F75" s="21">
        <v>0</v>
      </c>
      <c r="G75" s="21">
        <v>0</v>
      </c>
      <c r="H75" s="21">
        <v>1</v>
      </c>
      <c r="I75" s="21" t="s">
        <v>13</v>
      </c>
      <c r="J75" s="21">
        <v>1</v>
      </c>
      <c r="K75" s="22">
        <v>0</v>
      </c>
      <c r="O75" s="20">
        <v>33333.333330000001</v>
      </c>
      <c r="P75" s="21">
        <v>0</v>
      </c>
    </row>
    <row r="76" spans="1:16" x14ac:dyDescent="0.3">
      <c r="A76" s="15">
        <v>186</v>
      </c>
      <c r="B76" s="16">
        <v>26666.666669999999</v>
      </c>
      <c r="C76" s="17" t="s">
        <v>14</v>
      </c>
      <c r="D76" s="17">
        <v>0</v>
      </c>
      <c r="E76" s="17">
        <v>0</v>
      </c>
      <c r="F76" s="17">
        <v>0</v>
      </c>
      <c r="G76" s="17">
        <v>1</v>
      </c>
      <c r="H76" s="17">
        <v>0</v>
      </c>
      <c r="I76" s="17" t="s">
        <v>13</v>
      </c>
      <c r="J76" s="17">
        <v>1</v>
      </c>
      <c r="K76" s="18">
        <v>0</v>
      </c>
      <c r="O76" s="16">
        <v>26666.666669999999</v>
      </c>
      <c r="P76" s="17">
        <v>0</v>
      </c>
    </row>
    <row r="77" spans="1:16" x14ac:dyDescent="0.3">
      <c r="A77" s="19">
        <v>187</v>
      </c>
      <c r="B77" s="20">
        <v>14285.71429</v>
      </c>
      <c r="C77" s="21" t="s">
        <v>14</v>
      </c>
      <c r="D77" s="21">
        <v>0</v>
      </c>
      <c r="E77" s="21">
        <v>0</v>
      </c>
      <c r="F77" s="21">
        <v>0</v>
      </c>
      <c r="G77" s="21">
        <v>0</v>
      </c>
      <c r="H77" s="21">
        <v>1</v>
      </c>
      <c r="I77" s="21" t="s">
        <v>13</v>
      </c>
      <c r="J77" s="21">
        <v>0</v>
      </c>
      <c r="K77" s="22">
        <v>0</v>
      </c>
      <c r="O77" s="20">
        <v>14285.71429</v>
      </c>
      <c r="P77" s="21">
        <v>0</v>
      </c>
    </row>
    <row r="78" spans="1:16" x14ac:dyDescent="0.3">
      <c r="A78" s="15">
        <v>190</v>
      </c>
      <c r="B78" s="16">
        <v>40000</v>
      </c>
      <c r="C78" s="17" t="s">
        <v>14</v>
      </c>
      <c r="D78" s="17">
        <v>0</v>
      </c>
      <c r="E78" s="17">
        <v>0</v>
      </c>
      <c r="F78" s="17">
        <v>0</v>
      </c>
      <c r="G78" s="17">
        <v>1</v>
      </c>
      <c r="H78" s="17">
        <v>0</v>
      </c>
      <c r="I78" s="17" t="s">
        <v>13</v>
      </c>
      <c r="J78" s="17">
        <v>1</v>
      </c>
      <c r="K78" s="18">
        <v>1</v>
      </c>
      <c r="O78" s="16">
        <v>40000</v>
      </c>
      <c r="P78" s="17">
        <v>0</v>
      </c>
    </row>
    <row r="79" spans="1:16" x14ac:dyDescent="0.3">
      <c r="A79" s="19">
        <v>192</v>
      </c>
      <c r="B79" s="20">
        <v>-20000</v>
      </c>
      <c r="C79" s="21" t="s">
        <v>14</v>
      </c>
      <c r="D79" s="21">
        <v>0</v>
      </c>
      <c r="E79" s="21">
        <v>0</v>
      </c>
      <c r="F79" s="21">
        <v>0</v>
      </c>
      <c r="G79" s="21">
        <v>1</v>
      </c>
      <c r="H79" s="21">
        <v>0</v>
      </c>
      <c r="I79" s="21" t="s">
        <v>13</v>
      </c>
      <c r="J79" s="21">
        <v>1</v>
      </c>
      <c r="K79" s="22">
        <v>1</v>
      </c>
      <c r="O79" s="20">
        <v>-20000</v>
      </c>
      <c r="P79" s="21">
        <v>0</v>
      </c>
    </row>
    <row r="80" spans="1:16" x14ac:dyDescent="0.3">
      <c r="A80" s="15">
        <v>193</v>
      </c>
      <c r="B80" s="16">
        <v>25000</v>
      </c>
      <c r="C80" s="17" t="s">
        <v>14</v>
      </c>
      <c r="D80" s="17">
        <v>0</v>
      </c>
      <c r="E80" s="17">
        <v>0</v>
      </c>
      <c r="F80" s="17">
        <v>0</v>
      </c>
      <c r="G80" s="17">
        <v>1</v>
      </c>
      <c r="H80" s="17">
        <v>0</v>
      </c>
      <c r="I80" s="17" t="s">
        <v>13</v>
      </c>
      <c r="J80" s="17">
        <v>1</v>
      </c>
      <c r="K80" s="18">
        <v>0</v>
      </c>
      <c r="O80" s="16">
        <v>25000</v>
      </c>
      <c r="P80" s="17">
        <v>0</v>
      </c>
    </row>
    <row r="81" spans="1:16" x14ac:dyDescent="0.3">
      <c r="A81" s="19">
        <v>194</v>
      </c>
      <c r="B81" s="20">
        <v>100000</v>
      </c>
      <c r="C81" s="21" t="s">
        <v>12</v>
      </c>
      <c r="D81" s="21">
        <v>1</v>
      </c>
      <c r="E81" s="21">
        <v>0</v>
      </c>
      <c r="F81" s="21">
        <v>0</v>
      </c>
      <c r="G81" s="21">
        <v>0</v>
      </c>
      <c r="H81" s="21">
        <v>1</v>
      </c>
      <c r="I81" s="21" t="s">
        <v>13</v>
      </c>
      <c r="J81" s="21">
        <v>1</v>
      </c>
      <c r="K81" s="22">
        <v>0</v>
      </c>
      <c r="O81" s="20">
        <v>100000</v>
      </c>
      <c r="P81" s="21">
        <v>0</v>
      </c>
    </row>
    <row r="82" spans="1:16" x14ac:dyDescent="0.3">
      <c r="A82" s="15">
        <v>199</v>
      </c>
      <c r="B82" s="16">
        <v>10000</v>
      </c>
      <c r="C82" s="17" t="s">
        <v>12</v>
      </c>
      <c r="D82" s="17">
        <v>1</v>
      </c>
      <c r="E82" s="17">
        <v>0</v>
      </c>
      <c r="F82" s="17">
        <v>0</v>
      </c>
      <c r="G82" s="17">
        <v>0</v>
      </c>
      <c r="H82" s="17">
        <v>1</v>
      </c>
      <c r="I82" s="17" t="s">
        <v>13</v>
      </c>
      <c r="J82" s="17">
        <v>1</v>
      </c>
      <c r="K82" s="18">
        <v>1</v>
      </c>
      <c r="O82" s="16">
        <v>10000</v>
      </c>
      <c r="P82" s="17">
        <v>0</v>
      </c>
    </row>
    <row r="83" spans="1:16" x14ac:dyDescent="0.3">
      <c r="A83" s="19">
        <v>200</v>
      </c>
      <c r="B83" s="20">
        <v>28000</v>
      </c>
      <c r="C83" s="21" t="s">
        <v>14</v>
      </c>
      <c r="D83" s="21">
        <v>0</v>
      </c>
      <c r="E83" s="21">
        <v>0</v>
      </c>
      <c r="F83" s="21">
        <v>0</v>
      </c>
      <c r="G83" s="21">
        <v>0</v>
      </c>
      <c r="H83" s="21">
        <v>1</v>
      </c>
      <c r="I83" s="21" t="s">
        <v>13</v>
      </c>
      <c r="J83" s="21">
        <v>1</v>
      </c>
      <c r="K83" s="22">
        <v>1</v>
      </c>
      <c r="O83" s="20">
        <v>28000</v>
      </c>
      <c r="P83" s="21">
        <v>0</v>
      </c>
    </row>
    <row r="84" spans="1:16" x14ac:dyDescent="0.3">
      <c r="A84" s="15">
        <v>201</v>
      </c>
      <c r="B84" s="16">
        <v>60000</v>
      </c>
      <c r="C84" s="17" t="s">
        <v>14</v>
      </c>
      <c r="D84" s="17">
        <v>0</v>
      </c>
      <c r="E84" s="17">
        <v>0</v>
      </c>
      <c r="F84" s="17">
        <v>0</v>
      </c>
      <c r="G84" s="17">
        <v>0</v>
      </c>
      <c r="H84" s="17">
        <v>1</v>
      </c>
      <c r="I84" s="17" t="s">
        <v>13</v>
      </c>
      <c r="J84" s="17">
        <v>1</v>
      </c>
      <c r="K84" s="18">
        <v>1</v>
      </c>
      <c r="O84" s="16">
        <v>60000</v>
      </c>
      <c r="P84" s="17">
        <v>0</v>
      </c>
    </row>
    <row r="85" spans="1:16" x14ac:dyDescent="0.3">
      <c r="A85" s="19">
        <v>202</v>
      </c>
      <c r="B85" s="20">
        <v>28000</v>
      </c>
      <c r="C85" s="21" t="s">
        <v>14</v>
      </c>
      <c r="D85" s="21">
        <v>0</v>
      </c>
      <c r="E85" s="21">
        <v>0</v>
      </c>
      <c r="F85" s="21">
        <v>0</v>
      </c>
      <c r="G85" s="21">
        <v>0</v>
      </c>
      <c r="H85" s="21">
        <v>1</v>
      </c>
      <c r="I85" s="21" t="s">
        <v>13</v>
      </c>
      <c r="J85" s="21">
        <v>1</v>
      </c>
      <c r="K85" s="22">
        <v>0</v>
      </c>
      <c r="O85" s="20">
        <v>28000</v>
      </c>
      <c r="P85" s="21">
        <v>0</v>
      </c>
    </row>
    <row r="86" spans="1:16" x14ac:dyDescent="0.3">
      <c r="A86" s="15">
        <v>205</v>
      </c>
      <c r="B86" s="16">
        <v>50000</v>
      </c>
      <c r="C86" s="17" t="s">
        <v>14</v>
      </c>
      <c r="D86" s="17">
        <v>0</v>
      </c>
      <c r="E86" s="17">
        <v>0</v>
      </c>
      <c r="F86" s="17">
        <v>0</v>
      </c>
      <c r="G86" s="17">
        <v>0</v>
      </c>
      <c r="H86" s="17">
        <v>1</v>
      </c>
      <c r="I86" s="17" t="s">
        <v>13</v>
      </c>
      <c r="J86" s="17">
        <v>1</v>
      </c>
      <c r="K86" s="18">
        <v>1</v>
      </c>
      <c r="O86" s="16">
        <v>50000</v>
      </c>
      <c r="P86" s="17">
        <v>0</v>
      </c>
    </row>
    <row r="87" spans="1:16" x14ac:dyDescent="0.3">
      <c r="A87" s="19">
        <v>208</v>
      </c>
      <c r="B87" s="20">
        <v>40000</v>
      </c>
      <c r="C87" s="21" t="s">
        <v>14</v>
      </c>
      <c r="D87" s="21">
        <v>0</v>
      </c>
      <c r="E87" s="21">
        <v>1</v>
      </c>
      <c r="F87" s="21">
        <v>0</v>
      </c>
      <c r="G87" s="21">
        <v>0</v>
      </c>
      <c r="H87" s="21">
        <v>1</v>
      </c>
      <c r="I87" s="21" t="s">
        <v>13</v>
      </c>
      <c r="J87" s="21">
        <v>1</v>
      </c>
      <c r="K87" s="22">
        <v>0</v>
      </c>
      <c r="O87" s="20">
        <v>40000</v>
      </c>
      <c r="P87" s="21">
        <v>0</v>
      </c>
    </row>
    <row r="88" spans="1:16" x14ac:dyDescent="0.3">
      <c r="A88" s="15">
        <v>209</v>
      </c>
      <c r="B88" s="16">
        <v>50000</v>
      </c>
      <c r="C88" s="17" t="s">
        <v>14</v>
      </c>
      <c r="D88" s="17">
        <v>0</v>
      </c>
      <c r="E88" s="17">
        <v>0</v>
      </c>
      <c r="F88" s="17">
        <v>0</v>
      </c>
      <c r="G88" s="17">
        <v>1</v>
      </c>
      <c r="H88" s="17">
        <v>0</v>
      </c>
      <c r="I88" s="17" t="s">
        <v>13</v>
      </c>
      <c r="J88" s="17">
        <v>1</v>
      </c>
      <c r="K88" s="18">
        <v>0</v>
      </c>
      <c r="O88" s="16">
        <v>50000</v>
      </c>
      <c r="P88" s="17">
        <v>0</v>
      </c>
    </row>
    <row r="89" spans="1:16" x14ac:dyDescent="0.3">
      <c r="A89" s="19">
        <v>210</v>
      </c>
      <c r="B89" s="20">
        <v>8571.4285710000004</v>
      </c>
      <c r="C89" s="21" t="s">
        <v>14</v>
      </c>
      <c r="D89" s="21">
        <v>0</v>
      </c>
      <c r="E89" s="21">
        <v>0</v>
      </c>
      <c r="F89" s="21">
        <v>0</v>
      </c>
      <c r="G89" s="21">
        <v>0</v>
      </c>
      <c r="H89" s="21">
        <v>1</v>
      </c>
      <c r="I89" s="21" t="s">
        <v>13</v>
      </c>
      <c r="J89" s="21">
        <v>0</v>
      </c>
      <c r="K89" s="22">
        <v>1</v>
      </c>
      <c r="O89" s="20">
        <v>8571.4285710000004</v>
      </c>
      <c r="P89" s="21">
        <v>0</v>
      </c>
    </row>
    <row r="90" spans="1:16" x14ac:dyDescent="0.3">
      <c r="A90" s="15">
        <v>212</v>
      </c>
      <c r="B90" s="16">
        <v>33333.333330000001</v>
      </c>
      <c r="C90" s="17" t="s">
        <v>14</v>
      </c>
      <c r="D90" s="17">
        <v>0</v>
      </c>
      <c r="E90" s="17">
        <v>1</v>
      </c>
      <c r="F90" s="17">
        <v>0</v>
      </c>
      <c r="G90" s="17">
        <v>0</v>
      </c>
      <c r="H90" s="17">
        <v>1</v>
      </c>
      <c r="I90" s="17" t="s">
        <v>13</v>
      </c>
      <c r="J90" s="17">
        <v>1</v>
      </c>
      <c r="K90" s="18">
        <v>0</v>
      </c>
      <c r="O90" s="16">
        <v>33333.333330000001</v>
      </c>
      <c r="P90" s="17">
        <v>0</v>
      </c>
    </row>
    <row r="91" spans="1:16" x14ac:dyDescent="0.3">
      <c r="A91" s="19">
        <v>213</v>
      </c>
      <c r="B91" s="20">
        <v>33333.333330000001</v>
      </c>
      <c r="C91" s="21" t="s">
        <v>14</v>
      </c>
      <c r="D91" s="21">
        <v>0</v>
      </c>
      <c r="E91" s="21">
        <v>1</v>
      </c>
      <c r="F91" s="21">
        <v>0</v>
      </c>
      <c r="G91" s="21">
        <v>1</v>
      </c>
      <c r="H91" s="21">
        <v>0</v>
      </c>
      <c r="I91" s="21" t="s">
        <v>13</v>
      </c>
      <c r="J91" s="21">
        <v>0</v>
      </c>
      <c r="K91" s="22">
        <v>0</v>
      </c>
      <c r="O91" s="20">
        <v>33333.333330000001</v>
      </c>
      <c r="P91" s="21">
        <v>0</v>
      </c>
    </row>
    <row r="92" spans="1:16" x14ac:dyDescent="0.3">
      <c r="A92" s="15">
        <v>214</v>
      </c>
      <c r="B92" s="16">
        <v>40000</v>
      </c>
      <c r="C92" s="17" t="s">
        <v>14</v>
      </c>
      <c r="D92" s="17">
        <v>0</v>
      </c>
      <c r="E92" s="17">
        <v>0</v>
      </c>
      <c r="F92" s="17">
        <v>0</v>
      </c>
      <c r="G92" s="17">
        <v>0</v>
      </c>
      <c r="H92" s="17">
        <v>1</v>
      </c>
      <c r="I92" s="17" t="s">
        <v>13</v>
      </c>
      <c r="J92" s="17">
        <v>1</v>
      </c>
      <c r="K92" s="18">
        <v>0</v>
      </c>
      <c r="O92" s="16">
        <v>40000</v>
      </c>
      <c r="P92" s="17">
        <v>0</v>
      </c>
    </row>
    <row r="93" spans="1:16" x14ac:dyDescent="0.3">
      <c r="A93" s="19">
        <v>215</v>
      </c>
      <c r="B93" s="20">
        <v>25000</v>
      </c>
      <c r="C93" s="21" t="s">
        <v>14</v>
      </c>
      <c r="D93" s="21">
        <v>0</v>
      </c>
      <c r="E93" s="21">
        <v>0</v>
      </c>
      <c r="F93" s="21">
        <v>0</v>
      </c>
      <c r="G93" s="21">
        <v>1</v>
      </c>
      <c r="H93" s="21">
        <v>0</v>
      </c>
      <c r="I93" s="21" t="s">
        <v>13</v>
      </c>
      <c r="J93" s="21">
        <v>1</v>
      </c>
      <c r="K93" s="22">
        <v>0</v>
      </c>
      <c r="O93" s="20">
        <v>25000</v>
      </c>
      <c r="P93" s="21">
        <v>0</v>
      </c>
    </row>
    <row r="94" spans="1:16" x14ac:dyDescent="0.3">
      <c r="A94" s="15">
        <v>216</v>
      </c>
      <c r="B94" s="16">
        <v>26666.666669999999</v>
      </c>
      <c r="C94" s="17" t="s">
        <v>14</v>
      </c>
      <c r="D94" s="17">
        <v>0</v>
      </c>
      <c r="E94" s="17">
        <v>0</v>
      </c>
      <c r="F94" s="17">
        <v>0</v>
      </c>
      <c r="G94" s="17">
        <v>1</v>
      </c>
      <c r="H94" s="17">
        <v>0</v>
      </c>
      <c r="I94" s="17" t="s">
        <v>13</v>
      </c>
      <c r="J94" s="17">
        <v>1</v>
      </c>
      <c r="K94" s="18">
        <v>0</v>
      </c>
      <c r="O94" s="16">
        <v>26666.666669999999</v>
      </c>
      <c r="P94" s="17">
        <v>0</v>
      </c>
    </row>
    <row r="95" spans="1:16" x14ac:dyDescent="0.3">
      <c r="A95" s="19">
        <v>217</v>
      </c>
      <c r="B95" s="20">
        <v>5000</v>
      </c>
      <c r="C95" s="21" t="s">
        <v>14</v>
      </c>
      <c r="D95" s="21">
        <v>0</v>
      </c>
      <c r="E95" s="21">
        <v>1</v>
      </c>
      <c r="F95" s="21">
        <v>0</v>
      </c>
      <c r="G95" s="21">
        <v>0</v>
      </c>
      <c r="H95" s="21">
        <v>1</v>
      </c>
      <c r="I95" s="21" t="s">
        <v>13</v>
      </c>
      <c r="J95" s="21">
        <v>1</v>
      </c>
      <c r="K95" s="22">
        <v>1</v>
      </c>
      <c r="O95" s="20">
        <v>5000</v>
      </c>
      <c r="P95" s="21">
        <v>0</v>
      </c>
    </row>
    <row r="96" spans="1:16" x14ac:dyDescent="0.3">
      <c r="A96" s="15">
        <v>218</v>
      </c>
      <c r="B96" s="16">
        <v>100000</v>
      </c>
      <c r="C96" s="17" t="s">
        <v>14</v>
      </c>
      <c r="D96" s="17">
        <v>0</v>
      </c>
      <c r="E96" s="17">
        <v>0</v>
      </c>
      <c r="F96" s="17">
        <v>0</v>
      </c>
      <c r="G96" s="17">
        <v>1</v>
      </c>
      <c r="H96" s="17">
        <v>0</v>
      </c>
      <c r="I96" s="17" t="s">
        <v>13</v>
      </c>
      <c r="J96" s="17">
        <v>1</v>
      </c>
      <c r="K96" s="18">
        <v>0</v>
      </c>
      <c r="O96" s="16">
        <v>100000</v>
      </c>
      <c r="P96" s="17">
        <v>0</v>
      </c>
    </row>
    <row r="97" spans="1:16" x14ac:dyDescent="0.3">
      <c r="A97" s="19">
        <v>219</v>
      </c>
      <c r="B97" s="20">
        <v>50000</v>
      </c>
      <c r="C97" s="21" t="s">
        <v>12</v>
      </c>
      <c r="D97" s="21">
        <v>1</v>
      </c>
      <c r="E97" s="21">
        <v>0</v>
      </c>
      <c r="F97" s="21">
        <v>0</v>
      </c>
      <c r="G97" s="21">
        <v>0</v>
      </c>
      <c r="H97" s="21">
        <v>1</v>
      </c>
      <c r="I97" s="21" t="s">
        <v>13</v>
      </c>
      <c r="J97" s="21">
        <v>1</v>
      </c>
      <c r="K97" s="22">
        <v>0</v>
      </c>
      <c r="O97" s="20">
        <v>50000</v>
      </c>
      <c r="P97" s="21">
        <v>0</v>
      </c>
    </row>
    <row r="98" spans="1:16" x14ac:dyDescent="0.3">
      <c r="A98" s="15">
        <v>220</v>
      </c>
      <c r="B98" s="16">
        <v>25000</v>
      </c>
      <c r="C98" s="17" t="s">
        <v>14</v>
      </c>
      <c r="D98" s="17">
        <v>0</v>
      </c>
      <c r="E98" s="17">
        <v>0</v>
      </c>
      <c r="F98" s="17">
        <v>0</v>
      </c>
      <c r="G98" s="17">
        <v>1</v>
      </c>
      <c r="H98" s="17">
        <v>0</v>
      </c>
      <c r="I98" s="17" t="s">
        <v>13</v>
      </c>
      <c r="J98" s="17">
        <v>1</v>
      </c>
      <c r="K98" s="18">
        <v>0</v>
      </c>
      <c r="O98" s="16">
        <v>25000</v>
      </c>
      <c r="P98" s="17">
        <v>0</v>
      </c>
    </row>
    <row r="99" spans="1:16" x14ac:dyDescent="0.3">
      <c r="A99" s="19">
        <v>221</v>
      </c>
      <c r="B99" s="20">
        <v>10000</v>
      </c>
      <c r="C99" s="21" t="s">
        <v>14</v>
      </c>
      <c r="D99" s="21">
        <v>0</v>
      </c>
      <c r="E99" s="21">
        <v>1</v>
      </c>
      <c r="F99" s="21">
        <v>0</v>
      </c>
      <c r="G99" s="21">
        <v>1</v>
      </c>
      <c r="H99" s="21">
        <v>0</v>
      </c>
      <c r="I99" s="21" t="s">
        <v>13</v>
      </c>
      <c r="J99" s="21">
        <v>1</v>
      </c>
      <c r="K99" s="22">
        <v>0</v>
      </c>
      <c r="O99" s="20">
        <v>10000</v>
      </c>
      <c r="P99" s="21">
        <v>0</v>
      </c>
    </row>
    <row r="100" spans="1:16" x14ac:dyDescent="0.3">
      <c r="A100" s="15">
        <v>223</v>
      </c>
      <c r="B100" s="16">
        <v>40000</v>
      </c>
      <c r="C100" s="17" t="s">
        <v>14</v>
      </c>
      <c r="D100" s="17">
        <v>0</v>
      </c>
      <c r="E100" s="17">
        <v>0</v>
      </c>
      <c r="F100" s="17">
        <v>0</v>
      </c>
      <c r="G100" s="17">
        <v>1</v>
      </c>
      <c r="H100" s="17">
        <v>0</v>
      </c>
      <c r="I100" s="17" t="s">
        <v>13</v>
      </c>
      <c r="J100" s="17">
        <v>1</v>
      </c>
      <c r="K100" s="18">
        <v>0</v>
      </c>
      <c r="O100" s="16">
        <v>40000</v>
      </c>
      <c r="P100" s="17">
        <v>0</v>
      </c>
    </row>
    <row r="101" spans="1:16" x14ac:dyDescent="0.3">
      <c r="A101" s="19">
        <v>224</v>
      </c>
      <c r="B101" s="20">
        <v>50000</v>
      </c>
      <c r="C101" s="21" t="s">
        <v>14</v>
      </c>
      <c r="D101" s="21">
        <v>0</v>
      </c>
      <c r="E101" s="21">
        <v>0</v>
      </c>
      <c r="F101" s="21">
        <v>0</v>
      </c>
      <c r="G101" s="21">
        <v>1</v>
      </c>
      <c r="H101" s="21">
        <v>0</v>
      </c>
      <c r="I101" s="21" t="s">
        <v>13</v>
      </c>
      <c r="J101" s="21">
        <v>1</v>
      </c>
      <c r="K101" s="22">
        <v>0</v>
      </c>
      <c r="O101" s="20">
        <v>50000</v>
      </c>
      <c r="P101" s="21">
        <v>0</v>
      </c>
    </row>
    <row r="102" spans="1:16" x14ac:dyDescent="0.3">
      <c r="A102" s="15">
        <v>226</v>
      </c>
      <c r="B102" s="16">
        <v>70000</v>
      </c>
      <c r="C102" s="17" t="s">
        <v>14</v>
      </c>
      <c r="D102" s="17">
        <v>0</v>
      </c>
      <c r="E102" s="17">
        <v>0</v>
      </c>
      <c r="F102" s="17">
        <v>0</v>
      </c>
      <c r="G102" s="17">
        <v>0</v>
      </c>
      <c r="H102" s="17">
        <v>1</v>
      </c>
      <c r="I102" s="17" t="s">
        <v>13</v>
      </c>
      <c r="J102" s="17">
        <v>1</v>
      </c>
      <c r="K102" s="18">
        <v>0</v>
      </c>
      <c r="O102" s="16">
        <v>70000</v>
      </c>
      <c r="P102" s="17">
        <v>0</v>
      </c>
    </row>
    <row r="103" spans="1:16" x14ac:dyDescent="0.3">
      <c r="A103" s="19">
        <v>227</v>
      </c>
      <c r="B103" s="20">
        <v>33333.333330000001</v>
      </c>
      <c r="C103" s="21" t="s">
        <v>12</v>
      </c>
      <c r="D103" s="21">
        <v>1</v>
      </c>
      <c r="E103" s="21">
        <v>1</v>
      </c>
      <c r="F103" s="21">
        <v>0</v>
      </c>
      <c r="G103" s="21">
        <v>0</v>
      </c>
      <c r="H103" s="21">
        <v>1</v>
      </c>
      <c r="I103" s="21" t="s">
        <v>13</v>
      </c>
      <c r="J103" s="21">
        <v>1</v>
      </c>
      <c r="K103" s="22">
        <v>1</v>
      </c>
      <c r="O103" s="20">
        <v>33333.333330000001</v>
      </c>
      <c r="P103" s="21">
        <v>0</v>
      </c>
    </row>
    <row r="104" spans="1:16" x14ac:dyDescent="0.3">
      <c r="A104" s="15">
        <v>229</v>
      </c>
      <c r="B104" s="16">
        <v>60000</v>
      </c>
      <c r="C104" s="17" t="s">
        <v>14</v>
      </c>
      <c r="D104" s="17">
        <v>0</v>
      </c>
      <c r="E104" s="17">
        <v>1</v>
      </c>
      <c r="F104" s="17">
        <v>0</v>
      </c>
      <c r="G104" s="17">
        <v>0</v>
      </c>
      <c r="H104" s="17">
        <v>1</v>
      </c>
      <c r="I104" s="17" t="s">
        <v>13</v>
      </c>
      <c r="J104" s="17">
        <v>1</v>
      </c>
      <c r="K104" s="18">
        <v>0</v>
      </c>
      <c r="O104" s="16">
        <v>60000</v>
      </c>
      <c r="P104" s="17">
        <v>0</v>
      </c>
    </row>
    <row r="105" spans="1:16" x14ac:dyDescent="0.3">
      <c r="A105" s="19">
        <v>233</v>
      </c>
      <c r="B105" s="20">
        <v>50000</v>
      </c>
      <c r="C105" s="21" t="s">
        <v>12</v>
      </c>
      <c r="D105" s="21">
        <v>1</v>
      </c>
      <c r="E105" s="21">
        <v>1</v>
      </c>
      <c r="F105" s="21">
        <v>0</v>
      </c>
      <c r="G105" s="21">
        <v>1</v>
      </c>
      <c r="H105" s="21">
        <v>0</v>
      </c>
      <c r="I105" s="21" t="s">
        <v>13</v>
      </c>
      <c r="J105" s="21">
        <v>1</v>
      </c>
      <c r="K105" s="22">
        <v>0</v>
      </c>
      <c r="O105" s="20">
        <v>50000</v>
      </c>
      <c r="P105" s="21">
        <v>0</v>
      </c>
    </row>
    <row r="106" spans="1:16" x14ac:dyDescent="0.3">
      <c r="A106" s="15">
        <v>234</v>
      </c>
      <c r="B106" s="16">
        <v>32500</v>
      </c>
      <c r="C106" s="17" t="s">
        <v>12</v>
      </c>
      <c r="D106" s="17">
        <v>1</v>
      </c>
      <c r="E106" s="17">
        <v>0</v>
      </c>
      <c r="F106" s="17">
        <v>0</v>
      </c>
      <c r="G106" s="17">
        <v>0</v>
      </c>
      <c r="H106" s="17">
        <v>1</v>
      </c>
      <c r="I106" s="17" t="s">
        <v>13</v>
      </c>
      <c r="J106" s="17">
        <v>1</v>
      </c>
      <c r="K106" s="18">
        <v>0</v>
      </c>
      <c r="O106" s="16">
        <v>32500</v>
      </c>
      <c r="P106" s="17">
        <v>0</v>
      </c>
    </row>
    <row r="107" spans="1:16" x14ac:dyDescent="0.3">
      <c r="A107" s="19">
        <v>235</v>
      </c>
      <c r="B107" s="20">
        <v>25000</v>
      </c>
      <c r="C107" s="21" t="s">
        <v>14</v>
      </c>
      <c r="D107" s="21">
        <v>0</v>
      </c>
      <c r="E107" s="21">
        <v>1</v>
      </c>
      <c r="F107" s="21">
        <v>0</v>
      </c>
      <c r="G107" s="21">
        <v>1</v>
      </c>
      <c r="H107" s="21">
        <v>0</v>
      </c>
      <c r="I107" s="21" t="s">
        <v>13</v>
      </c>
      <c r="J107" s="21">
        <v>0</v>
      </c>
      <c r="K107" s="22">
        <v>0</v>
      </c>
      <c r="O107" s="20">
        <v>25000</v>
      </c>
      <c r="P107" s="21">
        <v>0</v>
      </c>
    </row>
    <row r="108" spans="1:16" x14ac:dyDescent="0.3">
      <c r="A108" s="15">
        <v>236</v>
      </c>
      <c r="B108" s="16">
        <v>25000</v>
      </c>
      <c r="C108" s="17" t="s">
        <v>14</v>
      </c>
      <c r="D108" s="17">
        <v>0</v>
      </c>
      <c r="E108" s="17">
        <v>1</v>
      </c>
      <c r="F108" s="17">
        <v>0</v>
      </c>
      <c r="G108" s="17">
        <v>0</v>
      </c>
      <c r="H108" s="17">
        <v>1</v>
      </c>
      <c r="I108" s="17" t="s">
        <v>13</v>
      </c>
      <c r="J108" s="17">
        <v>1</v>
      </c>
      <c r="K108" s="18">
        <v>0</v>
      </c>
      <c r="O108" s="16">
        <v>25000</v>
      </c>
      <c r="P108" s="17">
        <v>0</v>
      </c>
    </row>
    <row r="109" spans="1:16" x14ac:dyDescent="0.3">
      <c r="A109" s="19">
        <v>238</v>
      </c>
      <c r="B109" s="20">
        <v>33333.333330000001</v>
      </c>
      <c r="C109" s="21" t="s">
        <v>12</v>
      </c>
      <c r="D109" s="21">
        <v>1</v>
      </c>
      <c r="E109" s="21">
        <v>0</v>
      </c>
      <c r="F109" s="21">
        <v>0</v>
      </c>
      <c r="G109" s="21">
        <v>0</v>
      </c>
      <c r="H109" s="21">
        <v>1</v>
      </c>
      <c r="I109" s="21" t="s">
        <v>13</v>
      </c>
      <c r="J109" s="21">
        <v>1</v>
      </c>
      <c r="K109" s="22">
        <v>0</v>
      </c>
      <c r="O109" s="20">
        <v>33333.333330000001</v>
      </c>
      <c r="P109" s="21">
        <v>0</v>
      </c>
    </row>
    <row r="110" spans="1:16" x14ac:dyDescent="0.3">
      <c r="A110" s="15">
        <v>239</v>
      </c>
      <c r="B110" s="16">
        <v>150000</v>
      </c>
      <c r="C110" s="17" t="s">
        <v>12</v>
      </c>
      <c r="D110" s="17">
        <v>1</v>
      </c>
      <c r="E110" s="17">
        <v>0</v>
      </c>
      <c r="F110" s="17">
        <v>0</v>
      </c>
      <c r="G110" s="17">
        <v>0</v>
      </c>
      <c r="H110" s="17">
        <v>1</v>
      </c>
      <c r="I110" s="17" t="s">
        <v>13</v>
      </c>
      <c r="J110" s="17">
        <v>1</v>
      </c>
      <c r="K110" s="18">
        <v>0</v>
      </c>
      <c r="O110" s="16">
        <v>150000</v>
      </c>
      <c r="P110" s="17">
        <v>0</v>
      </c>
    </row>
    <row r="111" spans="1:16" x14ac:dyDescent="0.3">
      <c r="A111" s="19">
        <v>240</v>
      </c>
      <c r="B111" s="20">
        <v>30000</v>
      </c>
      <c r="C111" s="21" t="s">
        <v>14</v>
      </c>
      <c r="D111" s="21">
        <v>0</v>
      </c>
      <c r="E111" s="21">
        <v>0</v>
      </c>
      <c r="F111" s="21">
        <v>0</v>
      </c>
      <c r="G111" s="21">
        <v>0</v>
      </c>
      <c r="H111" s="21">
        <v>1</v>
      </c>
      <c r="I111" s="21" t="s">
        <v>13</v>
      </c>
      <c r="J111" s="21">
        <v>1</v>
      </c>
      <c r="K111" s="22">
        <v>0</v>
      </c>
      <c r="O111" s="20">
        <v>30000</v>
      </c>
      <c r="P111" s="21">
        <v>0</v>
      </c>
    </row>
    <row r="112" spans="1:16" x14ac:dyDescent="0.3">
      <c r="A112" s="15">
        <v>241</v>
      </c>
      <c r="B112" s="16">
        <v>50000</v>
      </c>
      <c r="C112" s="17" t="s">
        <v>14</v>
      </c>
      <c r="D112" s="17">
        <v>0</v>
      </c>
      <c r="E112" s="17">
        <v>0</v>
      </c>
      <c r="F112" s="17">
        <v>0</v>
      </c>
      <c r="G112" s="17">
        <v>1</v>
      </c>
      <c r="H112" s="17">
        <v>0</v>
      </c>
      <c r="I112" s="17" t="s">
        <v>13</v>
      </c>
      <c r="J112" s="17">
        <v>1</v>
      </c>
      <c r="K112" s="18">
        <v>1</v>
      </c>
      <c r="O112" s="16">
        <v>50000</v>
      </c>
      <c r="P112" s="17">
        <v>0</v>
      </c>
    </row>
    <row r="113" spans="1:16" x14ac:dyDescent="0.3">
      <c r="A113" s="19">
        <v>242</v>
      </c>
      <c r="B113" s="20">
        <v>50000</v>
      </c>
      <c r="C113" s="21" t="s">
        <v>12</v>
      </c>
      <c r="D113" s="21">
        <v>1</v>
      </c>
      <c r="E113" s="21">
        <v>1</v>
      </c>
      <c r="F113" s="21">
        <v>0</v>
      </c>
      <c r="G113" s="21">
        <v>0</v>
      </c>
      <c r="H113" s="21">
        <v>1</v>
      </c>
      <c r="I113" s="21" t="s">
        <v>13</v>
      </c>
      <c r="J113" s="21">
        <v>0</v>
      </c>
      <c r="K113" s="22">
        <v>1</v>
      </c>
      <c r="O113" s="20">
        <v>50000</v>
      </c>
      <c r="P113" s="21">
        <v>0</v>
      </c>
    </row>
    <row r="114" spans="1:16" x14ac:dyDescent="0.3">
      <c r="A114" s="15">
        <v>243</v>
      </c>
      <c r="B114" s="16">
        <v>16000</v>
      </c>
      <c r="C114" s="17" t="s">
        <v>14</v>
      </c>
      <c r="D114" s="17">
        <v>0</v>
      </c>
      <c r="E114" s="17">
        <v>1</v>
      </c>
      <c r="F114" s="17">
        <v>0</v>
      </c>
      <c r="G114" s="17">
        <v>1</v>
      </c>
      <c r="H114" s="17">
        <v>0</v>
      </c>
      <c r="I114" s="17" t="s">
        <v>13</v>
      </c>
      <c r="J114" s="17">
        <v>1</v>
      </c>
      <c r="K114" s="18">
        <v>0</v>
      </c>
      <c r="O114" s="16">
        <v>16000</v>
      </c>
      <c r="P114" s="17">
        <v>0</v>
      </c>
    </row>
    <row r="115" spans="1:16" x14ac:dyDescent="0.3">
      <c r="A115" s="19">
        <v>244</v>
      </c>
      <c r="B115" s="20">
        <v>20000</v>
      </c>
      <c r="C115" s="21" t="s">
        <v>14</v>
      </c>
      <c r="D115" s="21">
        <v>0</v>
      </c>
      <c r="E115" s="21">
        <v>0</v>
      </c>
      <c r="F115" s="21">
        <v>0</v>
      </c>
      <c r="G115" s="21">
        <v>1</v>
      </c>
      <c r="H115" s="21">
        <v>0</v>
      </c>
      <c r="I115" s="21" t="s">
        <v>13</v>
      </c>
      <c r="J115" s="21">
        <v>1</v>
      </c>
      <c r="K115" s="22">
        <v>0</v>
      </c>
      <c r="O115" s="20">
        <v>20000</v>
      </c>
      <c r="P115" s="21">
        <v>0</v>
      </c>
    </row>
    <row r="116" spans="1:16" x14ac:dyDescent="0.3">
      <c r="A116" s="15">
        <v>245</v>
      </c>
      <c r="B116" s="16">
        <v>60000</v>
      </c>
      <c r="C116" s="17" t="s">
        <v>14</v>
      </c>
      <c r="D116" s="17">
        <v>0</v>
      </c>
      <c r="E116" s="17">
        <v>0</v>
      </c>
      <c r="F116" s="17">
        <v>0</v>
      </c>
      <c r="G116" s="17">
        <v>0</v>
      </c>
      <c r="H116" s="17">
        <v>1</v>
      </c>
      <c r="I116" s="17" t="s">
        <v>13</v>
      </c>
      <c r="J116" s="17">
        <v>1</v>
      </c>
      <c r="K116" s="18">
        <v>1</v>
      </c>
      <c r="O116" s="16">
        <v>60000</v>
      </c>
      <c r="P116" s="17">
        <v>0</v>
      </c>
    </row>
    <row r="117" spans="1:16" x14ac:dyDescent="0.3">
      <c r="A117" s="19">
        <v>248</v>
      </c>
      <c r="B117" s="20">
        <v>25000</v>
      </c>
      <c r="C117" s="21" t="s">
        <v>14</v>
      </c>
      <c r="D117" s="21">
        <v>0</v>
      </c>
      <c r="E117" s="21">
        <v>0</v>
      </c>
      <c r="F117" s="21">
        <v>0</v>
      </c>
      <c r="G117" s="21">
        <v>0</v>
      </c>
      <c r="H117" s="21">
        <v>1</v>
      </c>
      <c r="I117" s="21" t="s">
        <v>13</v>
      </c>
      <c r="J117" s="21">
        <v>1</v>
      </c>
      <c r="K117" s="22">
        <v>1</v>
      </c>
      <c r="O117" s="20">
        <v>25000</v>
      </c>
      <c r="P117" s="21">
        <v>0</v>
      </c>
    </row>
    <row r="118" spans="1:16" x14ac:dyDescent="0.3">
      <c r="A118" s="15">
        <v>252</v>
      </c>
      <c r="B118" s="16">
        <v>4000</v>
      </c>
      <c r="C118" s="17" t="s">
        <v>12</v>
      </c>
      <c r="D118" s="17">
        <v>1</v>
      </c>
      <c r="E118" s="17">
        <v>1</v>
      </c>
      <c r="F118" s="17">
        <v>0</v>
      </c>
      <c r="G118" s="17">
        <v>0</v>
      </c>
      <c r="H118" s="17">
        <v>1</v>
      </c>
      <c r="I118" s="17" t="s">
        <v>13</v>
      </c>
      <c r="J118" s="17">
        <v>0</v>
      </c>
      <c r="K118" s="18">
        <v>1</v>
      </c>
      <c r="O118" s="16">
        <v>4000</v>
      </c>
      <c r="P118" s="17">
        <v>0</v>
      </c>
    </row>
    <row r="119" spans="1:16" x14ac:dyDescent="0.3">
      <c r="A119" s="19">
        <v>259</v>
      </c>
      <c r="B119" s="20">
        <v>100000</v>
      </c>
      <c r="C119" s="21" t="s">
        <v>12</v>
      </c>
      <c r="D119" s="21">
        <v>1</v>
      </c>
      <c r="E119" s="21">
        <v>0</v>
      </c>
      <c r="F119" s="21">
        <v>0</v>
      </c>
      <c r="G119" s="21">
        <v>0</v>
      </c>
      <c r="H119" s="21">
        <v>1</v>
      </c>
      <c r="I119" s="21" t="s">
        <v>13</v>
      </c>
      <c r="J119" s="21">
        <v>1</v>
      </c>
      <c r="K119" s="22">
        <v>0</v>
      </c>
      <c r="O119" s="20">
        <v>100000</v>
      </c>
      <c r="P119" s="21">
        <v>0</v>
      </c>
    </row>
    <row r="120" spans="1:16" x14ac:dyDescent="0.3">
      <c r="A120" s="15">
        <v>261</v>
      </c>
      <c r="B120" s="16">
        <v>17500</v>
      </c>
      <c r="C120" s="17" t="s">
        <v>14</v>
      </c>
      <c r="D120" s="17">
        <v>0</v>
      </c>
      <c r="E120" s="17">
        <v>0</v>
      </c>
      <c r="F120" s="17">
        <v>0</v>
      </c>
      <c r="G120" s="17">
        <v>0</v>
      </c>
      <c r="H120" s="17">
        <v>1</v>
      </c>
      <c r="I120" s="17" t="s">
        <v>13</v>
      </c>
      <c r="J120" s="17">
        <v>1</v>
      </c>
      <c r="K120" s="18">
        <v>1</v>
      </c>
      <c r="O120" s="16">
        <v>17500</v>
      </c>
      <c r="P120" s="17">
        <v>0</v>
      </c>
    </row>
    <row r="121" spans="1:16" x14ac:dyDescent="0.3">
      <c r="A121" s="19">
        <v>262</v>
      </c>
      <c r="B121" s="20">
        <v>11818.18182</v>
      </c>
      <c r="C121" s="21" t="s">
        <v>14</v>
      </c>
      <c r="D121" s="21">
        <v>0</v>
      </c>
      <c r="E121" s="21">
        <v>0</v>
      </c>
      <c r="F121" s="21">
        <v>0</v>
      </c>
      <c r="G121" s="21">
        <v>0</v>
      </c>
      <c r="H121" s="21">
        <v>1</v>
      </c>
      <c r="I121" s="21" t="s">
        <v>13</v>
      </c>
      <c r="J121" s="21">
        <v>0</v>
      </c>
      <c r="K121" s="22">
        <v>1</v>
      </c>
      <c r="O121" s="20">
        <v>11818.18182</v>
      </c>
      <c r="P121" s="21">
        <v>0</v>
      </c>
    </row>
    <row r="122" spans="1:16" x14ac:dyDescent="0.3">
      <c r="A122" s="15">
        <v>263</v>
      </c>
      <c r="B122" s="16">
        <v>5000</v>
      </c>
      <c r="C122" s="17" t="s">
        <v>14</v>
      </c>
      <c r="D122" s="17">
        <v>0</v>
      </c>
      <c r="E122" s="17">
        <v>0</v>
      </c>
      <c r="F122" s="17">
        <v>0</v>
      </c>
      <c r="G122" s="17">
        <v>0</v>
      </c>
      <c r="H122" s="17">
        <v>1</v>
      </c>
      <c r="I122" s="17" t="s">
        <v>13</v>
      </c>
      <c r="J122" s="17">
        <v>1</v>
      </c>
      <c r="K122" s="18">
        <v>1</v>
      </c>
      <c r="O122" s="16">
        <v>5000</v>
      </c>
      <c r="P122" s="17">
        <v>0</v>
      </c>
    </row>
    <row r="123" spans="1:16" x14ac:dyDescent="0.3">
      <c r="A123" s="19">
        <v>264</v>
      </c>
      <c r="B123" s="20">
        <v>15000</v>
      </c>
      <c r="C123" s="21" t="s">
        <v>14</v>
      </c>
      <c r="D123" s="21">
        <v>0</v>
      </c>
      <c r="E123" s="21">
        <v>0</v>
      </c>
      <c r="F123" s="21">
        <v>0</v>
      </c>
      <c r="G123" s="21">
        <v>0</v>
      </c>
      <c r="H123" s="21">
        <v>1</v>
      </c>
      <c r="I123" s="21" t="s">
        <v>13</v>
      </c>
      <c r="J123" s="21">
        <v>1</v>
      </c>
      <c r="K123" s="22">
        <v>1</v>
      </c>
      <c r="O123" s="20">
        <v>15000</v>
      </c>
      <c r="P123" s="21">
        <v>0</v>
      </c>
    </row>
    <row r="124" spans="1:16" x14ac:dyDescent="0.3">
      <c r="A124" s="15">
        <v>266</v>
      </c>
      <c r="B124" s="16">
        <v>10769.23077</v>
      </c>
      <c r="C124" s="17" t="s">
        <v>14</v>
      </c>
      <c r="D124" s="17">
        <v>0</v>
      </c>
      <c r="E124" s="17">
        <v>0</v>
      </c>
      <c r="F124" s="17">
        <v>0</v>
      </c>
      <c r="G124" s="17">
        <v>0</v>
      </c>
      <c r="H124" s="17">
        <v>1</v>
      </c>
      <c r="I124" s="17" t="s">
        <v>13</v>
      </c>
      <c r="J124" s="17">
        <v>0</v>
      </c>
      <c r="K124" s="18">
        <v>1</v>
      </c>
      <c r="O124" s="16">
        <v>10769.23077</v>
      </c>
      <c r="P124" s="17">
        <v>0</v>
      </c>
    </row>
    <row r="125" spans="1:16" x14ac:dyDescent="0.3">
      <c r="A125" s="19">
        <v>270</v>
      </c>
      <c r="B125" s="20">
        <v>16000</v>
      </c>
      <c r="C125" s="21" t="s">
        <v>14</v>
      </c>
      <c r="D125" s="21">
        <v>0</v>
      </c>
      <c r="E125" s="21">
        <v>0</v>
      </c>
      <c r="F125" s="21">
        <v>0</v>
      </c>
      <c r="G125" s="21">
        <v>0</v>
      </c>
      <c r="H125" s="21">
        <v>1</v>
      </c>
      <c r="I125" s="21" t="s">
        <v>13</v>
      </c>
      <c r="J125" s="21">
        <v>0</v>
      </c>
      <c r="K125" s="22">
        <v>1</v>
      </c>
      <c r="O125" s="20">
        <v>16000</v>
      </c>
      <c r="P125" s="21">
        <v>0</v>
      </c>
    </row>
    <row r="126" spans="1:16" x14ac:dyDescent="0.3">
      <c r="A126" s="15">
        <v>278</v>
      </c>
      <c r="B126" s="16">
        <v>24444.444439999999</v>
      </c>
      <c r="C126" s="17" t="s">
        <v>14</v>
      </c>
      <c r="D126" s="17">
        <v>0</v>
      </c>
      <c r="E126" s="17">
        <v>0</v>
      </c>
      <c r="F126" s="17">
        <v>0</v>
      </c>
      <c r="G126" s="17">
        <v>0</v>
      </c>
      <c r="H126" s="17">
        <v>1</v>
      </c>
      <c r="I126" s="17" t="s">
        <v>13</v>
      </c>
      <c r="J126" s="17">
        <v>0</v>
      </c>
      <c r="K126" s="18">
        <v>0</v>
      </c>
      <c r="O126" s="16">
        <v>24444.444439999999</v>
      </c>
      <c r="P126" s="17">
        <v>0</v>
      </c>
    </row>
    <row r="127" spans="1:16" x14ac:dyDescent="0.3">
      <c r="A127" s="19">
        <v>283</v>
      </c>
      <c r="B127" s="20">
        <v>30000</v>
      </c>
      <c r="C127" s="21" t="s">
        <v>14</v>
      </c>
      <c r="D127" s="21">
        <v>0</v>
      </c>
      <c r="E127" s="21">
        <v>0</v>
      </c>
      <c r="F127" s="21">
        <v>0</v>
      </c>
      <c r="G127" s="21">
        <v>0</v>
      </c>
      <c r="H127" s="21">
        <v>1</v>
      </c>
      <c r="I127" s="21" t="s">
        <v>13</v>
      </c>
      <c r="J127" s="21">
        <v>1</v>
      </c>
      <c r="K127" s="22">
        <v>0</v>
      </c>
      <c r="O127" s="20">
        <v>30000</v>
      </c>
      <c r="P127" s="21">
        <v>0</v>
      </c>
    </row>
    <row r="128" spans="1:16" x14ac:dyDescent="0.3">
      <c r="A128" s="15">
        <v>291</v>
      </c>
      <c r="B128" s="16">
        <v>-16666.666669999999</v>
      </c>
      <c r="C128" s="17" t="s">
        <v>14</v>
      </c>
      <c r="D128" s="17">
        <v>0</v>
      </c>
      <c r="E128" s="17">
        <v>1</v>
      </c>
      <c r="F128" s="17">
        <v>0</v>
      </c>
      <c r="G128" s="17">
        <v>0</v>
      </c>
      <c r="H128" s="17">
        <v>1</v>
      </c>
      <c r="I128" s="17" t="s">
        <v>13</v>
      </c>
      <c r="J128" s="17">
        <v>1</v>
      </c>
      <c r="K128" s="18">
        <v>1</v>
      </c>
      <c r="O128" s="16">
        <v>-16666.666669999999</v>
      </c>
      <c r="P128" s="17">
        <v>0</v>
      </c>
    </row>
    <row r="129" spans="1:16" x14ac:dyDescent="0.3">
      <c r="A129" s="19">
        <v>292</v>
      </c>
      <c r="B129" s="20">
        <v>14285.71429</v>
      </c>
      <c r="C129" s="21" t="s">
        <v>14</v>
      </c>
      <c r="D129" s="21">
        <v>0</v>
      </c>
      <c r="E129" s="21">
        <v>1</v>
      </c>
      <c r="F129" s="21">
        <v>0</v>
      </c>
      <c r="G129" s="21">
        <v>0</v>
      </c>
      <c r="H129" s="21">
        <v>1</v>
      </c>
      <c r="I129" s="21" t="s">
        <v>13</v>
      </c>
      <c r="J129" s="21">
        <v>1</v>
      </c>
      <c r="K129" s="22">
        <v>1</v>
      </c>
      <c r="O129" s="20">
        <v>14285.71429</v>
      </c>
      <c r="P129" s="21">
        <v>0</v>
      </c>
    </row>
    <row r="130" spans="1:16" x14ac:dyDescent="0.3">
      <c r="A130" s="15">
        <v>293</v>
      </c>
      <c r="B130" s="16">
        <v>-6172.8395060000003</v>
      </c>
      <c r="C130" s="17" t="s">
        <v>14</v>
      </c>
      <c r="D130" s="17">
        <v>0</v>
      </c>
      <c r="E130" s="17">
        <v>1</v>
      </c>
      <c r="F130" s="17">
        <v>0</v>
      </c>
      <c r="G130" s="17">
        <v>0</v>
      </c>
      <c r="H130" s="17">
        <v>1</v>
      </c>
      <c r="I130" s="17" t="s">
        <v>13</v>
      </c>
      <c r="J130" s="17">
        <v>1</v>
      </c>
      <c r="K130" s="18">
        <v>1</v>
      </c>
      <c r="O130" s="16">
        <v>-6172.8395060000003</v>
      </c>
      <c r="P130" s="17">
        <v>0</v>
      </c>
    </row>
    <row r="131" spans="1:16" x14ac:dyDescent="0.3">
      <c r="A131" s="19">
        <v>294</v>
      </c>
      <c r="B131" s="20">
        <v>-50000</v>
      </c>
      <c r="C131" s="21" t="s">
        <v>14</v>
      </c>
      <c r="D131" s="21">
        <v>0</v>
      </c>
      <c r="E131" s="21">
        <v>1</v>
      </c>
      <c r="F131" s="21">
        <v>0</v>
      </c>
      <c r="G131" s="21">
        <v>0</v>
      </c>
      <c r="H131" s="21">
        <v>1</v>
      </c>
      <c r="I131" s="21" t="s">
        <v>13</v>
      </c>
      <c r="J131" s="21">
        <v>1</v>
      </c>
      <c r="K131" s="22">
        <v>1</v>
      </c>
      <c r="O131" s="20">
        <v>-50000</v>
      </c>
      <c r="P131" s="21">
        <v>0</v>
      </c>
    </row>
    <row r="132" spans="1:16" x14ac:dyDescent="0.3">
      <c r="A132" s="15">
        <v>298</v>
      </c>
      <c r="B132" s="16">
        <v>-15625</v>
      </c>
      <c r="C132" s="17" t="s">
        <v>14</v>
      </c>
      <c r="D132" s="17">
        <v>0</v>
      </c>
      <c r="E132" s="17">
        <v>1</v>
      </c>
      <c r="F132" s="17">
        <v>0</v>
      </c>
      <c r="G132" s="17">
        <v>0</v>
      </c>
      <c r="H132" s="17">
        <v>1</v>
      </c>
      <c r="I132" s="17" t="s">
        <v>13</v>
      </c>
      <c r="J132" s="17">
        <v>1</v>
      </c>
      <c r="K132" s="18">
        <v>0</v>
      </c>
      <c r="O132" s="16">
        <v>-15625</v>
      </c>
      <c r="P132" s="17">
        <v>0</v>
      </c>
    </row>
    <row r="133" spans="1:16" x14ac:dyDescent="0.3">
      <c r="A133" s="19">
        <v>301</v>
      </c>
      <c r="B133" s="20">
        <v>33591.731269999997</v>
      </c>
      <c r="C133" s="21" t="s">
        <v>14</v>
      </c>
      <c r="D133" s="21">
        <v>0</v>
      </c>
      <c r="E133" s="21">
        <v>1</v>
      </c>
      <c r="F133" s="21">
        <v>0</v>
      </c>
      <c r="G133" s="21">
        <v>0</v>
      </c>
      <c r="H133" s="21">
        <v>1</v>
      </c>
      <c r="I133" s="21" t="s">
        <v>13</v>
      </c>
      <c r="J133" s="21">
        <v>1</v>
      </c>
      <c r="K133" s="22">
        <v>1</v>
      </c>
      <c r="O133" s="20">
        <v>33591.731269999997</v>
      </c>
      <c r="P133" s="21">
        <v>0</v>
      </c>
    </row>
    <row r="134" spans="1:16" x14ac:dyDescent="0.3">
      <c r="A134" s="15">
        <v>302</v>
      </c>
      <c r="B134" s="16">
        <v>48000</v>
      </c>
      <c r="C134" s="17" t="s">
        <v>14</v>
      </c>
      <c r="D134" s="17">
        <v>0</v>
      </c>
      <c r="E134" s="17">
        <v>1</v>
      </c>
      <c r="F134" s="17">
        <v>0</v>
      </c>
      <c r="G134" s="17">
        <v>0</v>
      </c>
      <c r="H134" s="17">
        <v>1</v>
      </c>
      <c r="I134" s="17" t="s">
        <v>13</v>
      </c>
      <c r="J134" s="17">
        <v>1</v>
      </c>
      <c r="K134" s="18">
        <v>0</v>
      </c>
      <c r="O134" s="16">
        <v>48000</v>
      </c>
      <c r="P134" s="17">
        <v>0</v>
      </c>
    </row>
    <row r="135" spans="1:16" x14ac:dyDescent="0.3">
      <c r="A135" s="19">
        <v>307</v>
      </c>
      <c r="B135" s="20">
        <v>25000</v>
      </c>
      <c r="C135" s="21" t="s">
        <v>12</v>
      </c>
      <c r="D135" s="21">
        <v>1</v>
      </c>
      <c r="E135" s="21">
        <v>0</v>
      </c>
      <c r="F135" s="21">
        <v>0</v>
      </c>
      <c r="G135" s="21">
        <v>0</v>
      </c>
      <c r="H135" s="21">
        <v>1</v>
      </c>
      <c r="I135" s="21" t="s">
        <v>13</v>
      </c>
      <c r="J135" s="21">
        <v>0</v>
      </c>
      <c r="K135" s="22">
        <v>1</v>
      </c>
      <c r="O135" s="20">
        <v>25000</v>
      </c>
      <c r="P135" s="21">
        <v>0</v>
      </c>
    </row>
    <row r="136" spans="1:16" x14ac:dyDescent="0.3">
      <c r="A136" s="15">
        <v>308</v>
      </c>
      <c r="B136" s="16">
        <v>15000</v>
      </c>
      <c r="C136" s="17" t="s">
        <v>14</v>
      </c>
      <c r="D136" s="17">
        <v>0</v>
      </c>
      <c r="E136" s="17">
        <v>0</v>
      </c>
      <c r="F136" s="17">
        <v>0</v>
      </c>
      <c r="G136" s="17">
        <v>0</v>
      </c>
      <c r="H136" s="17">
        <v>1</v>
      </c>
      <c r="I136" s="17" t="s">
        <v>13</v>
      </c>
      <c r="J136" s="17">
        <v>0</v>
      </c>
      <c r="K136" s="18">
        <v>1</v>
      </c>
      <c r="O136" s="16">
        <v>15000</v>
      </c>
      <c r="P136" s="17">
        <v>0</v>
      </c>
    </row>
    <row r="137" spans="1:16" x14ac:dyDescent="0.3">
      <c r="A137" s="19">
        <v>309</v>
      </c>
      <c r="B137" s="20">
        <v>20000</v>
      </c>
      <c r="C137" s="21" t="s">
        <v>14</v>
      </c>
      <c r="D137" s="21">
        <v>0</v>
      </c>
      <c r="E137" s="21">
        <v>1</v>
      </c>
      <c r="F137" s="21">
        <v>0</v>
      </c>
      <c r="G137" s="21">
        <v>0</v>
      </c>
      <c r="H137" s="21">
        <v>1</v>
      </c>
      <c r="I137" s="21" t="s">
        <v>13</v>
      </c>
      <c r="J137" s="21">
        <v>0</v>
      </c>
      <c r="K137" s="22">
        <v>1</v>
      </c>
      <c r="O137" s="20">
        <v>20000</v>
      </c>
      <c r="P137" s="21">
        <v>0</v>
      </c>
    </row>
    <row r="138" spans="1:16" x14ac:dyDescent="0.3">
      <c r="A138" s="15">
        <v>310</v>
      </c>
      <c r="B138" s="16">
        <v>41428.571430000004</v>
      </c>
      <c r="C138" s="17" t="s">
        <v>14</v>
      </c>
      <c r="D138" s="17">
        <v>0</v>
      </c>
      <c r="E138" s="17">
        <v>1</v>
      </c>
      <c r="F138" s="17">
        <v>0</v>
      </c>
      <c r="G138" s="17">
        <v>0</v>
      </c>
      <c r="H138" s="17">
        <v>1</v>
      </c>
      <c r="I138" s="17" t="s">
        <v>13</v>
      </c>
      <c r="J138" s="17">
        <v>0</v>
      </c>
      <c r="K138" s="18">
        <v>0</v>
      </c>
      <c r="O138" s="16">
        <v>41428.571430000004</v>
      </c>
      <c r="P138" s="17">
        <v>0</v>
      </c>
    </row>
    <row r="139" spans="1:16" x14ac:dyDescent="0.3">
      <c r="A139" s="19">
        <v>311</v>
      </c>
      <c r="B139" s="20">
        <v>10000</v>
      </c>
      <c r="C139" s="21" t="s">
        <v>14</v>
      </c>
      <c r="D139" s="21">
        <v>0</v>
      </c>
      <c r="E139" s="21">
        <v>1</v>
      </c>
      <c r="F139" s="21">
        <v>0</v>
      </c>
      <c r="G139" s="21">
        <v>0</v>
      </c>
      <c r="H139" s="21">
        <v>1</v>
      </c>
      <c r="I139" s="21" t="s">
        <v>13</v>
      </c>
      <c r="J139" s="21">
        <v>0</v>
      </c>
      <c r="K139" s="22">
        <v>1</v>
      </c>
      <c r="O139" s="20">
        <v>10000</v>
      </c>
      <c r="P139" s="21">
        <v>0</v>
      </c>
    </row>
    <row r="140" spans="1:16" x14ac:dyDescent="0.3">
      <c r="A140" s="15">
        <v>313</v>
      </c>
      <c r="B140" s="16">
        <v>3717.472119</v>
      </c>
      <c r="C140" s="17" t="s">
        <v>14</v>
      </c>
      <c r="D140" s="17">
        <v>0</v>
      </c>
      <c r="E140" s="17">
        <v>1</v>
      </c>
      <c r="F140" s="17">
        <v>0</v>
      </c>
      <c r="G140" s="17">
        <v>0</v>
      </c>
      <c r="H140" s="17">
        <v>1</v>
      </c>
      <c r="I140" s="17" t="s">
        <v>13</v>
      </c>
      <c r="J140" s="17">
        <v>0</v>
      </c>
      <c r="K140" s="18">
        <v>1</v>
      </c>
      <c r="O140" s="16">
        <v>3717.472119</v>
      </c>
      <c r="P140" s="17">
        <v>0</v>
      </c>
    </row>
    <row r="141" spans="1:16" x14ac:dyDescent="0.3">
      <c r="A141" s="19">
        <v>314</v>
      </c>
      <c r="B141" s="20">
        <v>27014.28571</v>
      </c>
      <c r="C141" s="21" t="s">
        <v>14</v>
      </c>
      <c r="D141" s="21">
        <v>0</v>
      </c>
      <c r="E141" s="21">
        <v>0</v>
      </c>
      <c r="F141" s="21">
        <v>0</v>
      </c>
      <c r="G141" s="21">
        <v>0</v>
      </c>
      <c r="H141" s="21">
        <v>1</v>
      </c>
      <c r="I141" s="21" t="s">
        <v>13</v>
      </c>
      <c r="J141" s="21">
        <v>1</v>
      </c>
      <c r="K141" s="22">
        <v>1</v>
      </c>
      <c r="O141" s="20">
        <v>27014.28571</v>
      </c>
      <c r="P141" s="21">
        <v>0</v>
      </c>
    </row>
    <row r="142" spans="1:16" x14ac:dyDescent="0.3">
      <c r="A142" s="15">
        <v>316</v>
      </c>
      <c r="B142" s="16">
        <v>10000</v>
      </c>
      <c r="C142" s="17" t="s">
        <v>14</v>
      </c>
      <c r="D142" s="17">
        <v>0</v>
      </c>
      <c r="E142" s="17">
        <v>1</v>
      </c>
      <c r="F142" s="17">
        <v>0</v>
      </c>
      <c r="G142" s="17">
        <v>0</v>
      </c>
      <c r="H142" s="17">
        <v>1</v>
      </c>
      <c r="I142" s="17" t="s">
        <v>13</v>
      </c>
      <c r="J142" s="17">
        <v>0</v>
      </c>
      <c r="K142" s="18">
        <v>1</v>
      </c>
      <c r="O142" s="16">
        <v>10000</v>
      </c>
      <c r="P142" s="17">
        <v>0</v>
      </c>
    </row>
    <row r="143" spans="1:16" x14ac:dyDescent="0.3">
      <c r="A143" s="19">
        <v>319</v>
      </c>
      <c r="B143" s="20">
        <v>15000</v>
      </c>
      <c r="C143" s="21" t="s">
        <v>14</v>
      </c>
      <c r="D143" s="21">
        <v>0</v>
      </c>
      <c r="E143" s="21">
        <v>0</v>
      </c>
      <c r="F143" s="21">
        <v>0</v>
      </c>
      <c r="G143" s="21">
        <v>0</v>
      </c>
      <c r="H143" s="21">
        <v>1</v>
      </c>
      <c r="I143" s="21" t="s">
        <v>13</v>
      </c>
      <c r="J143" s="21">
        <v>0</v>
      </c>
      <c r="K143" s="22">
        <v>1</v>
      </c>
      <c r="O143" s="20">
        <v>15000</v>
      </c>
      <c r="P143" s="21">
        <v>0</v>
      </c>
    </row>
    <row r="144" spans="1:16" x14ac:dyDescent="0.3">
      <c r="A144" s="15">
        <v>322</v>
      </c>
      <c r="B144" s="16">
        <v>8510.6382979999998</v>
      </c>
      <c r="C144" s="17" t="s">
        <v>14</v>
      </c>
      <c r="D144" s="17">
        <v>0</v>
      </c>
      <c r="E144" s="17">
        <v>1</v>
      </c>
      <c r="F144" s="17">
        <v>0</v>
      </c>
      <c r="G144" s="17">
        <v>0</v>
      </c>
      <c r="H144" s="17">
        <v>1</v>
      </c>
      <c r="I144" s="17" t="s">
        <v>13</v>
      </c>
      <c r="J144" s="17">
        <v>0</v>
      </c>
      <c r="K144" s="18">
        <v>1</v>
      </c>
      <c r="O144" s="16">
        <v>8510.6382979999998</v>
      </c>
      <c r="P144" s="17">
        <v>0</v>
      </c>
    </row>
    <row r="145" spans="1:16" x14ac:dyDescent="0.3">
      <c r="A145" s="19">
        <v>323</v>
      </c>
      <c r="B145" s="20">
        <v>6250</v>
      </c>
      <c r="C145" s="21" t="s">
        <v>14</v>
      </c>
      <c r="D145" s="21">
        <v>0</v>
      </c>
      <c r="E145" s="21">
        <v>0</v>
      </c>
      <c r="F145" s="21">
        <v>0</v>
      </c>
      <c r="G145" s="21">
        <v>0</v>
      </c>
      <c r="H145" s="21">
        <v>1</v>
      </c>
      <c r="I145" s="21" t="s">
        <v>13</v>
      </c>
      <c r="J145" s="21">
        <v>1</v>
      </c>
      <c r="K145" s="22">
        <v>1</v>
      </c>
      <c r="O145" s="20">
        <v>6250</v>
      </c>
      <c r="P145" s="21">
        <v>0</v>
      </c>
    </row>
    <row r="146" spans="1:16" x14ac:dyDescent="0.3">
      <c r="A146" s="15">
        <v>324</v>
      </c>
      <c r="B146" s="16">
        <v>14516.12903</v>
      </c>
      <c r="C146" s="17" t="s">
        <v>14</v>
      </c>
      <c r="D146" s="17">
        <v>0</v>
      </c>
      <c r="E146" s="17">
        <v>0</v>
      </c>
      <c r="F146" s="17">
        <v>0</v>
      </c>
      <c r="G146" s="17">
        <v>0</v>
      </c>
      <c r="H146" s="17">
        <v>1</v>
      </c>
      <c r="I146" s="17" t="s">
        <v>13</v>
      </c>
      <c r="J146" s="17">
        <v>1</v>
      </c>
      <c r="K146" s="18">
        <v>1</v>
      </c>
      <c r="O146" s="16">
        <v>14516.12903</v>
      </c>
      <c r="P146" s="17">
        <v>0</v>
      </c>
    </row>
    <row r="147" spans="1:16" x14ac:dyDescent="0.3">
      <c r="A147" s="19">
        <v>325</v>
      </c>
      <c r="B147" s="20">
        <v>17500</v>
      </c>
      <c r="C147" s="21" t="s">
        <v>14</v>
      </c>
      <c r="D147" s="21">
        <v>0</v>
      </c>
      <c r="E147" s="21">
        <v>0</v>
      </c>
      <c r="F147" s="21">
        <v>0</v>
      </c>
      <c r="G147" s="21">
        <v>0</v>
      </c>
      <c r="H147" s="21">
        <v>1</v>
      </c>
      <c r="I147" s="21" t="s">
        <v>13</v>
      </c>
      <c r="J147" s="21">
        <v>1</v>
      </c>
      <c r="K147" s="22">
        <v>0</v>
      </c>
      <c r="O147" s="20">
        <v>17500</v>
      </c>
      <c r="P147" s="21">
        <v>0</v>
      </c>
    </row>
    <row r="148" spans="1:16" x14ac:dyDescent="0.3">
      <c r="A148" s="15">
        <v>326</v>
      </c>
      <c r="B148" s="16">
        <v>4615.3846149999999</v>
      </c>
      <c r="C148" s="17" t="s">
        <v>12</v>
      </c>
      <c r="D148" s="17">
        <v>1</v>
      </c>
      <c r="E148" s="17">
        <v>1</v>
      </c>
      <c r="F148" s="17">
        <v>0</v>
      </c>
      <c r="G148" s="17">
        <v>0</v>
      </c>
      <c r="H148" s="17">
        <v>1</v>
      </c>
      <c r="I148" s="17" t="s">
        <v>13</v>
      </c>
      <c r="J148" s="17">
        <v>0</v>
      </c>
      <c r="K148" s="18">
        <v>1</v>
      </c>
      <c r="O148" s="16">
        <v>4615.3846149999999</v>
      </c>
      <c r="P148" s="17">
        <v>0</v>
      </c>
    </row>
    <row r="149" spans="1:16" x14ac:dyDescent="0.3">
      <c r="A149" s="19">
        <v>327</v>
      </c>
      <c r="B149" s="20">
        <v>18437.5</v>
      </c>
      <c r="C149" s="21" t="s">
        <v>14</v>
      </c>
      <c r="D149" s="21">
        <v>0</v>
      </c>
      <c r="E149" s="21">
        <v>1</v>
      </c>
      <c r="F149" s="21">
        <v>0</v>
      </c>
      <c r="G149" s="21">
        <v>0</v>
      </c>
      <c r="H149" s="21">
        <v>1</v>
      </c>
      <c r="I149" s="21" t="s">
        <v>13</v>
      </c>
      <c r="J149" s="21">
        <v>0</v>
      </c>
      <c r="K149" s="22">
        <v>1</v>
      </c>
      <c r="O149" s="20">
        <v>18437.5</v>
      </c>
      <c r="P149" s="21">
        <v>0</v>
      </c>
    </row>
    <row r="150" spans="1:16" x14ac:dyDescent="0.3">
      <c r="A150" s="15">
        <v>328</v>
      </c>
      <c r="B150" s="16">
        <v>80000</v>
      </c>
      <c r="C150" s="17" t="s">
        <v>14</v>
      </c>
      <c r="D150" s="17">
        <v>0</v>
      </c>
      <c r="E150" s="17">
        <v>0</v>
      </c>
      <c r="F150" s="17">
        <v>0</v>
      </c>
      <c r="G150" s="17">
        <v>0</v>
      </c>
      <c r="H150" s="17">
        <v>1</v>
      </c>
      <c r="I150" s="17" t="s">
        <v>13</v>
      </c>
      <c r="J150" s="17">
        <v>0</v>
      </c>
      <c r="K150" s="18">
        <v>1</v>
      </c>
      <c r="O150" s="16">
        <v>80000</v>
      </c>
      <c r="P150" s="17">
        <v>0</v>
      </c>
    </row>
    <row r="151" spans="1:16" x14ac:dyDescent="0.3">
      <c r="A151" s="19">
        <v>331</v>
      </c>
      <c r="B151" s="20">
        <v>7272.7272730000004</v>
      </c>
      <c r="C151" s="21" t="s">
        <v>14</v>
      </c>
      <c r="D151" s="21">
        <v>0</v>
      </c>
      <c r="E151" s="21">
        <v>1</v>
      </c>
      <c r="F151" s="21">
        <v>0</v>
      </c>
      <c r="G151" s="21">
        <v>0</v>
      </c>
      <c r="H151" s="21">
        <v>1</v>
      </c>
      <c r="I151" s="21" t="s">
        <v>13</v>
      </c>
      <c r="J151" s="21">
        <v>0</v>
      </c>
      <c r="K151" s="22">
        <v>1</v>
      </c>
      <c r="O151" s="20">
        <v>7272.7272730000004</v>
      </c>
      <c r="P151" s="21">
        <v>0</v>
      </c>
    </row>
    <row r="152" spans="1:16" x14ac:dyDescent="0.3">
      <c r="A152" s="15">
        <v>332</v>
      </c>
      <c r="B152" s="16">
        <v>66666.666670000006</v>
      </c>
      <c r="C152" s="17" t="s">
        <v>14</v>
      </c>
      <c r="D152" s="17">
        <v>0</v>
      </c>
      <c r="E152" s="17">
        <v>0</v>
      </c>
      <c r="F152" s="17">
        <v>0</v>
      </c>
      <c r="G152" s="17">
        <v>0</v>
      </c>
      <c r="H152" s="17">
        <v>1</v>
      </c>
      <c r="I152" s="17" t="s">
        <v>13</v>
      </c>
      <c r="J152" s="17">
        <v>0</v>
      </c>
      <c r="K152" s="18">
        <v>1</v>
      </c>
      <c r="O152" s="16">
        <v>66666.666670000006</v>
      </c>
      <c r="P152" s="17">
        <v>0</v>
      </c>
    </row>
    <row r="153" spans="1:16" x14ac:dyDescent="0.3">
      <c r="A153" s="19">
        <v>333</v>
      </c>
      <c r="B153" s="20">
        <v>23076.92308</v>
      </c>
      <c r="C153" s="21" t="s">
        <v>14</v>
      </c>
      <c r="D153" s="21">
        <v>0</v>
      </c>
      <c r="E153" s="21">
        <v>0</v>
      </c>
      <c r="F153" s="21">
        <v>0</v>
      </c>
      <c r="G153" s="21">
        <v>0</v>
      </c>
      <c r="H153" s="21">
        <v>1</v>
      </c>
      <c r="I153" s="21" t="s">
        <v>13</v>
      </c>
      <c r="J153" s="21">
        <v>0</v>
      </c>
      <c r="K153" s="22">
        <v>1</v>
      </c>
      <c r="O153" s="20">
        <v>23076.92308</v>
      </c>
      <c r="P153" s="21">
        <v>0</v>
      </c>
    </row>
    <row r="154" spans="1:16" x14ac:dyDescent="0.3">
      <c r="A154" s="15">
        <v>334</v>
      </c>
      <c r="B154" s="16">
        <v>23750</v>
      </c>
      <c r="C154" s="17" t="s">
        <v>14</v>
      </c>
      <c r="D154" s="17">
        <v>0</v>
      </c>
      <c r="E154" s="17">
        <v>0</v>
      </c>
      <c r="F154" s="17">
        <v>0</v>
      </c>
      <c r="G154" s="17">
        <v>0</v>
      </c>
      <c r="H154" s="17">
        <v>1</v>
      </c>
      <c r="I154" s="17" t="s">
        <v>13</v>
      </c>
      <c r="J154" s="17">
        <v>1</v>
      </c>
      <c r="K154" s="18">
        <v>1</v>
      </c>
      <c r="O154" s="16">
        <v>23750</v>
      </c>
      <c r="P154" s="17">
        <v>0</v>
      </c>
    </row>
    <row r="155" spans="1:16" x14ac:dyDescent="0.3">
      <c r="A155" s="19">
        <v>336</v>
      </c>
      <c r="B155" s="20">
        <v>42500</v>
      </c>
      <c r="C155" s="21" t="s">
        <v>14</v>
      </c>
      <c r="D155" s="21">
        <v>0</v>
      </c>
      <c r="E155" s="21">
        <v>1</v>
      </c>
      <c r="F155" s="21">
        <v>0</v>
      </c>
      <c r="G155" s="21">
        <v>0</v>
      </c>
      <c r="H155" s="21">
        <v>1</v>
      </c>
      <c r="I155" s="21" t="s">
        <v>13</v>
      </c>
      <c r="J155" s="21">
        <v>1</v>
      </c>
      <c r="K155" s="22">
        <v>1</v>
      </c>
      <c r="O155" s="20">
        <v>42500</v>
      </c>
      <c r="P155" s="21">
        <v>0</v>
      </c>
    </row>
    <row r="156" spans="1:16" x14ac:dyDescent="0.3">
      <c r="A156" s="15">
        <v>337</v>
      </c>
      <c r="B156" s="16">
        <v>16666.666669999999</v>
      </c>
      <c r="C156" s="17" t="s">
        <v>12</v>
      </c>
      <c r="D156" s="17">
        <v>1</v>
      </c>
      <c r="E156" s="17">
        <v>0</v>
      </c>
      <c r="F156" s="17">
        <v>0</v>
      </c>
      <c r="G156" s="17">
        <v>0</v>
      </c>
      <c r="H156" s="17">
        <v>1</v>
      </c>
      <c r="I156" s="17" t="s">
        <v>13</v>
      </c>
      <c r="J156" s="17">
        <v>0</v>
      </c>
      <c r="K156" s="18">
        <v>1</v>
      </c>
      <c r="O156" s="16">
        <v>16666.666669999999</v>
      </c>
      <c r="P156" s="17">
        <v>0</v>
      </c>
    </row>
    <row r="157" spans="1:16" x14ac:dyDescent="0.3">
      <c r="A157" s="19">
        <v>340</v>
      </c>
      <c r="B157" s="20">
        <v>-12500</v>
      </c>
      <c r="C157" s="21" t="s">
        <v>14</v>
      </c>
      <c r="D157" s="21">
        <v>0</v>
      </c>
      <c r="E157" s="21">
        <v>1</v>
      </c>
      <c r="F157" s="21">
        <v>0</v>
      </c>
      <c r="G157" s="21">
        <v>0</v>
      </c>
      <c r="H157" s="21">
        <v>1</v>
      </c>
      <c r="I157" s="21" t="s">
        <v>13</v>
      </c>
      <c r="J157" s="21">
        <v>1</v>
      </c>
      <c r="K157" s="22">
        <v>1</v>
      </c>
      <c r="O157" s="20">
        <v>-12500</v>
      </c>
      <c r="P157" s="21">
        <v>0</v>
      </c>
    </row>
    <row r="158" spans="1:16" x14ac:dyDescent="0.3">
      <c r="A158" s="15">
        <v>344</v>
      </c>
      <c r="B158" s="16">
        <v>43478.260869999998</v>
      </c>
      <c r="C158" s="17" t="s">
        <v>14</v>
      </c>
      <c r="D158" s="17">
        <v>0</v>
      </c>
      <c r="E158" s="17">
        <v>1</v>
      </c>
      <c r="F158" s="17">
        <v>0</v>
      </c>
      <c r="G158" s="17">
        <v>0</v>
      </c>
      <c r="H158" s="17">
        <v>1</v>
      </c>
      <c r="I158" s="17" t="s">
        <v>13</v>
      </c>
      <c r="J158" s="17">
        <v>1</v>
      </c>
      <c r="K158" s="18">
        <v>0</v>
      </c>
      <c r="O158" s="16">
        <v>43478.260869999998</v>
      </c>
      <c r="P158" s="17">
        <v>0</v>
      </c>
    </row>
    <row r="159" spans="1:16" x14ac:dyDescent="0.3">
      <c r="A159" s="19">
        <v>345</v>
      </c>
      <c r="B159" s="20">
        <v>8695.6521740000007</v>
      </c>
      <c r="C159" s="21" t="s">
        <v>14</v>
      </c>
      <c r="D159" s="21">
        <v>0</v>
      </c>
      <c r="E159" s="21">
        <v>1</v>
      </c>
      <c r="F159" s="21">
        <v>0</v>
      </c>
      <c r="G159" s="21">
        <v>0</v>
      </c>
      <c r="H159" s="21">
        <v>1</v>
      </c>
      <c r="I159" s="21" t="s">
        <v>13</v>
      </c>
      <c r="J159" s="21">
        <v>1</v>
      </c>
      <c r="K159" s="22">
        <v>0</v>
      </c>
      <c r="O159" s="20">
        <v>8695.6521740000007</v>
      </c>
      <c r="P159" s="21">
        <v>0</v>
      </c>
    </row>
    <row r="160" spans="1:16" x14ac:dyDescent="0.3">
      <c r="A160" s="15">
        <v>346</v>
      </c>
      <c r="B160" s="16">
        <v>103174.6032</v>
      </c>
      <c r="C160" s="17" t="s">
        <v>14</v>
      </c>
      <c r="D160" s="17">
        <v>0</v>
      </c>
      <c r="E160" s="17">
        <v>1</v>
      </c>
      <c r="F160" s="17">
        <v>0</v>
      </c>
      <c r="G160" s="17">
        <v>0</v>
      </c>
      <c r="H160" s="17">
        <v>1</v>
      </c>
      <c r="I160" s="17" t="s">
        <v>13</v>
      </c>
      <c r="J160" s="17">
        <v>1</v>
      </c>
      <c r="K160" s="18">
        <v>0</v>
      </c>
      <c r="O160" s="16">
        <v>103174.6032</v>
      </c>
      <c r="P160" s="17">
        <v>0</v>
      </c>
    </row>
    <row r="161" spans="1:16" x14ac:dyDescent="0.3">
      <c r="A161" s="19">
        <v>351</v>
      </c>
      <c r="B161" s="20">
        <v>18333.333330000001</v>
      </c>
      <c r="C161" s="21" t="s">
        <v>14</v>
      </c>
      <c r="D161" s="21">
        <v>0</v>
      </c>
      <c r="E161" s="21">
        <v>1</v>
      </c>
      <c r="F161" s="21">
        <v>0</v>
      </c>
      <c r="G161" s="21">
        <v>0</v>
      </c>
      <c r="H161" s="21">
        <v>1</v>
      </c>
      <c r="I161" s="21" t="s">
        <v>13</v>
      </c>
      <c r="J161" s="21">
        <v>1</v>
      </c>
      <c r="K161" s="22">
        <v>1</v>
      </c>
      <c r="O161" s="20">
        <v>18333.333330000001</v>
      </c>
      <c r="P161" s="21">
        <v>0</v>
      </c>
    </row>
    <row r="162" spans="1:16" x14ac:dyDescent="0.3">
      <c r="A162" s="15">
        <v>352</v>
      </c>
      <c r="B162" s="16">
        <v>28000</v>
      </c>
      <c r="C162" s="17" t="s">
        <v>14</v>
      </c>
      <c r="D162" s="17">
        <v>0</v>
      </c>
      <c r="E162" s="17">
        <v>0</v>
      </c>
      <c r="F162" s="17">
        <v>0</v>
      </c>
      <c r="G162" s="17">
        <v>0</v>
      </c>
      <c r="H162" s="17">
        <v>1</v>
      </c>
      <c r="I162" s="17" t="s">
        <v>13</v>
      </c>
      <c r="J162" s="17">
        <v>1</v>
      </c>
      <c r="K162" s="18">
        <v>1</v>
      </c>
      <c r="O162" s="16">
        <v>28000</v>
      </c>
      <c r="P162" s="17">
        <v>0</v>
      </c>
    </row>
    <row r="163" spans="1:16" x14ac:dyDescent="0.3">
      <c r="A163" s="19">
        <v>353</v>
      </c>
      <c r="B163" s="20">
        <v>30000</v>
      </c>
      <c r="C163" s="21" t="s">
        <v>14</v>
      </c>
      <c r="D163" s="21">
        <v>0</v>
      </c>
      <c r="E163" s="21">
        <v>1</v>
      </c>
      <c r="F163" s="21">
        <v>0</v>
      </c>
      <c r="G163" s="21">
        <v>0</v>
      </c>
      <c r="H163" s="21">
        <v>1</v>
      </c>
      <c r="I163" s="21" t="s">
        <v>13</v>
      </c>
      <c r="J163" s="21">
        <v>0</v>
      </c>
      <c r="K163" s="22">
        <v>1</v>
      </c>
      <c r="O163" s="20">
        <v>30000</v>
      </c>
      <c r="P163" s="21">
        <v>0</v>
      </c>
    </row>
    <row r="164" spans="1:16" x14ac:dyDescent="0.3">
      <c r="A164" s="15">
        <v>354</v>
      </c>
      <c r="B164" s="16">
        <v>21666.666669999999</v>
      </c>
      <c r="C164" s="17" t="s">
        <v>14</v>
      </c>
      <c r="D164" s="17">
        <v>0</v>
      </c>
      <c r="E164" s="17">
        <v>0</v>
      </c>
      <c r="F164" s="17">
        <v>0</v>
      </c>
      <c r="G164" s="17">
        <v>0</v>
      </c>
      <c r="H164" s="17">
        <v>1</v>
      </c>
      <c r="I164" s="17" t="s">
        <v>13</v>
      </c>
      <c r="J164" s="17">
        <v>0</v>
      </c>
      <c r="K164" s="18">
        <v>1</v>
      </c>
      <c r="O164" s="16">
        <v>21666.666669999999</v>
      </c>
      <c r="P164" s="17">
        <v>0</v>
      </c>
    </row>
    <row r="165" spans="1:16" x14ac:dyDescent="0.3">
      <c r="A165" s="19">
        <v>356</v>
      </c>
      <c r="B165" s="20">
        <v>66666.666670000006</v>
      </c>
      <c r="C165" s="21" t="s">
        <v>14</v>
      </c>
      <c r="D165" s="21">
        <v>0</v>
      </c>
      <c r="E165" s="21">
        <v>0</v>
      </c>
      <c r="F165" s="21">
        <v>0</v>
      </c>
      <c r="G165" s="21">
        <v>0</v>
      </c>
      <c r="H165" s="21">
        <v>1</v>
      </c>
      <c r="I165" s="21" t="s">
        <v>13</v>
      </c>
      <c r="J165" s="21">
        <v>1</v>
      </c>
      <c r="K165" s="22">
        <v>1</v>
      </c>
      <c r="O165" s="20">
        <v>66666.666670000006</v>
      </c>
      <c r="P165" s="21">
        <v>0</v>
      </c>
    </row>
    <row r="166" spans="1:16" x14ac:dyDescent="0.3">
      <c r="A166" s="15">
        <v>357</v>
      </c>
      <c r="B166" s="16">
        <v>5000</v>
      </c>
      <c r="C166" s="17" t="s">
        <v>14</v>
      </c>
      <c r="D166" s="17">
        <v>0</v>
      </c>
      <c r="E166" s="17">
        <v>0</v>
      </c>
      <c r="F166" s="17">
        <v>0</v>
      </c>
      <c r="G166" s="17">
        <v>0</v>
      </c>
      <c r="H166" s="17">
        <v>1</v>
      </c>
      <c r="I166" s="17" t="s">
        <v>13</v>
      </c>
      <c r="J166" s="17">
        <v>0</v>
      </c>
      <c r="K166" s="18">
        <v>1</v>
      </c>
      <c r="O166" s="16">
        <v>5000</v>
      </c>
      <c r="P166" s="17">
        <v>0</v>
      </c>
    </row>
    <row r="167" spans="1:16" x14ac:dyDescent="0.3">
      <c r="A167" s="19">
        <v>359</v>
      </c>
      <c r="B167" s="20">
        <v>12727.272730000001</v>
      </c>
      <c r="C167" s="21" t="s">
        <v>14</v>
      </c>
      <c r="D167" s="21">
        <v>0</v>
      </c>
      <c r="E167" s="21">
        <v>0</v>
      </c>
      <c r="F167" s="21">
        <v>0</v>
      </c>
      <c r="G167" s="21">
        <v>0</v>
      </c>
      <c r="H167" s="21">
        <v>1</v>
      </c>
      <c r="I167" s="21" t="s">
        <v>13</v>
      </c>
      <c r="J167" s="21">
        <v>0</v>
      </c>
      <c r="K167" s="22">
        <v>1</v>
      </c>
      <c r="O167" s="20">
        <v>12727.272730000001</v>
      </c>
      <c r="P167" s="21">
        <v>0</v>
      </c>
    </row>
    <row r="168" spans="1:16" x14ac:dyDescent="0.3">
      <c r="A168" s="15">
        <v>361</v>
      </c>
      <c r="B168" s="16">
        <v>22000</v>
      </c>
      <c r="C168" s="17" t="s">
        <v>14</v>
      </c>
      <c r="D168" s="17">
        <v>0</v>
      </c>
      <c r="E168" s="17">
        <v>1</v>
      </c>
      <c r="F168" s="17">
        <v>0</v>
      </c>
      <c r="G168" s="17">
        <v>0</v>
      </c>
      <c r="H168" s="17">
        <v>1</v>
      </c>
      <c r="I168" s="17" t="s">
        <v>13</v>
      </c>
      <c r="J168" s="17">
        <v>1</v>
      </c>
      <c r="K168" s="18">
        <v>1</v>
      </c>
      <c r="O168" s="16">
        <v>22000</v>
      </c>
      <c r="P168" s="17">
        <v>0</v>
      </c>
    </row>
    <row r="169" spans="1:16" x14ac:dyDescent="0.3">
      <c r="A169" s="19">
        <v>363</v>
      </c>
      <c r="B169" s="20">
        <v>30000</v>
      </c>
      <c r="C169" s="21" t="s">
        <v>12</v>
      </c>
      <c r="D169" s="21">
        <v>1</v>
      </c>
      <c r="E169" s="21">
        <v>0</v>
      </c>
      <c r="F169" s="21">
        <v>0</v>
      </c>
      <c r="G169" s="21">
        <v>0</v>
      </c>
      <c r="H169" s="21">
        <v>1</v>
      </c>
      <c r="I169" s="21" t="s">
        <v>13</v>
      </c>
      <c r="J169" s="21">
        <v>0</v>
      </c>
      <c r="K169" s="22">
        <v>1</v>
      </c>
      <c r="O169" s="20">
        <v>30000</v>
      </c>
      <c r="P169" s="21">
        <v>0</v>
      </c>
    </row>
    <row r="170" spans="1:16" x14ac:dyDescent="0.3">
      <c r="A170" s="15">
        <v>364</v>
      </c>
      <c r="B170" s="16">
        <v>8571.4285710000004</v>
      </c>
      <c r="C170" s="17" t="s">
        <v>14</v>
      </c>
      <c r="D170" s="17">
        <v>0</v>
      </c>
      <c r="E170" s="17">
        <v>0</v>
      </c>
      <c r="F170" s="17">
        <v>0</v>
      </c>
      <c r="G170" s="17">
        <v>0</v>
      </c>
      <c r="H170" s="17">
        <v>1</v>
      </c>
      <c r="I170" s="17" t="s">
        <v>13</v>
      </c>
      <c r="J170" s="17">
        <v>1</v>
      </c>
      <c r="K170" s="18">
        <v>1</v>
      </c>
      <c r="O170" s="16">
        <v>8571.4285710000004</v>
      </c>
      <c r="P170" s="17">
        <v>0</v>
      </c>
    </row>
    <row r="171" spans="1:16" x14ac:dyDescent="0.3">
      <c r="A171" s="19">
        <v>365</v>
      </c>
      <c r="B171" s="20">
        <v>25000</v>
      </c>
      <c r="C171" s="21" t="s">
        <v>14</v>
      </c>
      <c r="D171" s="21">
        <v>0</v>
      </c>
      <c r="E171" s="21">
        <v>0</v>
      </c>
      <c r="F171" s="21">
        <v>0</v>
      </c>
      <c r="G171" s="21">
        <v>0</v>
      </c>
      <c r="H171" s="21">
        <v>1</v>
      </c>
      <c r="I171" s="21" t="s">
        <v>13</v>
      </c>
      <c r="J171" s="21">
        <v>1</v>
      </c>
      <c r="K171" s="22">
        <v>1</v>
      </c>
      <c r="O171" s="20">
        <v>25000</v>
      </c>
      <c r="P171" s="21">
        <v>0</v>
      </c>
    </row>
    <row r="172" spans="1:16" x14ac:dyDescent="0.3">
      <c r="A172" s="15">
        <v>371</v>
      </c>
      <c r="B172" s="16">
        <v>12500</v>
      </c>
      <c r="C172" s="17" t="s">
        <v>14</v>
      </c>
      <c r="D172" s="17">
        <v>0</v>
      </c>
      <c r="E172" s="17">
        <v>1</v>
      </c>
      <c r="F172" s="17">
        <v>0</v>
      </c>
      <c r="G172" s="17">
        <v>1</v>
      </c>
      <c r="H172" s="17">
        <v>0</v>
      </c>
      <c r="I172" s="17" t="s">
        <v>13</v>
      </c>
      <c r="J172" s="17">
        <v>1</v>
      </c>
      <c r="K172" s="18">
        <v>0</v>
      </c>
      <c r="O172" s="16">
        <v>12500</v>
      </c>
      <c r="P172" s="17">
        <v>0</v>
      </c>
    </row>
    <row r="173" spans="1:16" x14ac:dyDescent="0.3">
      <c r="A173" s="19">
        <v>373</v>
      </c>
      <c r="B173" s="20">
        <v>-8333.3333330000005</v>
      </c>
      <c r="C173" s="21" t="s">
        <v>14</v>
      </c>
      <c r="D173" s="21">
        <v>0</v>
      </c>
      <c r="E173" s="21">
        <v>1</v>
      </c>
      <c r="F173" s="21">
        <v>0</v>
      </c>
      <c r="G173" s="21">
        <v>1</v>
      </c>
      <c r="H173" s="21">
        <v>0</v>
      </c>
      <c r="I173" s="21" t="s">
        <v>13</v>
      </c>
      <c r="J173" s="21">
        <v>1</v>
      </c>
      <c r="K173" s="22">
        <v>1</v>
      </c>
      <c r="O173" s="20">
        <v>-8333.3333330000005</v>
      </c>
      <c r="P173" s="21">
        <v>0</v>
      </c>
    </row>
    <row r="174" spans="1:16" x14ac:dyDescent="0.3">
      <c r="A174" s="15">
        <v>378</v>
      </c>
      <c r="B174" s="16">
        <v>47500</v>
      </c>
      <c r="C174" s="17" t="s">
        <v>14</v>
      </c>
      <c r="D174" s="17">
        <v>0</v>
      </c>
      <c r="E174" s="17">
        <v>1</v>
      </c>
      <c r="F174" s="17">
        <v>0</v>
      </c>
      <c r="G174" s="17">
        <v>1</v>
      </c>
      <c r="H174" s="17">
        <v>0</v>
      </c>
      <c r="I174" s="17" t="s">
        <v>13</v>
      </c>
      <c r="J174" s="17">
        <v>1</v>
      </c>
      <c r="K174" s="18">
        <v>0</v>
      </c>
      <c r="O174" s="16">
        <v>47500</v>
      </c>
      <c r="P174" s="17">
        <v>0</v>
      </c>
    </row>
    <row r="175" spans="1:16" x14ac:dyDescent="0.3">
      <c r="A175" s="19">
        <v>379</v>
      </c>
      <c r="B175" s="20">
        <v>11666.666670000001</v>
      </c>
      <c r="C175" s="21" t="s">
        <v>12</v>
      </c>
      <c r="D175" s="21">
        <v>1</v>
      </c>
      <c r="E175" s="21">
        <v>0</v>
      </c>
      <c r="F175" s="21">
        <v>0</v>
      </c>
      <c r="G175" s="21">
        <v>0</v>
      </c>
      <c r="H175" s="21">
        <v>1</v>
      </c>
      <c r="I175" s="21" t="s">
        <v>13</v>
      </c>
      <c r="J175" s="21">
        <v>1</v>
      </c>
      <c r="K175" s="22">
        <v>0</v>
      </c>
      <c r="O175" s="20">
        <v>11666.666670000001</v>
      </c>
      <c r="P175" s="21">
        <v>0</v>
      </c>
    </row>
    <row r="176" spans="1:16" x14ac:dyDescent="0.3">
      <c r="A176" s="15">
        <v>384</v>
      </c>
      <c r="B176" s="16">
        <v>-13709.67742</v>
      </c>
      <c r="C176" s="17" t="s">
        <v>14</v>
      </c>
      <c r="D176" s="17">
        <v>0</v>
      </c>
      <c r="E176" s="17">
        <v>1</v>
      </c>
      <c r="F176" s="17">
        <v>1</v>
      </c>
      <c r="G176" s="17">
        <v>1</v>
      </c>
      <c r="H176" s="17">
        <v>0</v>
      </c>
      <c r="I176" s="17" t="s">
        <v>13</v>
      </c>
      <c r="J176" s="17">
        <v>0</v>
      </c>
      <c r="K176" s="18">
        <v>0</v>
      </c>
      <c r="O176" s="16">
        <v>-13709.67742</v>
      </c>
      <c r="P176" s="17">
        <v>1</v>
      </c>
    </row>
    <row r="177" spans="1:16" x14ac:dyDescent="0.3">
      <c r="A177" s="19">
        <v>390</v>
      </c>
      <c r="B177" s="20">
        <v>8333.3333330000005</v>
      </c>
      <c r="C177" s="21" t="s">
        <v>14</v>
      </c>
      <c r="D177" s="21">
        <v>0</v>
      </c>
      <c r="E177" s="21">
        <v>1</v>
      </c>
      <c r="F177" s="21">
        <v>0</v>
      </c>
      <c r="G177" s="21">
        <v>0</v>
      </c>
      <c r="H177" s="21">
        <v>1</v>
      </c>
      <c r="I177" s="21" t="s">
        <v>13</v>
      </c>
      <c r="J177" s="21">
        <v>1</v>
      </c>
      <c r="K177" s="22">
        <v>1</v>
      </c>
      <c r="O177" s="20">
        <v>8333.3333330000005</v>
      </c>
      <c r="P177" s="21">
        <v>0</v>
      </c>
    </row>
    <row r="178" spans="1:16" x14ac:dyDescent="0.3">
      <c r="A178" s="15">
        <v>391</v>
      </c>
      <c r="B178" s="16">
        <v>18181.818179999998</v>
      </c>
      <c r="C178" s="17" t="s">
        <v>14</v>
      </c>
      <c r="D178" s="17">
        <v>0</v>
      </c>
      <c r="E178" s="17">
        <v>0</v>
      </c>
      <c r="F178" s="17">
        <v>0</v>
      </c>
      <c r="G178" s="17">
        <v>0</v>
      </c>
      <c r="H178" s="17">
        <v>1</v>
      </c>
      <c r="I178" s="17" t="s">
        <v>13</v>
      </c>
      <c r="J178" s="17">
        <v>0</v>
      </c>
      <c r="K178" s="18">
        <v>0</v>
      </c>
      <c r="O178" s="16">
        <v>18181.818179999998</v>
      </c>
      <c r="P178" s="17">
        <v>0</v>
      </c>
    </row>
    <row r="179" spans="1:16" x14ac:dyDescent="0.3">
      <c r="A179" s="19">
        <v>393</v>
      </c>
      <c r="B179" s="20">
        <v>-12195.121950000001</v>
      </c>
      <c r="C179" s="21" t="s">
        <v>14</v>
      </c>
      <c r="D179" s="21">
        <v>0</v>
      </c>
      <c r="E179" s="21">
        <v>0</v>
      </c>
      <c r="F179" s="21">
        <v>0</v>
      </c>
      <c r="G179" s="21">
        <v>0</v>
      </c>
      <c r="H179" s="21">
        <v>1</v>
      </c>
      <c r="I179" s="21" t="s">
        <v>13</v>
      </c>
      <c r="J179" s="21">
        <v>1</v>
      </c>
      <c r="K179" s="22">
        <v>1</v>
      </c>
      <c r="O179" s="20">
        <v>-12195.121950000001</v>
      </c>
      <c r="P179" s="21">
        <v>0</v>
      </c>
    </row>
    <row r="180" spans="1:16" x14ac:dyDescent="0.3">
      <c r="A180" s="15">
        <v>396</v>
      </c>
      <c r="B180" s="16">
        <v>-11111.11111</v>
      </c>
      <c r="C180" s="17" t="s">
        <v>14</v>
      </c>
      <c r="D180" s="17">
        <v>0</v>
      </c>
      <c r="E180" s="17">
        <v>1</v>
      </c>
      <c r="F180" s="17">
        <v>0</v>
      </c>
      <c r="G180" s="17">
        <v>0</v>
      </c>
      <c r="H180" s="17">
        <v>1</v>
      </c>
      <c r="I180" s="17" t="s">
        <v>13</v>
      </c>
      <c r="J180" s="17">
        <v>1</v>
      </c>
      <c r="K180" s="18">
        <v>1</v>
      </c>
      <c r="O180" s="16">
        <v>-11111.11111</v>
      </c>
      <c r="P180" s="17">
        <v>0</v>
      </c>
    </row>
    <row r="181" spans="1:16" x14ac:dyDescent="0.3">
      <c r="A181" s="19">
        <v>397</v>
      </c>
      <c r="B181" s="20">
        <v>8333.3333330000005</v>
      </c>
      <c r="C181" s="21" t="s">
        <v>14</v>
      </c>
      <c r="D181" s="21">
        <v>0</v>
      </c>
      <c r="E181" s="21">
        <v>0</v>
      </c>
      <c r="F181" s="21">
        <v>0</v>
      </c>
      <c r="G181" s="21">
        <v>0</v>
      </c>
      <c r="H181" s="21">
        <v>1</v>
      </c>
      <c r="I181" s="21" t="s">
        <v>13</v>
      </c>
      <c r="J181" s="21">
        <v>1</v>
      </c>
      <c r="K181" s="22">
        <v>1</v>
      </c>
      <c r="O181" s="20">
        <v>8333.3333330000005</v>
      </c>
      <c r="P181" s="21">
        <v>0</v>
      </c>
    </row>
    <row r="182" spans="1:16" x14ac:dyDescent="0.3">
      <c r="A182" s="15">
        <v>399</v>
      </c>
      <c r="B182" s="16">
        <v>0</v>
      </c>
      <c r="C182" s="17" t="s">
        <v>14</v>
      </c>
      <c r="D182" s="17">
        <v>0</v>
      </c>
      <c r="E182" s="17">
        <v>1</v>
      </c>
      <c r="F182" s="17">
        <v>0</v>
      </c>
      <c r="G182" s="17">
        <v>0</v>
      </c>
      <c r="H182" s="17">
        <v>1</v>
      </c>
      <c r="I182" s="17" t="s">
        <v>13</v>
      </c>
      <c r="J182" s="17">
        <v>1</v>
      </c>
      <c r="K182" s="18">
        <v>1</v>
      </c>
      <c r="O182" s="16">
        <v>0</v>
      </c>
      <c r="P182" s="17">
        <v>0</v>
      </c>
    </row>
    <row r="183" spans="1:16" x14ac:dyDescent="0.3">
      <c r="A183" s="19">
        <v>400</v>
      </c>
      <c r="B183" s="20">
        <v>25000</v>
      </c>
      <c r="C183" s="21" t="s">
        <v>14</v>
      </c>
      <c r="D183" s="21">
        <v>0</v>
      </c>
      <c r="E183" s="21">
        <v>1</v>
      </c>
      <c r="F183" s="21">
        <v>0</v>
      </c>
      <c r="G183" s="21">
        <v>0</v>
      </c>
      <c r="H183" s="21">
        <v>1</v>
      </c>
      <c r="I183" s="21" t="s">
        <v>13</v>
      </c>
      <c r="J183" s="21">
        <v>1</v>
      </c>
      <c r="K183" s="22">
        <v>1</v>
      </c>
      <c r="O183" s="20">
        <v>25000</v>
      </c>
      <c r="P183" s="21">
        <v>0</v>
      </c>
    </row>
    <row r="184" spans="1:16" x14ac:dyDescent="0.3">
      <c r="A184" s="15">
        <v>401</v>
      </c>
      <c r="B184" s="16">
        <v>0</v>
      </c>
      <c r="C184" s="17" t="s">
        <v>14</v>
      </c>
      <c r="D184" s="17">
        <v>0</v>
      </c>
      <c r="E184" s="17">
        <v>1</v>
      </c>
      <c r="F184" s="17">
        <v>0</v>
      </c>
      <c r="G184" s="17">
        <v>0</v>
      </c>
      <c r="H184" s="17">
        <v>1</v>
      </c>
      <c r="I184" s="17" t="s">
        <v>13</v>
      </c>
      <c r="J184" s="17">
        <v>1</v>
      </c>
      <c r="K184" s="18">
        <v>1</v>
      </c>
      <c r="O184" s="16">
        <v>0</v>
      </c>
      <c r="P184" s="17">
        <v>0</v>
      </c>
    </row>
    <row r="185" spans="1:16" x14ac:dyDescent="0.3">
      <c r="A185" s="19">
        <v>405</v>
      </c>
      <c r="B185" s="20">
        <v>-6250</v>
      </c>
      <c r="C185" s="21" t="s">
        <v>14</v>
      </c>
      <c r="D185" s="21">
        <v>0</v>
      </c>
      <c r="E185" s="21">
        <v>1</v>
      </c>
      <c r="F185" s="21">
        <v>0</v>
      </c>
      <c r="G185" s="21">
        <v>0</v>
      </c>
      <c r="H185" s="21">
        <v>1</v>
      </c>
      <c r="I185" s="21" t="s">
        <v>13</v>
      </c>
      <c r="J185" s="21">
        <v>1</v>
      </c>
      <c r="K185" s="22">
        <v>1</v>
      </c>
      <c r="O185" s="20">
        <v>-6250</v>
      </c>
      <c r="P185" s="21">
        <v>0</v>
      </c>
    </row>
    <row r="186" spans="1:16" x14ac:dyDescent="0.3">
      <c r="A186" s="15">
        <v>406</v>
      </c>
      <c r="B186" s="16">
        <v>14285.71429</v>
      </c>
      <c r="C186" s="17" t="s">
        <v>14</v>
      </c>
      <c r="D186" s="17">
        <v>0</v>
      </c>
      <c r="E186" s="17">
        <v>0</v>
      </c>
      <c r="F186" s="17">
        <v>0</v>
      </c>
      <c r="G186" s="17">
        <v>1</v>
      </c>
      <c r="H186" s="17">
        <v>0</v>
      </c>
      <c r="I186" s="17" t="s">
        <v>13</v>
      </c>
      <c r="J186" s="17">
        <v>1</v>
      </c>
      <c r="K186" s="18">
        <v>1</v>
      </c>
      <c r="O186" s="16">
        <v>14285.71429</v>
      </c>
      <c r="P186" s="17">
        <v>0</v>
      </c>
    </row>
    <row r="187" spans="1:16" x14ac:dyDescent="0.3">
      <c r="A187" s="19">
        <v>407</v>
      </c>
      <c r="B187" s="20">
        <v>-10000</v>
      </c>
      <c r="C187" s="21" t="s">
        <v>14</v>
      </c>
      <c r="D187" s="21">
        <v>0</v>
      </c>
      <c r="E187" s="21">
        <v>0</v>
      </c>
      <c r="F187" s="21">
        <v>0</v>
      </c>
      <c r="G187" s="21">
        <v>1</v>
      </c>
      <c r="H187" s="21">
        <v>0</v>
      </c>
      <c r="I187" s="21" t="s">
        <v>13</v>
      </c>
      <c r="J187" s="21">
        <v>1</v>
      </c>
      <c r="K187" s="22">
        <v>0</v>
      </c>
      <c r="O187" s="20">
        <v>-10000</v>
      </c>
      <c r="P187" s="21">
        <v>0</v>
      </c>
    </row>
    <row r="188" spans="1:16" x14ac:dyDescent="0.3">
      <c r="A188" s="15">
        <v>410</v>
      </c>
      <c r="B188" s="16">
        <v>21774.19355</v>
      </c>
      <c r="C188" s="17" t="s">
        <v>14</v>
      </c>
      <c r="D188" s="17">
        <v>0</v>
      </c>
      <c r="E188" s="17">
        <v>1</v>
      </c>
      <c r="F188" s="17">
        <v>1</v>
      </c>
      <c r="G188" s="17">
        <v>1</v>
      </c>
      <c r="H188" s="17">
        <v>0</v>
      </c>
      <c r="I188" s="17" t="s">
        <v>13</v>
      </c>
      <c r="J188" s="17">
        <v>1</v>
      </c>
      <c r="K188" s="18">
        <v>1</v>
      </c>
      <c r="O188" s="16">
        <v>21774.19355</v>
      </c>
      <c r="P188" s="17">
        <v>1</v>
      </c>
    </row>
    <row r="189" spans="1:16" x14ac:dyDescent="0.3">
      <c r="A189" s="19">
        <v>411</v>
      </c>
      <c r="B189" s="20">
        <v>30000</v>
      </c>
      <c r="C189" s="21" t="s">
        <v>14</v>
      </c>
      <c r="D189" s="21">
        <v>0</v>
      </c>
      <c r="E189" s="21">
        <v>1</v>
      </c>
      <c r="F189" s="21">
        <v>1</v>
      </c>
      <c r="G189" s="21">
        <v>1</v>
      </c>
      <c r="H189" s="21">
        <v>0</v>
      </c>
      <c r="I189" s="21" t="s">
        <v>13</v>
      </c>
      <c r="J189" s="21">
        <v>1</v>
      </c>
      <c r="K189" s="22">
        <v>1</v>
      </c>
      <c r="O189" s="20">
        <v>30000</v>
      </c>
      <c r="P189" s="21">
        <v>1</v>
      </c>
    </row>
    <row r="190" spans="1:16" x14ac:dyDescent="0.3">
      <c r="A190" s="15">
        <v>415</v>
      </c>
      <c r="B190" s="16">
        <v>15000</v>
      </c>
      <c r="C190" s="17" t="s">
        <v>12</v>
      </c>
      <c r="D190" s="17">
        <v>1</v>
      </c>
      <c r="E190" s="17">
        <v>1</v>
      </c>
      <c r="F190" s="17">
        <v>1</v>
      </c>
      <c r="G190" s="17">
        <v>1</v>
      </c>
      <c r="H190" s="17">
        <v>0</v>
      </c>
      <c r="I190" s="17" t="s">
        <v>13</v>
      </c>
      <c r="J190" s="17">
        <v>1</v>
      </c>
      <c r="K190" s="18">
        <v>1</v>
      </c>
      <c r="O190" s="16">
        <v>15000</v>
      </c>
      <c r="P190" s="17">
        <v>1</v>
      </c>
    </row>
    <row r="191" spans="1:16" x14ac:dyDescent="0.3">
      <c r="A191" s="19">
        <v>417</v>
      </c>
      <c r="B191" s="20">
        <v>22448.979589999999</v>
      </c>
      <c r="C191" s="21" t="s">
        <v>12</v>
      </c>
      <c r="D191" s="21">
        <v>1</v>
      </c>
      <c r="E191" s="21">
        <v>1</v>
      </c>
      <c r="F191" s="21">
        <v>1</v>
      </c>
      <c r="G191" s="21">
        <v>1</v>
      </c>
      <c r="H191" s="21">
        <v>0</v>
      </c>
      <c r="I191" s="21" t="s">
        <v>13</v>
      </c>
      <c r="J191" s="21">
        <v>1</v>
      </c>
      <c r="K191" s="22">
        <v>1</v>
      </c>
      <c r="O191" s="20">
        <v>22448.979589999999</v>
      </c>
      <c r="P191" s="21">
        <v>1</v>
      </c>
    </row>
    <row r="192" spans="1:16" x14ac:dyDescent="0.3">
      <c r="A192" s="15">
        <v>422</v>
      </c>
      <c r="B192" s="16">
        <v>25000</v>
      </c>
      <c r="C192" s="17" t="s">
        <v>14</v>
      </c>
      <c r="D192" s="17">
        <v>0</v>
      </c>
      <c r="E192" s="17">
        <v>1</v>
      </c>
      <c r="F192" s="17">
        <v>0</v>
      </c>
      <c r="G192" s="17">
        <v>0</v>
      </c>
      <c r="H192" s="17">
        <v>1</v>
      </c>
      <c r="I192" s="17" t="s">
        <v>13</v>
      </c>
      <c r="J192" s="17">
        <v>1</v>
      </c>
      <c r="K192" s="18">
        <v>0</v>
      </c>
      <c r="O192" s="16">
        <v>25000</v>
      </c>
      <c r="P192" s="17">
        <v>0</v>
      </c>
    </row>
    <row r="193" spans="1:16" x14ac:dyDescent="0.3">
      <c r="A193" s="19">
        <v>424</v>
      </c>
      <c r="B193" s="20">
        <v>0</v>
      </c>
      <c r="C193" s="21" t="s">
        <v>14</v>
      </c>
      <c r="D193" s="21">
        <v>0</v>
      </c>
      <c r="E193" s="21">
        <v>1</v>
      </c>
      <c r="F193" s="21">
        <v>0</v>
      </c>
      <c r="G193" s="21">
        <v>0</v>
      </c>
      <c r="H193" s="21">
        <v>1</v>
      </c>
      <c r="I193" s="21" t="s">
        <v>13</v>
      </c>
      <c r="J193" s="21">
        <v>1</v>
      </c>
      <c r="K193" s="22">
        <v>1</v>
      </c>
      <c r="O193" s="20">
        <v>0</v>
      </c>
      <c r="P193" s="21">
        <v>0</v>
      </c>
    </row>
    <row r="194" spans="1:16" x14ac:dyDescent="0.3">
      <c r="A194" s="15">
        <v>426</v>
      </c>
      <c r="B194" s="16">
        <v>-8333.3333330000005</v>
      </c>
      <c r="C194" s="17" t="s">
        <v>14</v>
      </c>
      <c r="D194" s="17">
        <v>0</v>
      </c>
      <c r="E194" s="17">
        <v>1</v>
      </c>
      <c r="F194" s="17">
        <v>0</v>
      </c>
      <c r="G194" s="17">
        <v>0</v>
      </c>
      <c r="H194" s="17">
        <v>1</v>
      </c>
      <c r="I194" s="17" t="s">
        <v>13</v>
      </c>
      <c r="J194" s="17">
        <v>1</v>
      </c>
      <c r="K194" s="18">
        <v>1</v>
      </c>
      <c r="O194" s="16">
        <v>-8333.3333330000005</v>
      </c>
      <c r="P194" s="17">
        <v>0</v>
      </c>
    </row>
    <row r="195" spans="1:16" x14ac:dyDescent="0.3">
      <c r="A195" s="19">
        <v>427</v>
      </c>
      <c r="B195" s="20">
        <v>50000</v>
      </c>
      <c r="C195" s="21" t="s">
        <v>14</v>
      </c>
      <c r="D195" s="21">
        <v>0</v>
      </c>
      <c r="E195" s="21">
        <v>1</v>
      </c>
      <c r="F195" s="21">
        <v>0</v>
      </c>
      <c r="G195" s="21">
        <v>0</v>
      </c>
      <c r="H195" s="21">
        <v>1</v>
      </c>
      <c r="I195" s="21" t="s">
        <v>13</v>
      </c>
      <c r="J195" s="21">
        <v>1</v>
      </c>
      <c r="K195" s="22">
        <v>1</v>
      </c>
      <c r="O195" s="20">
        <v>50000</v>
      </c>
      <c r="P195" s="21">
        <v>0</v>
      </c>
    </row>
    <row r="196" spans="1:16" x14ac:dyDescent="0.3">
      <c r="A196" s="15">
        <v>437</v>
      </c>
      <c r="B196" s="16">
        <v>0</v>
      </c>
      <c r="C196" s="17" t="s">
        <v>14</v>
      </c>
      <c r="D196" s="17">
        <v>0</v>
      </c>
      <c r="E196" s="17">
        <v>1</v>
      </c>
      <c r="F196" s="17">
        <v>0</v>
      </c>
      <c r="G196" s="17">
        <v>0</v>
      </c>
      <c r="H196" s="17">
        <v>1</v>
      </c>
      <c r="I196" s="17" t="s">
        <v>13</v>
      </c>
      <c r="J196" s="17">
        <v>1</v>
      </c>
      <c r="K196" s="18">
        <v>1</v>
      </c>
      <c r="O196" s="16">
        <v>0</v>
      </c>
      <c r="P196" s="17">
        <v>0</v>
      </c>
    </row>
    <row r="197" spans="1:16" x14ac:dyDescent="0.3">
      <c r="A197" s="19">
        <v>438</v>
      </c>
      <c r="B197" s="20">
        <v>0</v>
      </c>
      <c r="C197" s="21" t="s">
        <v>14</v>
      </c>
      <c r="D197" s="21">
        <v>0</v>
      </c>
      <c r="E197" s="21">
        <v>1</v>
      </c>
      <c r="F197" s="21">
        <v>0</v>
      </c>
      <c r="G197" s="21">
        <v>0</v>
      </c>
      <c r="H197" s="21">
        <v>1</v>
      </c>
      <c r="I197" s="21" t="s">
        <v>13</v>
      </c>
      <c r="J197" s="21">
        <v>1</v>
      </c>
      <c r="K197" s="22">
        <v>1</v>
      </c>
      <c r="O197" s="20">
        <v>0</v>
      </c>
      <c r="P197" s="21">
        <v>0</v>
      </c>
    </row>
    <row r="198" spans="1:16" x14ac:dyDescent="0.3">
      <c r="A198" s="15">
        <v>439</v>
      </c>
      <c r="B198" s="16">
        <v>25000</v>
      </c>
      <c r="C198" s="17" t="s">
        <v>14</v>
      </c>
      <c r="D198" s="17">
        <v>0</v>
      </c>
      <c r="E198" s="17">
        <v>1</v>
      </c>
      <c r="F198" s="17">
        <v>0</v>
      </c>
      <c r="G198" s="17">
        <v>0</v>
      </c>
      <c r="H198" s="17">
        <v>1</v>
      </c>
      <c r="I198" s="17" t="s">
        <v>13</v>
      </c>
      <c r="J198" s="17">
        <v>1</v>
      </c>
      <c r="K198" s="18">
        <v>1</v>
      </c>
      <c r="O198" s="16">
        <v>25000</v>
      </c>
      <c r="P198" s="17">
        <v>0</v>
      </c>
    </row>
    <row r="199" spans="1:16" x14ac:dyDescent="0.3">
      <c r="A199" s="19">
        <v>440</v>
      </c>
      <c r="B199" s="20">
        <v>2500</v>
      </c>
      <c r="C199" s="21" t="s">
        <v>14</v>
      </c>
      <c r="D199" s="21">
        <v>0</v>
      </c>
      <c r="E199" s="21">
        <v>1</v>
      </c>
      <c r="F199" s="21">
        <v>0</v>
      </c>
      <c r="G199" s="21">
        <v>0</v>
      </c>
      <c r="H199" s="21">
        <v>1</v>
      </c>
      <c r="I199" s="21" t="s">
        <v>13</v>
      </c>
      <c r="J199" s="21">
        <v>1</v>
      </c>
      <c r="K199" s="22">
        <v>1</v>
      </c>
      <c r="O199" s="20">
        <v>2500</v>
      </c>
      <c r="P199" s="21">
        <v>0</v>
      </c>
    </row>
    <row r="200" spans="1:16" x14ac:dyDescent="0.3">
      <c r="A200" s="15">
        <v>441</v>
      </c>
      <c r="B200" s="16">
        <v>25000</v>
      </c>
      <c r="C200" s="17" t="s">
        <v>14</v>
      </c>
      <c r="D200" s="17">
        <v>0</v>
      </c>
      <c r="E200" s="17">
        <v>1</v>
      </c>
      <c r="F200" s="17">
        <v>0</v>
      </c>
      <c r="G200" s="17">
        <v>0</v>
      </c>
      <c r="H200" s="17">
        <v>1</v>
      </c>
      <c r="I200" s="17" t="s">
        <v>13</v>
      </c>
      <c r="J200" s="17">
        <v>1</v>
      </c>
      <c r="K200" s="18">
        <v>1</v>
      </c>
      <c r="O200" s="16">
        <v>25000</v>
      </c>
      <c r="P200" s="17">
        <v>0</v>
      </c>
    </row>
    <row r="201" spans="1:16" x14ac:dyDescent="0.3">
      <c r="A201" s="19">
        <v>442</v>
      </c>
      <c r="B201" s="20">
        <v>50000</v>
      </c>
      <c r="C201" s="21" t="s">
        <v>14</v>
      </c>
      <c r="D201" s="21">
        <v>0</v>
      </c>
      <c r="E201" s="21">
        <v>0</v>
      </c>
      <c r="F201" s="21">
        <v>0</v>
      </c>
      <c r="G201" s="21">
        <v>0</v>
      </c>
      <c r="H201" s="21">
        <v>1</v>
      </c>
      <c r="I201" s="21" t="s">
        <v>13</v>
      </c>
      <c r="J201" s="21">
        <v>1</v>
      </c>
      <c r="K201" s="22">
        <v>0</v>
      </c>
      <c r="O201" s="20">
        <v>50000</v>
      </c>
      <c r="P201" s="21">
        <v>0</v>
      </c>
    </row>
    <row r="202" spans="1:16" x14ac:dyDescent="0.3">
      <c r="A202" s="15">
        <v>445</v>
      </c>
      <c r="B202" s="16">
        <v>13986.013989999999</v>
      </c>
      <c r="C202" s="17" t="s">
        <v>14</v>
      </c>
      <c r="D202" s="17">
        <v>0</v>
      </c>
      <c r="E202" s="17">
        <v>1</v>
      </c>
      <c r="F202" s="17">
        <v>0</v>
      </c>
      <c r="G202" s="17">
        <v>0</v>
      </c>
      <c r="H202" s="17">
        <v>1</v>
      </c>
      <c r="I202" s="17" t="s">
        <v>13</v>
      </c>
      <c r="J202" s="17">
        <v>1</v>
      </c>
      <c r="K202" s="18">
        <v>1</v>
      </c>
      <c r="O202" s="16">
        <v>13986.013989999999</v>
      </c>
      <c r="P202" s="17">
        <v>0</v>
      </c>
    </row>
    <row r="203" spans="1:16" x14ac:dyDescent="0.3">
      <c r="A203" s="19">
        <v>447</v>
      </c>
      <c r="B203" s="20">
        <v>-12500</v>
      </c>
      <c r="C203" s="21" t="s">
        <v>14</v>
      </c>
      <c r="D203" s="21">
        <v>0</v>
      </c>
      <c r="E203" s="21">
        <v>1</v>
      </c>
      <c r="F203" s="21">
        <v>0</v>
      </c>
      <c r="G203" s="21">
        <v>0</v>
      </c>
      <c r="H203" s="21">
        <v>1</v>
      </c>
      <c r="I203" s="21" t="s">
        <v>13</v>
      </c>
      <c r="J203" s="21">
        <v>1</v>
      </c>
      <c r="K203" s="22">
        <v>1</v>
      </c>
      <c r="O203" s="20">
        <v>-12500</v>
      </c>
      <c r="P203" s="21">
        <v>0</v>
      </c>
    </row>
    <row r="204" spans="1:16" x14ac:dyDescent="0.3">
      <c r="A204" s="15">
        <v>450</v>
      </c>
      <c r="B204" s="16">
        <v>-12500</v>
      </c>
      <c r="C204" s="17" t="s">
        <v>14</v>
      </c>
      <c r="D204" s="17">
        <v>0</v>
      </c>
      <c r="E204" s="17">
        <v>1</v>
      </c>
      <c r="F204" s="17">
        <v>0</v>
      </c>
      <c r="G204" s="17">
        <v>0</v>
      </c>
      <c r="H204" s="17">
        <v>1</v>
      </c>
      <c r="I204" s="17" t="s">
        <v>13</v>
      </c>
      <c r="J204" s="17">
        <v>1</v>
      </c>
      <c r="K204" s="18">
        <v>1</v>
      </c>
      <c r="O204" s="16">
        <v>-12500</v>
      </c>
      <c r="P204" s="17">
        <v>0</v>
      </c>
    </row>
    <row r="205" spans="1:16" x14ac:dyDescent="0.3">
      <c r="A205" s="19">
        <v>451</v>
      </c>
      <c r="B205" s="20">
        <v>12500</v>
      </c>
      <c r="C205" s="21" t="s">
        <v>14</v>
      </c>
      <c r="D205" s="21">
        <v>0</v>
      </c>
      <c r="E205" s="21">
        <v>1</v>
      </c>
      <c r="F205" s="21">
        <v>0</v>
      </c>
      <c r="G205" s="21">
        <v>0</v>
      </c>
      <c r="H205" s="21">
        <v>1</v>
      </c>
      <c r="I205" s="21" t="s">
        <v>13</v>
      </c>
      <c r="J205" s="21">
        <v>1</v>
      </c>
      <c r="K205" s="22">
        <v>1</v>
      </c>
      <c r="O205" s="20">
        <v>12500</v>
      </c>
      <c r="P205" s="21">
        <v>0</v>
      </c>
    </row>
    <row r="206" spans="1:16" x14ac:dyDescent="0.3">
      <c r="A206" s="15">
        <v>455</v>
      </c>
      <c r="B206" s="16">
        <v>10000</v>
      </c>
      <c r="C206" s="17" t="s">
        <v>14</v>
      </c>
      <c r="D206" s="17">
        <v>0</v>
      </c>
      <c r="E206" s="17">
        <v>1</v>
      </c>
      <c r="F206" s="17">
        <v>0</v>
      </c>
      <c r="G206" s="17">
        <v>0</v>
      </c>
      <c r="H206" s="17">
        <v>1</v>
      </c>
      <c r="I206" s="17" t="s">
        <v>13</v>
      </c>
      <c r="J206" s="17">
        <v>1</v>
      </c>
      <c r="K206" s="18">
        <v>1</v>
      </c>
      <c r="O206" s="16">
        <v>10000</v>
      </c>
      <c r="P206" s="17">
        <v>0</v>
      </c>
    </row>
    <row r="207" spans="1:16" x14ac:dyDescent="0.3">
      <c r="A207" s="19">
        <v>456</v>
      </c>
      <c r="B207" s="20">
        <v>50000</v>
      </c>
      <c r="C207" s="21" t="s">
        <v>14</v>
      </c>
      <c r="D207" s="21">
        <v>0</v>
      </c>
      <c r="E207" s="21">
        <v>1</v>
      </c>
      <c r="F207" s="21">
        <v>0</v>
      </c>
      <c r="G207" s="21">
        <v>1</v>
      </c>
      <c r="H207" s="21">
        <v>0</v>
      </c>
      <c r="I207" s="21" t="s">
        <v>13</v>
      </c>
      <c r="J207" s="21">
        <v>1</v>
      </c>
      <c r="K207" s="22">
        <v>0</v>
      </c>
      <c r="O207" s="20">
        <v>50000</v>
      </c>
      <c r="P207" s="21">
        <v>0</v>
      </c>
    </row>
    <row r="208" spans="1:16" x14ac:dyDescent="0.3">
      <c r="A208" s="15">
        <v>457</v>
      </c>
      <c r="B208" s="16">
        <v>14285.71429</v>
      </c>
      <c r="C208" s="17" t="s">
        <v>14</v>
      </c>
      <c r="D208" s="17">
        <v>0</v>
      </c>
      <c r="E208" s="17">
        <v>1</v>
      </c>
      <c r="F208" s="17">
        <v>0</v>
      </c>
      <c r="G208" s="17">
        <v>1</v>
      </c>
      <c r="H208" s="17">
        <v>0</v>
      </c>
      <c r="I208" s="17" t="s">
        <v>13</v>
      </c>
      <c r="J208" s="17">
        <v>1</v>
      </c>
      <c r="K208" s="18">
        <v>0</v>
      </c>
      <c r="O208" s="16">
        <v>14285.71429</v>
      </c>
      <c r="P208" s="17">
        <v>0</v>
      </c>
    </row>
    <row r="209" spans="1:16" x14ac:dyDescent="0.3">
      <c r="A209" s="19">
        <v>458</v>
      </c>
      <c r="B209" s="20">
        <v>20000</v>
      </c>
      <c r="C209" s="21" t="s">
        <v>14</v>
      </c>
      <c r="D209" s="21">
        <v>0</v>
      </c>
      <c r="E209" s="21">
        <v>0</v>
      </c>
      <c r="F209" s="21">
        <v>0</v>
      </c>
      <c r="G209" s="21">
        <v>1</v>
      </c>
      <c r="H209" s="21">
        <v>0</v>
      </c>
      <c r="I209" s="21" t="s">
        <v>13</v>
      </c>
      <c r="J209" s="21">
        <v>1</v>
      </c>
      <c r="K209" s="22">
        <v>0</v>
      </c>
      <c r="O209" s="20">
        <v>20000</v>
      </c>
      <c r="P209" s="21">
        <v>0</v>
      </c>
    </row>
    <row r="210" spans="1:16" x14ac:dyDescent="0.3">
      <c r="A210" s="15">
        <v>459</v>
      </c>
      <c r="B210" s="16">
        <v>36250</v>
      </c>
      <c r="C210" s="17" t="s">
        <v>14</v>
      </c>
      <c r="D210" s="17">
        <v>0</v>
      </c>
      <c r="E210" s="17">
        <v>0</v>
      </c>
      <c r="F210" s="17">
        <v>0</v>
      </c>
      <c r="G210" s="17">
        <v>1</v>
      </c>
      <c r="H210" s="17">
        <v>0</v>
      </c>
      <c r="I210" s="17" t="s">
        <v>13</v>
      </c>
      <c r="J210" s="17">
        <v>1</v>
      </c>
      <c r="K210" s="18">
        <v>0</v>
      </c>
      <c r="O210" s="16">
        <v>36250</v>
      </c>
      <c r="P210" s="17">
        <v>0</v>
      </c>
    </row>
    <row r="211" spans="1:16" x14ac:dyDescent="0.3">
      <c r="A211" s="19">
        <v>460</v>
      </c>
      <c r="B211" s="20">
        <v>6000</v>
      </c>
      <c r="C211" s="21" t="s">
        <v>14</v>
      </c>
      <c r="D211" s="21">
        <v>0</v>
      </c>
      <c r="E211" s="21">
        <v>1</v>
      </c>
      <c r="F211" s="21">
        <v>0</v>
      </c>
      <c r="G211" s="21">
        <v>1</v>
      </c>
      <c r="H211" s="21">
        <v>0</v>
      </c>
      <c r="I211" s="21" t="s">
        <v>13</v>
      </c>
      <c r="J211" s="21">
        <v>1</v>
      </c>
      <c r="K211" s="22">
        <v>1</v>
      </c>
      <c r="O211" s="20">
        <v>6000</v>
      </c>
      <c r="P211" s="21">
        <v>0</v>
      </c>
    </row>
    <row r="212" spans="1:16" x14ac:dyDescent="0.3">
      <c r="A212" s="15">
        <v>461</v>
      </c>
      <c r="B212" s="16">
        <v>2777.7777780000001</v>
      </c>
      <c r="C212" s="17" t="s">
        <v>14</v>
      </c>
      <c r="D212" s="17">
        <v>0</v>
      </c>
      <c r="E212" s="17">
        <v>0</v>
      </c>
      <c r="F212" s="17">
        <v>0</v>
      </c>
      <c r="G212" s="17">
        <v>1</v>
      </c>
      <c r="H212" s="17">
        <v>0</v>
      </c>
      <c r="I212" s="17" t="s">
        <v>13</v>
      </c>
      <c r="J212" s="17">
        <v>1</v>
      </c>
      <c r="K212" s="18">
        <v>0</v>
      </c>
      <c r="O212" s="16">
        <v>2777.7777780000001</v>
      </c>
      <c r="P212" s="17">
        <v>0</v>
      </c>
    </row>
    <row r="213" spans="1:16" x14ac:dyDescent="0.3">
      <c r="A213" s="19">
        <v>464</v>
      </c>
      <c r="B213" s="20">
        <v>100000</v>
      </c>
      <c r="C213" s="21" t="s">
        <v>14</v>
      </c>
      <c r="D213" s="21">
        <v>0</v>
      </c>
      <c r="E213" s="21">
        <v>1</v>
      </c>
      <c r="F213" s="21">
        <v>0</v>
      </c>
      <c r="G213" s="21">
        <v>1</v>
      </c>
      <c r="H213" s="21">
        <v>0</v>
      </c>
      <c r="I213" s="21" t="s">
        <v>13</v>
      </c>
      <c r="J213" s="21">
        <v>1</v>
      </c>
      <c r="K213" s="22">
        <v>0</v>
      </c>
      <c r="O213" s="20">
        <v>100000</v>
      </c>
      <c r="P213" s="21">
        <v>0</v>
      </c>
    </row>
    <row r="214" spans="1:16" x14ac:dyDescent="0.3">
      <c r="A214" s="15">
        <v>469</v>
      </c>
      <c r="B214" s="16">
        <v>8333.3333330000005</v>
      </c>
      <c r="C214" s="17" t="s">
        <v>14</v>
      </c>
      <c r="D214" s="17">
        <v>0</v>
      </c>
      <c r="E214" s="17">
        <v>1</v>
      </c>
      <c r="F214" s="17">
        <v>0</v>
      </c>
      <c r="G214" s="17">
        <v>1</v>
      </c>
      <c r="H214" s="17">
        <v>0</v>
      </c>
      <c r="I214" s="17" t="s">
        <v>13</v>
      </c>
      <c r="J214" s="17">
        <v>1</v>
      </c>
      <c r="K214" s="18">
        <v>1</v>
      </c>
      <c r="O214" s="16">
        <v>8333.3333330000005</v>
      </c>
      <c r="P214" s="17">
        <v>0</v>
      </c>
    </row>
    <row r="215" spans="1:16" x14ac:dyDescent="0.3">
      <c r="A215" s="19">
        <v>472</v>
      </c>
      <c r="B215" s="20">
        <v>-10365.853660000001</v>
      </c>
      <c r="C215" s="21" t="s">
        <v>14</v>
      </c>
      <c r="D215" s="21">
        <v>0</v>
      </c>
      <c r="E215" s="21">
        <v>1</v>
      </c>
      <c r="F215" s="21">
        <v>0</v>
      </c>
      <c r="G215" s="21">
        <v>0</v>
      </c>
      <c r="H215" s="21">
        <v>1</v>
      </c>
      <c r="I215" s="21" t="s">
        <v>13</v>
      </c>
      <c r="J215" s="21">
        <v>1</v>
      </c>
      <c r="K215" s="22">
        <v>1</v>
      </c>
      <c r="O215" s="20">
        <v>-10365.853660000001</v>
      </c>
      <c r="P215" s="21">
        <v>0</v>
      </c>
    </row>
    <row r="216" spans="1:16" x14ac:dyDescent="0.3">
      <c r="A216" s="15">
        <v>473</v>
      </c>
      <c r="B216" s="16">
        <v>-6172.8395060000003</v>
      </c>
      <c r="C216" s="17" t="s">
        <v>14</v>
      </c>
      <c r="D216" s="17">
        <v>0</v>
      </c>
      <c r="E216" s="17">
        <v>1</v>
      </c>
      <c r="F216" s="17">
        <v>0</v>
      </c>
      <c r="G216" s="17">
        <v>0</v>
      </c>
      <c r="H216" s="17">
        <v>1</v>
      </c>
      <c r="I216" s="17" t="s">
        <v>13</v>
      </c>
      <c r="J216" s="17">
        <v>1</v>
      </c>
      <c r="K216" s="18">
        <v>1</v>
      </c>
      <c r="O216" s="16">
        <v>-6172.8395060000003</v>
      </c>
      <c r="P216" s="17">
        <v>0</v>
      </c>
    </row>
    <row r="217" spans="1:16" x14ac:dyDescent="0.3">
      <c r="A217" s="19">
        <v>474</v>
      </c>
      <c r="B217" s="20">
        <v>4166.6666670000004</v>
      </c>
      <c r="C217" s="21" t="s">
        <v>14</v>
      </c>
      <c r="D217" s="21">
        <v>0</v>
      </c>
      <c r="E217" s="21">
        <v>1</v>
      </c>
      <c r="F217" s="21">
        <v>0</v>
      </c>
      <c r="G217" s="21">
        <v>0</v>
      </c>
      <c r="H217" s="21">
        <v>1</v>
      </c>
      <c r="I217" s="21" t="s">
        <v>13</v>
      </c>
      <c r="J217" s="21">
        <v>0</v>
      </c>
      <c r="K217" s="22">
        <v>1</v>
      </c>
      <c r="O217" s="20">
        <v>4166.6666670000004</v>
      </c>
      <c r="P217" s="21">
        <v>0</v>
      </c>
    </row>
    <row r="218" spans="1:16" x14ac:dyDescent="0.3">
      <c r="A218" s="15">
        <v>477</v>
      </c>
      <c r="B218" s="16">
        <v>-15625</v>
      </c>
      <c r="C218" s="17" t="s">
        <v>14</v>
      </c>
      <c r="D218" s="17">
        <v>0</v>
      </c>
      <c r="E218" s="17">
        <v>1</v>
      </c>
      <c r="F218" s="17">
        <v>0</v>
      </c>
      <c r="G218" s="17">
        <v>1</v>
      </c>
      <c r="H218" s="17">
        <v>0</v>
      </c>
      <c r="I218" s="17" t="s">
        <v>13</v>
      </c>
      <c r="J218" s="17">
        <v>0</v>
      </c>
      <c r="K218" s="18">
        <v>0</v>
      </c>
      <c r="O218" s="16">
        <v>-15625</v>
      </c>
      <c r="P218" s="17">
        <v>0</v>
      </c>
    </row>
    <row r="219" spans="1:16" x14ac:dyDescent="0.3">
      <c r="A219" s="19">
        <v>478</v>
      </c>
      <c r="B219" s="20">
        <v>-19450.800920000001</v>
      </c>
      <c r="C219" s="21" t="s">
        <v>14</v>
      </c>
      <c r="D219" s="21">
        <v>0</v>
      </c>
      <c r="E219" s="21">
        <v>1</v>
      </c>
      <c r="F219" s="21">
        <v>0</v>
      </c>
      <c r="G219" s="21">
        <v>1</v>
      </c>
      <c r="H219" s="21">
        <v>0</v>
      </c>
      <c r="I219" s="21" t="s">
        <v>13</v>
      </c>
      <c r="J219" s="21">
        <v>0</v>
      </c>
      <c r="K219" s="22">
        <v>0</v>
      </c>
      <c r="O219" s="20">
        <v>-19450.800920000001</v>
      </c>
      <c r="P219" s="21">
        <v>0</v>
      </c>
    </row>
    <row r="220" spans="1:16" x14ac:dyDescent="0.3">
      <c r="A220" s="15">
        <v>479</v>
      </c>
      <c r="B220" s="16">
        <v>-17000</v>
      </c>
      <c r="C220" s="17" t="s">
        <v>14</v>
      </c>
      <c r="D220" s="17">
        <v>0</v>
      </c>
      <c r="E220" s="17">
        <v>1</v>
      </c>
      <c r="F220" s="17">
        <v>0</v>
      </c>
      <c r="G220" s="17">
        <v>1</v>
      </c>
      <c r="H220" s="17">
        <v>0</v>
      </c>
      <c r="I220" s="17" t="s">
        <v>13</v>
      </c>
      <c r="J220" s="17">
        <v>1</v>
      </c>
      <c r="K220" s="18">
        <v>0</v>
      </c>
      <c r="O220" s="16">
        <v>-17000</v>
      </c>
      <c r="P220" s="17">
        <v>0</v>
      </c>
    </row>
    <row r="221" spans="1:16" x14ac:dyDescent="0.3">
      <c r="A221" s="19">
        <v>481</v>
      </c>
      <c r="B221" s="20">
        <v>16666.666669999999</v>
      </c>
      <c r="C221" s="21" t="s">
        <v>14</v>
      </c>
      <c r="D221" s="21">
        <v>0</v>
      </c>
      <c r="E221" s="21">
        <v>0</v>
      </c>
      <c r="F221" s="21">
        <v>0</v>
      </c>
      <c r="G221" s="21">
        <v>0</v>
      </c>
      <c r="H221" s="21">
        <v>1</v>
      </c>
      <c r="I221" s="21" t="s">
        <v>13</v>
      </c>
      <c r="J221" s="21">
        <v>1</v>
      </c>
      <c r="K221" s="22">
        <v>1</v>
      </c>
      <c r="O221" s="20">
        <v>16666.666669999999</v>
      </c>
      <c r="P221" s="21">
        <v>0</v>
      </c>
    </row>
    <row r="222" spans="1:16" x14ac:dyDescent="0.3">
      <c r="A222" s="15">
        <v>482</v>
      </c>
      <c r="B222" s="16">
        <v>22500</v>
      </c>
      <c r="C222" s="17" t="s">
        <v>12</v>
      </c>
      <c r="D222" s="17">
        <v>1</v>
      </c>
      <c r="E222" s="17">
        <v>0</v>
      </c>
      <c r="F222" s="17">
        <v>0</v>
      </c>
      <c r="G222" s="17">
        <v>0</v>
      </c>
      <c r="H222" s="17">
        <v>1</v>
      </c>
      <c r="I222" s="17" t="s">
        <v>13</v>
      </c>
      <c r="J222" s="17">
        <v>0</v>
      </c>
      <c r="K222" s="18">
        <v>1</v>
      </c>
      <c r="O222" s="16">
        <v>22500</v>
      </c>
      <c r="P222" s="17">
        <v>0</v>
      </c>
    </row>
    <row r="223" spans="1:16" x14ac:dyDescent="0.3">
      <c r="A223" s="19">
        <v>484</v>
      </c>
      <c r="B223" s="20">
        <v>31428.57143</v>
      </c>
      <c r="C223" s="21" t="s">
        <v>12</v>
      </c>
      <c r="D223" s="21">
        <v>1</v>
      </c>
      <c r="E223" s="21">
        <v>0</v>
      </c>
      <c r="F223" s="21">
        <v>0</v>
      </c>
      <c r="G223" s="21">
        <v>0</v>
      </c>
      <c r="H223" s="21">
        <v>1</v>
      </c>
      <c r="I223" s="21" t="s">
        <v>13</v>
      </c>
      <c r="J223" s="21">
        <v>0</v>
      </c>
      <c r="K223" s="22">
        <v>1</v>
      </c>
      <c r="O223" s="20">
        <v>31428.57143</v>
      </c>
      <c r="P223" s="21">
        <v>0</v>
      </c>
    </row>
    <row r="224" spans="1:16" x14ac:dyDescent="0.3">
      <c r="A224" s="15">
        <v>486</v>
      </c>
      <c r="B224" s="16">
        <v>20000</v>
      </c>
      <c r="C224" s="17" t="s">
        <v>14</v>
      </c>
      <c r="D224" s="17">
        <v>0</v>
      </c>
      <c r="E224" s="17">
        <v>0</v>
      </c>
      <c r="F224" s="17">
        <v>0</v>
      </c>
      <c r="G224" s="17">
        <v>0</v>
      </c>
      <c r="H224" s="17">
        <v>1</v>
      </c>
      <c r="I224" s="17" t="s">
        <v>13</v>
      </c>
      <c r="J224" s="17">
        <v>1</v>
      </c>
      <c r="K224" s="18">
        <v>1</v>
      </c>
      <c r="O224" s="16">
        <v>20000</v>
      </c>
      <c r="P224" s="17">
        <v>0</v>
      </c>
    </row>
    <row r="225" spans="1:16" x14ac:dyDescent="0.3">
      <c r="A225" s="19">
        <v>488</v>
      </c>
      <c r="B225" s="20">
        <v>100000</v>
      </c>
      <c r="C225" s="21" t="s">
        <v>12</v>
      </c>
      <c r="D225" s="21">
        <v>1</v>
      </c>
      <c r="E225" s="21">
        <v>0</v>
      </c>
      <c r="F225" s="21">
        <v>0</v>
      </c>
      <c r="G225" s="21">
        <v>0</v>
      </c>
      <c r="H225" s="21">
        <v>1</v>
      </c>
      <c r="I225" s="21" t="s">
        <v>13</v>
      </c>
      <c r="J225" s="21">
        <v>0</v>
      </c>
      <c r="K225" s="22">
        <v>1</v>
      </c>
      <c r="O225" s="20">
        <v>100000</v>
      </c>
      <c r="P225" s="21">
        <v>0</v>
      </c>
    </row>
    <row r="226" spans="1:16" x14ac:dyDescent="0.3">
      <c r="A226" s="15">
        <v>492</v>
      </c>
      <c r="B226" s="16">
        <v>64516.129029999996</v>
      </c>
      <c r="C226" s="17" t="s">
        <v>14</v>
      </c>
      <c r="D226" s="17">
        <v>0</v>
      </c>
      <c r="E226" s="17">
        <v>1</v>
      </c>
      <c r="F226" s="17">
        <v>0</v>
      </c>
      <c r="G226" s="17">
        <v>1</v>
      </c>
      <c r="H226" s="17">
        <v>0</v>
      </c>
      <c r="I226" s="17" t="s">
        <v>13</v>
      </c>
      <c r="J226" s="17">
        <v>1</v>
      </c>
      <c r="K226" s="18">
        <v>0</v>
      </c>
      <c r="O226" s="16">
        <v>64516.129029999996</v>
      </c>
      <c r="P226" s="17">
        <v>0</v>
      </c>
    </row>
    <row r="227" spans="1:16" x14ac:dyDescent="0.3">
      <c r="A227" s="19">
        <v>494</v>
      </c>
      <c r="B227" s="20">
        <v>51666.666669999999</v>
      </c>
      <c r="C227" s="21" t="s">
        <v>14</v>
      </c>
      <c r="D227" s="21">
        <v>0</v>
      </c>
      <c r="E227" s="21">
        <v>1</v>
      </c>
      <c r="F227" s="21">
        <v>0</v>
      </c>
      <c r="G227" s="21">
        <v>1</v>
      </c>
      <c r="H227" s="21">
        <v>0</v>
      </c>
      <c r="I227" s="21" t="s">
        <v>13</v>
      </c>
      <c r="J227" s="21">
        <v>0</v>
      </c>
      <c r="K227" s="22">
        <v>0</v>
      </c>
      <c r="O227" s="20">
        <v>51666.666669999999</v>
      </c>
      <c r="P227" s="21">
        <v>0</v>
      </c>
    </row>
    <row r="228" spans="1:16" x14ac:dyDescent="0.3">
      <c r="A228" s="15">
        <v>498</v>
      </c>
      <c r="B228" s="16">
        <v>14000</v>
      </c>
      <c r="C228" s="17" t="s">
        <v>14</v>
      </c>
      <c r="D228" s="17">
        <v>0</v>
      </c>
      <c r="E228" s="17">
        <v>0</v>
      </c>
      <c r="F228" s="17">
        <v>0</v>
      </c>
      <c r="G228" s="17">
        <v>0</v>
      </c>
      <c r="H228" s="17">
        <v>1</v>
      </c>
      <c r="I228" s="17" t="s">
        <v>13</v>
      </c>
      <c r="J228" s="17">
        <v>0</v>
      </c>
      <c r="K228" s="18">
        <v>1</v>
      </c>
      <c r="O228" s="16">
        <v>14000</v>
      </c>
      <c r="P228" s="17">
        <v>0</v>
      </c>
    </row>
    <row r="229" spans="1:16" x14ac:dyDescent="0.3">
      <c r="A229" s="19">
        <v>499</v>
      </c>
      <c r="B229" s="20">
        <v>10000</v>
      </c>
      <c r="C229" s="21" t="s">
        <v>14</v>
      </c>
      <c r="D229" s="21">
        <v>0</v>
      </c>
      <c r="E229" s="21">
        <v>0</v>
      </c>
      <c r="F229" s="21">
        <v>0</v>
      </c>
      <c r="G229" s="21">
        <v>0</v>
      </c>
      <c r="H229" s="21">
        <v>1</v>
      </c>
      <c r="I229" s="21" t="s">
        <v>13</v>
      </c>
      <c r="J229" s="21">
        <v>0</v>
      </c>
      <c r="K229" s="22">
        <v>1</v>
      </c>
      <c r="O229" s="20">
        <v>10000</v>
      </c>
      <c r="P229" s="21">
        <v>0</v>
      </c>
    </row>
    <row r="230" spans="1:16" x14ac:dyDescent="0.3">
      <c r="A230" s="15">
        <v>500</v>
      </c>
      <c r="B230" s="16">
        <v>10000</v>
      </c>
      <c r="C230" s="17" t="s">
        <v>14</v>
      </c>
      <c r="D230" s="17">
        <v>0</v>
      </c>
      <c r="E230" s="17">
        <v>0</v>
      </c>
      <c r="F230" s="17">
        <v>0</v>
      </c>
      <c r="G230" s="17">
        <v>0</v>
      </c>
      <c r="H230" s="17">
        <v>1</v>
      </c>
      <c r="I230" s="17" t="s">
        <v>13</v>
      </c>
      <c r="J230" s="17">
        <v>0</v>
      </c>
      <c r="K230" s="18">
        <v>1</v>
      </c>
      <c r="O230" s="16">
        <v>10000</v>
      </c>
      <c r="P230" s="17">
        <v>0</v>
      </c>
    </row>
    <row r="231" spans="1:16" x14ac:dyDescent="0.3">
      <c r="A231" s="19">
        <v>501</v>
      </c>
      <c r="B231" s="20">
        <v>16666.666669999999</v>
      </c>
      <c r="C231" s="21" t="s">
        <v>14</v>
      </c>
      <c r="D231" s="21">
        <v>0</v>
      </c>
      <c r="E231" s="21">
        <v>0</v>
      </c>
      <c r="F231" s="21">
        <v>0</v>
      </c>
      <c r="G231" s="21">
        <v>0</v>
      </c>
      <c r="H231" s="21">
        <v>1</v>
      </c>
      <c r="I231" s="21" t="s">
        <v>13</v>
      </c>
      <c r="J231" s="21">
        <v>1</v>
      </c>
      <c r="K231" s="22">
        <v>1</v>
      </c>
      <c r="O231" s="20">
        <v>16666.666669999999</v>
      </c>
      <c r="P231" s="21">
        <v>0</v>
      </c>
    </row>
    <row r="232" spans="1:16" x14ac:dyDescent="0.3">
      <c r="A232" s="15">
        <v>502</v>
      </c>
      <c r="B232" s="16">
        <v>73333.333329999994</v>
      </c>
      <c r="C232" s="17" t="s">
        <v>12</v>
      </c>
      <c r="D232" s="17">
        <v>1</v>
      </c>
      <c r="E232" s="17">
        <v>0</v>
      </c>
      <c r="F232" s="17">
        <v>0</v>
      </c>
      <c r="G232" s="17">
        <v>0</v>
      </c>
      <c r="H232" s="17">
        <v>1</v>
      </c>
      <c r="I232" s="17" t="s">
        <v>13</v>
      </c>
      <c r="J232" s="17">
        <v>1</v>
      </c>
      <c r="K232" s="18">
        <v>1</v>
      </c>
      <c r="O232" s="16">
        <v>73333.333329999994</v>
      </c>
      <c r="P232" s="17">
        <v>0</v>
      </c>
    </row>
    <row r="233" spans="1:16" x14ac:dyDescent="0.3">
      <c r="A233" s="19">
        <v>503</v>
      </c>
      <c r="B233" s="20">
        <v>107500</v>
      </c>
      <c r="C233" s="21" t="s">
        <v>14</v>
      </c>
      <c r="D233" s="21">
        <v>0</v>
      </c>
      <c r="E233" s="21">
        <v>0</v>
      </c>
      <c r="F233" s="21">
        <v>0</v>
      </c>
      <c r="G233" s="21">
        <v>0</v>
      </c>
      <c r="H233" s="21">
        <v>1</v>
      </c>
      <c r="I233" s="21" t="s">
        <v>13</v>
      </c>
      <c r="J233" s="21">
        <v>0</v>
      </c>
      <c r="K233" s="22">
        <v>1</v>
      </c>
      <c r="O233" s="20">
        <v>107500</v>
      </c>
      <c r="P233" s="21">
        <v>0</v>
      </c>
    </row>
    <row r="234" spans="1:16" x14ac:dyDescent="0.3">
      <c r="A234" s="15">
        <v>504</v>
      </c>
      <c r="B234" s="16">
        <v>20000</v>
      </c>
      <c r="C234" s="17" t="s">
        <v>12</v>
      </c>
      <c r="D234" s="17">
        <v>1</v>
      </c>
      <c r="E234" s="17">
        <v>0</v>
      </c>
      <c r="F234" s="17">
        <v>0</v>
      </c>
      <c r="G234" s="17">
        <v>0</v>
      </c>
      <c r="H234" s="17">
        <v>1</v>
      </c>
      <c r="I234" s="17" t="s">
        <v>13</v>
      </c>
      <c r="J234" s="17">
        <v>1</v>
      </c>
      <c r="K234" s="18">
        <v>0</v>
      </c>
      <c r="O234" s="16">
        <v>20000</v>
      </c>
      <c r="P234" s="17">
        <v>0</v>
      </c>
    </row>
    <row r="235" spans="1:16" x14ac:dyDescent="0.3">
      <c r="A235" s="19">
        <v>507</v>
      </c>
      <c r="B235" s="20">
        <v>60000</v>
      </c>
      <c r="C235" s="21" t="s">
        <v>14</v>
      </c>
      <c r="D235" s="21">
        <v>0</v>
      </c>
      <c r="E235" s="21">
        <v>0</v>
      </c>
      <c r="F235" s="21">
        <v>0</v>
      </c>
      <c r="G235" s="21">
        <v>1</v>
      </c>
      <c r="H235" s="21">
        <v>0</v>
      </c>
      <c r="I235" s="21" t="s">
        <v>13</v>
      </c>
      <c r="J235" s="21">
        <v>1</v>
      </c>
      <c r="K235" s="22">
        <v>1</v>
      </c>
      <c r="O235" s="20">
        <v>60000</v>
      </c>
      <c r="P235" s="21">
        <v>0</v>
      </c>
    </row>
    <row r="236" spans="1:16" x14ac:dyDescent="0.3">
      <c r="A236" s="15">
        <v>508</v>
      </c>
      <c r="B236" s="16">
        <v>80000</v>
      </c>
      <c r="C236" s="17" t="s">
        <v>14</v>
      </c>
      <c r="D236" s="17">
        <v>0</v>
      </c>
      <c r="E236" s="17">
        <v>0</v>
      </c>
      <c r="F236" s="17">
        <v>0</v>
      </c>
      <c r="G236" s="17">
        <v>0</v>
      </c>
      <c r="H236" s="17">
        <v>1</v>
      </c>
      <c r="I236" s="17" t="s">
        <v>13</v>
      </c>
      <c r="J236" s="17">
        <v>1</v>
      </c>
      <c r="K236" s="18">
        <v>1</v>
      </c>
      <c r="O236" s="16">
        <v>80000</v>
      </c>
      <c r="P236" s="17">
        <v>0</v>
      </c>
    </row>
    <row r="237" spans="1:16" x14ac:dyDescent="0.3">
      <c r="A237" s="19">
        <v>510</v>
      </c>
      <c r="B237" s="20">
        <v>60000</v>
      </c>
      <c r="C237" s="21" t="s">
        <v>14</v>
      </c>
      <c r="D237" s="21">
        <v>0</v>
      </c>
      <c r="E237" s="21">
        <v>0</v>
      </c>
      <c r="F237" s="21">
        <v>0</v>
      </c>
      <c r="G237" s="21">
        <v>0</v>
      </c>
      <c r="H237" s="21">
        <v>1</v>
      </c>
      <c r="I237" s="21" t="s">
        <v>13</v>
      </c>
      <c r="J237" s="21">
        <v>0</v>
      </c>
      <c r="K237" s="22">
        <v>1</v>
      </c>
      <c r="O237" s="20">
        <v>60000</v>
      </c>
      <c r="P237" s="21">
        <v>0</v>
      </c>
    </row>
    <row r="238" spans="1:16" x14ac:dyDescent="0.3">
      <c r="A238" s="15">
        <v>511</v>
      </c>
      <c r="B238" s="16">
        <v>120000</v>
      </c>
      <c r="C238" s="17" t="s">
        <v>14</v>
      </c>
      <c r="D238" s="17">
        <v>0</v>
      </c>
      <c r="E238" s="17">
        <v>0</v>
      </c>
      <c r="F238" s="17">
        <v>0</v>
      </c>
      <c r="G238" s="17">
        <v>0</v>
      </c>
      <c r="H238" s="17">
        <v>1</v>
      </c>
      <c r="I238" s="17" t="s">
        <v>13</v>
      </c>
      <c r="J238" s="17">
        <v>0</v>
      </c>
      <c r="K238" s="18">
        <v>1</v>
      </c>
      <c r="O238" s="16">
        <v>120000</v>
      </c>
      <c r="P238" s="17">
        <v>0</v>
      </c>
    </row>
    <row r="239" spans="1:16" x14ac:dyDescent="0.3">
      <c r="A239" s="19">
        <v>512</v>
      </c>
      <c r="B239" s="20">
        <v>73333.333329999994</v>
      </c>
      <c r="C239" s="21" t="s">
        <v>12</v>
      </c>
      <c r="D239" s="21">
        <v>1</v>
      </c>
      <c r="E239" s="21">
        <v>0</v>
      </c>
      <c r="F239" s="21">
        <v>0</v>
      </c>
      <c r="G239" s="21">
        <v>0</v>
      </c>
      <c r="H239" s="21">
        <v>1</v>
      </c>
      <c r="I239" s="21" t="s">
        <v>13</v>
      </c>
      <c r="J239" s="21">
        <v>0</v>
      </c>
      <c r="K239" s="22">
        <v>1</v>
      </c>
      <c r="O239" s="20">
        <v>73333.333329999994</v>
      </c>
      <c r="P239" s="21">
        <v>0</v>
      </c>
    </row>
    <row r="240" spans="1:16" x14ac:dyDescent="0.3">
      <c r="A240" s="15">
        <v>513</v>
      </c>
      <c r="B240" s="16">
        <v>48500</v>
      </c>
      <c r="C240" s="17" t="s">
        <v>14</v>
      </c>
      <c r="D240" s="17">
        <v>0</v>
      </c>
      <c r="E240" s="17">
        <v>0</v>
      </c>
      <c r="F240" s="17">
        <v>0</v>
      </c>
      <c r="G240" s="17">
        <v>0</v>
      </c>
      <c r="H240" s="17">
        <v>1</v>
      </c>
      <c r="I240" s="17" t="s">
        <v>13</v>
      </c>
      <c r="J240" s="17">
        <v>0</v>
      </c>
      <c r="K240" s="18">
        <v>1</v>
      </c>
      <c r="O240" s="16">
        <v>48500</v>
      </c>
      <c r="P240" s="17">
        <v>0</v>
      </c>
    </row>
    <row r="241" spans="1:16" x14ac:dyDescent="0.3">
      <c r="A241" s="19">
        <v>515</v>
      </c>
      <c r="B241" s="20">
        <v>17500</v>
      </c>
      <c r="C241" s="21" t="s">
        <v>14</v>
      </c>
      <c r="D241" s="21">
        <v>0</v>
      </c>
      <c r="E241" s="21">
        <v>0</v>
      </c>
      <c r="F241" s="21">
        <v>0</v>
      </c>
      <c r="G241" s="21">
        <v>1</v>
      </c>
      <c r="H241" s="21">
        <v>0</v>
      </c>
      <c r="I241" s="21" t="s">
        <v>13</v>
      </c>
      <c r="J241" s="21">
        <v>0</v>
      </c>
      <c r="K241" s="22">
        <v>1</v>
      </c>
      <c r="O241" s="20">
        <v>17500</v>
      </c>
      <c r="P241" s="21">
        <v>0</v>
      </c>
    </row>
    <row r="242" spans="1:16" x14ac:dyDescent="0.3">
      <c r="A242" s="15">
        <v>517</v>
      </c>
      <c r="B242" s="16">
        <v>83333.333329999994</v>
      </c>
      <c r="C242" s="17" t="s">
        <v>12</v>
      </c>
      <c r="D242" s="17">
        <v>1</v>
      </c>
      <c r="E242" s="17">
        <v>0</v>
      </c>
      <c r="F242" s="17">
        <v>0</v>
      </c>
      <c r="G242" s="17">
        <v>0</v>
      </c>
      <c r="H242" s="17">
        <v>1</v>
      </c>
      <c r="I242" s="17" t="s">
        <v>13</v>
      </c>
      <c r="J242" s="17">
        <v>0</v>
      </c>
      <c r="K242" s="18">
        <v>1</v>
      </c>
      <c r="O242" s="16">
        <v>83333.333329999994</v>
      </c>
      <c r="P242" s="17">
        <v>0</v>
      </c>
    </row>
    <row r="243" spans="1:16" x14ac:dyDescent="0.3">
      <c r="A243" s="19">
        <v>518</v>
      </c>
      <c r="B243" s="20">
        <v>31666.666669999999</v>
      </c>
      <c r="C243" s="21" t="s">
        <v>12</v>
      </c>
      <c r="D243" s="21">
        <v>1</v>
      </c>
      <c r="E243" s="21">
        <v>0</v>
      </c>
      <c r="F243" s="21">
        <v>0</v>
      </c>
      <c r="G243" s="21">
        <v>0</v>
      </c>
      <c r="H243" s="21">
        <v>1</v>
      </c>
      <c r="I243" s="21" t="s">
        <v>13</v>
      </c>
      <c r="J243" s="21">
        <v>0</v>
      </c>
      <c r="K243" s="22">
        <v>1</v>
      </c>
      <c r="O243" s="20">
        <v>31666.666669999999</v>
      </c>
      <c r="P243" s="21">
        <v>0</v>
      </c>
    </row>
    <row r="244" spans="1:16" x14ac:dyDescent="0.3">
      <c r="A244" s="15">
        <v>523</v>
      </c>
      <c r="B244" s="16">
        <v>41666.666669999999</v>
      </c>
      <c r="C244" s="17" t="s">
        <v>14</v>
      </c>
      <c r="D244" s="17">
        <v>0</v>
      </c>
      <c r="E244" s="17">
        <v>0</v>
      </c>
      <c r="F244" s="17">
        <v>0</v>
      </c>
      <c r="G244" s="17">
        <v>0</v>
      </c>
      <c r="H244" s="17">
        <v>1</v>
      </c>
      <c r="I244" s="17" t="s">
        <v>13</v>
      </c>
      <c r="J244" s="17">
        <v>0</v>
      </c>
      <c r="K244" s="18">
        <v>1</v>
      </c>
      <c r="O244" s="16">
        <v>41666.666669999999</v>
      </c>
      <c r="P244" s="17">
        <v>0</v>
      </c>
    </row>
    <row r="245" spans="1:16" x14ac:dyDescent="0.3">
      <c r="A245" s="19">
        <v>525</v>
      </c>
      <c r="B245" s="20">
        <v>75000</v>
      </c>
      <c r="C245" s="21" t="s">
        <v>14</v>
      </c>
      <c r="D245" s="21">
        <v>0</v>
      </c>
      <c r="E245" s="21">
        <v>0</v>
      </c>
      <c r="F245" s="21">
        <v>0</v>
      </c>
      <c r="G245" s="21">
        <v>0</v>
      </c>
      <c r="H245" s="21">
        <v>1</v>
      </c>
      <c r="I245" s="21" t="s">
        <v>13</v>
      </c>
      <c r="J245" s="21">
        <v>1</v>
      </c>
      <c r="K245" s="22">
        <v>1</v>
      </c>
      <c r="O245" s="20">
        <v>75000</v>
      </c>
      <c r="P245" s="21">
        <v>0</v>
      </c>
    </row>
    <row r="246" spans="1:16" x14ac:dyDescent="0.3">
      <c r="A246" s="15">
        <v>526</v>
      </c>
      <c r="B246" s="16">
        <v>14000</v>
      </c>
      <c r="C246" s="17" t="s">
        <v>14</v>
      </c>
      <c r="D246" s="17">
        <v>0</v>
      </c>
      <c r="E246" s="17">
        <v>0</v>
      </c>
      <c r="F246" s="17">
        <v>0</v>
      </c>
      <c r="G246" s="17">
        <v>1</v>
      </c>
      <c r="H246" s="17">
        <v>0</v>
      </c>
      <c r="I246" s="17" t="s">
        <v>13</v>
      </c>
      <c r="J246" s="17">
        <v>0</v>
      </c>
      <c r="K246" s="18">
        <v>1</v>
      </c>
      <c r="O246" s="16">
        <v>14000</v>
      </c>
      <c r="P246" s="17">
        <v>0</v>
      </c>
    </row>
    <row r="247" spans="1:16" x14ac:dyDescent="0.3">
      <c r="A247" s="19">
        <v>527</v>
      </c>
      <c r="B247" s="20">
        <v>10000</v>
      </c>
      <c r="C247" s="21" t="s">
        <v>14</v>
      </c>
      <c r="D247" s="21">
        <v>0</v>
      </c>
      <c r="E247" s="21">
        <v>0</v>
      </c>
      <c r="F247" s="21">
        <v>0</v>
      </c>
      <c r="G247" s="21">
        <v>1</v>
      </c>
      <c r="H247" s="21">
        <v>0</v>
      </c>
      <c r="I247" s="21" t="s">
        <v>13</v>
      </c>
      <c r="J247" s="21">
        <v>0</v>
      </c>
      <c r="K247" s="22">
        <v>1</v>
      </c>
      <c r="O247" s="20">
        <v>10000</v>
      </c>
      <c r="P247" s="21">
        <v>0</v>
      </c>
    </row>
    <row r="248" spans="1:16" x14ac:dyDescent="0.3">
      <c r="A248" s="15">
        <v>529</v>
      </c>
      <c r="B248" s="16">
        <v>18750</v>
      </c>
      <c r="C248" s="17" t="s">
        <v>14</v>
      </c>
      <c r="D248" s="17">
        <v>0</v>
      </c>
      <c r="E248" s="17">
        <v>1</v>
      </c>
      <c r="F248" s="17">
        <v>0</v>
      </c>
      <c r="G248" s="17">
        <v>1</v>
      </c>
      <c r="H248" s="17">
        <v>0</v>
      </c>
      <c r="I248" s="17" t="s">
        <v>13</v>
      </c>
      <c r="J248" s="17">
        <v>1</v>
      </c>
      <c r="K248" s="18">
        <v>0</v>
      </c>
      <c r="O248" s="16">
        <v>18750</v>
      </c>
      <c r="P248" s="17">
        <v>0</v>
      </c>
    </row>
    <row r="249" spans="1:16" x14ac:dyDescent="0.3">
      <c r="A249" s="19">
        <v>533</v>
      </c>
      <c r="B249" s="20">
        <v>5000</v>
      </c>
      <c r="C249" s="21" t="s">
        <v>14</v>
      </c>
      <c r="D249" s="21">
        <v>0</v>
      </c>
      <c r="E249" s="21">
        <v>0</v>
      </c>
      <c r="F249" s="21">
        <v>0</v>
      </c>
      <c r="G249" s="21">
        <v>1</v>
      </c>
      <c r="H249" s="21">
        <v>0</v>
      </c>
      <c r="I249" s="21" t="s">
        <v>13</v>
      </c>
      <c r="J249" s="21">
        <v>0</v>
      </c>
      <c r="K249" s="22">
        <v>1</v>
      </c>
      <c r="O249" s="20">
        <v>5000</v>
      </c>
      <c r="P249" s="21">
        <v>0</v>
      </c>
    </row>
    <row r="250" spans="1:16" x14ac:dyDescent="0.3">
      <c r="A250" s="15">
        <v>534</v>
      </c>
      <c r="B250" s="16">
        <v>25000</v>
      </c>
      <c r="C250" s="17" t="s">
        <v>14</v>
      </c>
      <c r="D250" s="17">
        <v>0</v>
      </c>
      <c r="E250" s="17">
        <v>1</v>
      </c>
      <c r="F250" s="17">
        <v>0</v>
      </c>
      <c r="G250" s="17">
        <v>1</v>
      </c>
      <c r="H250" s="17">
        <v>0</v>
      </c>
      <c r="I250" s="17" t="s">
        <v>13</v>
      </c>
      <c r="J250" s="17">
        <v>1</v>
      </c>
      <c r="K250" s="18">
        <v>1</v>
      </c>
      <c r="O250" s="16">
        <v>25000</v>
      </c>
      <c r="P250" s="17">
        <v>0</v>
      </c>
    </row>
    <row r="251" spans="1:16" x14ac:dyDescent="0.3">
      <c r="A251" s="19">
        <v>535</v>
      </c>
      <c r="B251" s="20">
        <v>-5833.3333329999996</v>
      </c>
      <c r="C251" s="21" t="s">
        <v>14</v>
      </c>
      <c r="D251" s="21">
        <v>0</v>
      </c>
      <c r="E251" s="21">
        <v>1</v>
      </c>
      <c r="F251" s="21">
        <v>0</v>
      </c>
      <c r="G251" s="21">
        <v>0</v>
      </c>
      <c r="H251" s="21">
        <v>1</v>
      </c>
      <c r="I251" s="21" t="s">
        <v>13</v>
      </c>
      <c r="J251" s="21">
        <v>1</v>
      </c>
      <c r="K251" s="22">
        <v>1</v>
      </c>
      <c r="O251" s="20">
        <v>-5833.3333329999996</v>
      </c>
      <c r="P251" s="21">
        <v>0</v>
      </c>
    </row>
    <row r="252" spans="1:16" x14ac:dyDescent="0.3">
      <c r="A252" s="15">
        <v>537</v>
      </c>
      <c r="B252" s="16">
        <v>133333.3333</v>
      </c>
      <c r="C252" s="17" t="s">
        <v>14</v>
      </c>
      <c r="D252" s="17">
        <v>0</v>
      </c>
      <c r="E252" s="17">
        <v>0</v>
      </c>
      <c r="F252" s="17">
        <v>0</v>
      </c>
      <c r="G252" s="17">
        <v>1</v>
      </c>
      <c r="H252" s="17">
        <v>0</v>
      </c>
      <c r="I252" s="17" t="s">
        <v>13</v>
      </c>
      <c r="J252" s="17">
        <v>1</v>
      </c>
      <c r="K252" s="18">
        <v>0</v>
      </c>
      <c r="O252" s="16">
        <v>133333.3333</v>
      </c>
      <c r="P252" s="17">
        <v>0</v>
      </c>
    </row>
    <row r="253" spans="1:16" x14ac:dyDescent="0.3">
      <c r="A253" s="19">
        <v>538</v>
      </c>
      <c r="B253" s="20">
        <v>-25000</v>
      </c>
      <c r="C253" s="21" t="s">
        <v>14</v>
      </c>
      <c r="D253" s="21">
        <v>0</v>
      </c>
      <c r="E253" s="21">
        <v>1</v>
      </c>
      <c r="F253" s="21">
        <v>0</v>
      </c>
      <c r="G253" s="21">
        <v>1</v>
      </c>
      <c r="H253" s="21">
        <v>0</v>
      </c>
      <c r="I253" s="21" t="s">
        <v>13</v>
      </c>
      <c r="J253" s="21">
        <v>1</v>
      </c>
      <c r="K253" s="22">
        <v>1</v>
      </c>
      <c r="O253" s="20">
        <v>-25000</v>
      </c>
      <c r="P253" s="21">
        <v>0</v>
      </c>
    </row>
    <row r="254" spans="1:16" x14ac:dyDescent="0.3">
      <c r="A254" s="15">
        <v>539</v>
      </c>
      <c r="B254" s="16">
        <v>25000</v>
      </c>
      <c r="C254" s="17" t="s">
        <v>14</v>
      </c>
      <c r="D254" s="17">
        <v>0</v>
      </c>
      <c r="E254" s="17">
        <v>0</v>
      </c>
      <c r="F254" s="17">
        <v>0</v>
      </c>
      <c r="G254" s="17">
        <v>0</v>
      </c>
      <c r="H254" s="17">
        <v>1</v>
      </c>
      <c r="I254" s="17" t="s">
        <v>13</v>
      </c>
      <c r="J254" s="17">
        <v>1</v>
      </c>
      <c r="K254" s="18">
        <v>1</v>
      </c>
      <c r="O254" s="16">
        <v>25000</v>
      </c>
      <c r="P254" s="17">
        <v>0</v>
      </c>
    </row>
    <row r="255" spans="1:16" x14ac:dyDescent="0.3">
      <c r="A255" s="19">
        <v>540</v>
      </c>
      <c r="B255" s="20">
        <v>26666.666669999999</v>
      </c>
      <c r="C255" s="21" t="s">
        <v>12</v>
      </c>
      <c r="D255" s="21">
        <v>1</v>
      </c>
      <c r="E255" s="21">
        <v>1</v>
      </c>
      <c r="F255" s="21">
        <v>0</v>
      </c>
      <c r="G255" s="21">
        <v>1</v>
      </c>
      <c r="H255" s="21">
        <v>0</v>
      </c>
      <c r="I255" s="21" t="s">
        <v>13</v>
      </c>
      <c r="J255" s="21">
        <v>1</v>
      </c>
      <c r="K255" s="22">
        <v>0</v>
      </c>
      <c r="O255" s="20">
        <v>26666.666669999999</v>
      </c>
      <c r="P255" s="21">
        <v>0</v>
      </c>
    </row>
    <row r="256" spans="1:16" x14ac:dyDescent="0.3">
      <c r="A256" s="15">
        <v>542</v>
      </c>
      <c r="B256" s="16">
        <v>33333.333330000001</v>
      </c>
      <c r="C256" s="17" t="s">
        <v>14</v>
      </c>
      <c r="D256" s="17">
        <v>0</v>
      </c>
      <c r="E256" s="17">
        <v>1</v>
      </c>
      <c r="F256" s="17">
        <v>0</v>
      </c>
      <c r="G256" s="17">
        <v>1</v>
      </c>
      <c r="H256" s="17">
        <v>0</v>
      </c>
      <c r="I256" s="17" t="s">
        <v>13</v>
      </c>
      <c r="J256" s="17">
        <v>1</v>
      </c>
      <c r="K256" s="18">
        <v>0</v>
      </c>
      <c r="O256" s="16">
        <v>33333.333330000001</v>
      </c>
      <c r="P256" s="17">
        <v>0</v>
      </c>
    </row>
    <row r="257" spans="1:16" x14ac:dyDescent="0.3">
      <c r="A257" s="19">
        <v>543</v>
      </c>
      <c r="B257" s="20">
        <v>15066.666670000001</v>
      </c>
      <c r="C257" s="21" t="s">
        <v>14</v>
      </c>
      <c r="D257" s="21">
        <v>0</v>
      </c>
      <c r="E257" s="21">
        <v>1</v>
      </c>
      <c r="F257" s="21">
        <v>0</v>
      </c>
      <c r="G257" s="21">
        <v>1</v>
      </c>
      <c r="H257" s="21">
        <v>0</v>
      </c>
      <c r="I257" s="21" t="s">
        <v>13</v>
      </c>
      <c r="J257" s="21">
        <v>1</v>
      </c>
      <c r="K257" s="22">
        <v>1</v>
      </c>
      <c r="O257" s="20">
        <v>15066.666670000001</v>
      </c>
      <c r="P257" s="21">
        <v>0</v>
      </c>
    </row>
    <row r="258" spans="1:16" x14ac:dyDescent="0.3">
      <c r="A258" s="15">
        <v>544</v>
      </c>
      <c r="B258" s="16">
        <v>18181.818179999998</v>
      </c>
      <c r="C258" s="17" t="s">
        <v>14</v>
      </c>
      <c r="D258" s="17">
        <v>0</v>
      </c>
      <c r="E258" s="17">
        <v>0</v>
      </c>
      <c r="F258" s="17">
        <v>1</v>
      </c>
      <c r="G258" s="17">
        <v>1</v>
      </c>
      <c r="H258" s="17">
        <v>0</v>
      </c>
      <c r="I258" s="17" t="s">
        <v>13</v>
      </c>
      <c r="J258" s="17">
        <v>1</v>
      </c>
      <c r="K258" s="18">
        <v>0</v>
      </c>
      <c r="O258" s="16">
        <v>18181.818179999998</v>
      </c>
      <c r="P258" s="17">
        <v>1</v>
      </c>
    </row>
    <row r="259" spans="1:16" x14ac:dyDescent="0.3">
      <c r="A259" s="19">
        <v>547</v>
      </c>
      <c r="B259" s="20">
        <v>50000</v>
      </c>
      <c r="C259" s="21" t="s">
        <v>14</v>
      </c>
      <c r="D259" s="21">
        <v>0</v>
      </c>
      <c r="E259" s="21">
        <v>0</v>
      </c>
      <c r="F259" s="21">
        <v>0</v>
      </c>
      <c r="G259" s="21">
        <v>1</v>
      </c>
      <c r="H259" s="21">
        <v>0</v>
      </c>
      <c r="I259" s="21" t="s">
        <v>13</v>
      </c>
      <c r="J259" s="21">
        <v>1</v>
      </c>
      <c r="K259" s="22">
        <v>1</v>
      </c>
      <c r="O259" s="20">
        <v>50000</v>
      </c>
      <c r="P259" s="21">
        <v>0</v>
      </c>
    </row>
    <row r="260" spans="1:16" x14ac:dyDescent="0.3">
      <c r="A260" s="15">
        <v>556</v>
      </c>
      <c r="B260" s="16">
        <v>20000</v>
      </c>
      <c r="C260" s="17" t="s">
        <v>14</v>
      </c>
      <c r="D260" s="17">
        <v>0</v>
      </c>
      <c r="E260" s="17">
        <v>1</v>
      </c>
      <c r="F260" s="17">
        <v>0</v>
      </c>
      <c r="G260" s="17">
        <v>1</v>
      </c>
      <c r="H260" s="17">
        <v>0</v>
      </c>
      <c r="I260" s="17" t="s">
        <v>13</v>
      </c>
      <c r="J260" s="17">
        <v>1</v>
      </c>
      <c r="K260" s="18">
        <v>0</v>
      </c>
      <c r="O260" s="16">
        <v>20000</v>
      </c>
      <c r="P260" s="17">
        <v>0</v>
      </c>
    </row>
    <row r="261" spans="1:16" x14ac:dyDescent="0.3">
      <c r="A261" s="19">
        <v>558</v>
      </c>
      <c r="B261" s="20">
        <v>25000</v>
      </c>
      <c r="C261" s="21" t="s">
        <v>12</v>
      </c>
      <c r="D261" s="21">
        <v>1</v>
      </c>
      <c r="E261" s="21">
        <v>1</v>
      </c>
      <c r="F261" s="21">
        <v>1</v>
      </c>
      <c r="G261" s="21">
        <v>1</v>
      </c>
      <c r="H261" s="21">
        <v>0</v>
      </c>
      <c r="I261" s="21" t="s">
        <v>13</v>
      </c>
      <c r="J261" s="21">
        <v>1</v>
      </c>
      <c r="K261" s="22">
        <v>1</v>
      </c>
      <c r="O261" s="20">
        <v>25000</v>
      </c>
      <c r="P261" s="21">
        <v>1</v>
      </c>
    </row>
    <row r="262" spans="1:16" x14ac:dyDescent="0.3">
      <c r="A262" s="15">
        <v>559</v>
      </c>
      <c r="B262" s="16">
        <v>31428.57143</v>
      </c>
      <c r="C262" s="17" t="s">
        <v>14</v>
      </c>
      <c r="D262" s="17">
        <v>0</v>
      </c>
      <c r="E262" s="17">
        <v>1</v>
      </c>
      <c r="F262" s="17">
        <v>1</v>
      </c>
      <c r="G262" s="17">
        <v>1</v>
      </c>
      <c r="H262" s="17">
        <v>0</v>
      </c>
      <c r="I262" s="17" t="s">
        <v>13</v>
      </c>
      <c r="J262" s="17">
        <v>1</v>
      </c>
      <c r="K262" s="18">
        <v>1</v>
      </c>
      <c r="O262" s="16">
        <v>31428.57143</v>
      </c>
      <c r="P262" s="17">
        <v>1</v>
      </c>
    </row>
    <row r="263" spans="1:16" x14ac:dyDescent="0.3">
      <c r="A263" s="19">
        <v>560</v>
      </c>
      <c r="B263" s="20">
        <v>21538.46154</v>
      </c>
      <c r="C263" s="21" t="s">
        <v>14</v>
      </c>
      <c r="D263" s="21">
        <v>0</v>
      </c>
      <c r="E263" s="21">
        <v>1</v>
      </c>
      <c r="F263" s="21">
        <v>0</v>
      </c>
      <c r="G263" s="21">
        <v>1</v>
      </c>
      <c r="H263" s="21">
        <v>0</v>
      </c>
      <c r="I263" s="21" t="s">
        <v>13</v>
      </c>
      <c r="J263" s="21">
        <v>1</v>
      </c>
      <c r="K263" s="22">
        <v>1</v>
      </c>
      <c r="O263" s="20">
        <v>21538.46154</v>
      </c>
      <c r="P263" s="21">
        <v>0</v>
      </c>
    </row>
    <row r="264" spans="1:16" x14ac:dyDescent="0.3">
      <c r="A264" s="15">
        <v>561</v>
      </c>
      <c r="B264" s="16">
        <v>31250</v>
      </c>
      <c r="C264" s="17" t="s">
        <v>14</v>
      </c>
      <c r="D264" s="17">
        <v>0</v>
      </c>
      <c r="E264" s="17">
        <v>1</v>
      </c>
      <c r="F264" s="17">
        <v>0</v>
      </c>
      <c r="G264" s="17">
        <v>1</v>
      </c>
      <c r="H264" s="17">
        <v>0</v>
      </c>
      <c r="I264" s="17" t="s">
        <v>13</v>
      </c>
      <c r="J264" s="17">
        <v>1</v>
      </c>
      <c r="K264" s="18">
        <v>0</v>
      </c>
      <c r="O264" s="16">
        <v>31250</v>
      </c>
      <c r="P264" s="17">
        <v>0</v>
      </c>
    </row>
    <row r="265" spans="1:16" x14ac:dyDescent="0.3">
      <c r="A265" s="19">
        <v>562</v>
      </c>
      <c r="B265" s="20">
        <v>30000</v>
      </c>
      <c r="C265" s="21" t="s">
        <v>14</v>
      </c>
      <c r="D265" s="21">
        <v>0</v>
      </c>
      <c r="E265" s="21">
        <v>1</v>
      </c>
      <c r="F265" s="21">
        <v>0</v>
      </c>
      <c r="G265" s="21">
        <v>1</v>
      </c>
      <c r="H265" s="21">
        <v>0</v>
      </c>
      <c r="I265" s="21" t="s">
        <v>13</v>
      </c>
      <c r="J265" s="21">
        <v>1</v>
      </c>
      <c r="K265" s="22">
        <v>0</v>
      </c>
      <c r="O265" s="20">
        <v>30000</v>
      </c>
      <c r="P265" s="21">
        <v>0</v>
      </c>
    </row>
    <row r="266" spans="1:16" x14ac:dyDescent="0.3">
      <c r="A266" s="15">
        <v>563</v>
      </c>
      <c r="B266" s="16">
        <v>33333.333330000001</v>
      </c>
      <c r="C266" s="17" t="s">
        <v>12</v>
      </c>
      <c r="D266" s="17">
        <v>1</v>
      </c>
      <c r="E266" s="17">
        <v>1</v>
      </c>
      <c r="F266" s="17">
        <v>1</v>
      </c>
      <c r="G266" s="17">
        <v>1</v>
      </c>
      <c r="H266" s="17">
        <v>0</v>
      </c>
      <c r="I266" s="17" t="s">
        <v>13</v>
      </c>
      <c r="J266" s="17">
        <v>1</v>
      </c>
      <c r="K266" s="18">
        <v>0</v>
      </c>
      <c r="O266" s="16">
        <v>33333.333330000001</v>
      </c>
      <c r="P266" s="17">
        <v>1</v>
      </c>
    </row>
    <row r="267" spans="1:16" x14ac:dyDescent="0.3">
      <c r="A267" s="19">
        <v>564</v>
      </c>
      <c r="B267" s="20">
        <v>52222.222220000003</v>
      </c>
      <c r="C267" s="21" t="s">
        <v>14</v>
      </c>
      <c r="D267" s="21">
        <v>0</v>
      </c>
      <c r="E267" s="21">
        <v>1</v>
      </c>
      <c r="F267" s="21">
        <v>1</v>
      </c>
      <c r="G267" s="21">
        <v>1</v>
      </c>
      <c r="H267" s="21">
        <v>0</v>
      </c>
      <c r="I267" s="21" t="s">
        <v>13</v>
      </c>
      <c r="J267" s="21">
        <v>1</v>
      </c>
      <c r="K267" s="22">
        <v>1</v>
      </c>
      <c r="O267" s="20">
        <v>52222.222220000003</v>
      </c>
      <c r="P267" s="21">
        <v>1</v>
      </c>
    </row>
    <row r="268" spans="1:16" x14ac:dyDescent="0.3">
      <c r="A268" s="15">
        <v>565</v>
      </c>
      <c r="B268" s="16">
        <v>28571.42857</v>
      </c>
      <c r="C268" s="17" t="s">
        <v>14</v>
      </c>
      <c r="D268" s="17">
        <v>0</v>
      </c>
      <c r="E268" s="17">
        <v>1</v>
      </c>
      <c r="F268" s="17">
        <v>1</v>
      </c>
      <c r="G268" s="17">
        <v>1</v>
      </c>
      <c r="H268" s="17">
        <v>0</v>
      </c>
      <c r="I268" s="17" t="s">
        <v>13</v>
      </c>
      <c r="J268" s="17">
        <v>1</v>
      </c>
      <c r="K268" s="18">
        <v>1</v>
      </c>
      <c r="O268" s="16">
        <v>28571.42857</v>
      </c>
      <c r="P268" s="17">
        <v>1</v>
      </c>
    </row>
    <row r="269" spans="1:16" x14ac:dyDescent="0.3">
      <c r="A269" s="19">
        <v>567</v>
      </c>
      <c r="B269" s="20">
        <v>31250</v>
      </c>
      <c r="C269" s="21" t="s">
        <v>14</v>
      </c>
      <c r="D269" s="21">
        <v>0</v>
      </c>
      <c r="E269" s="21">
        <v>1</v>
      </c>
      <c r="F269" s="21">
        <v>1</v>
      </c>
      <c r="G269" s="21">
        <v>1</v>
      </c>
      <c r="H269" s="21">
        <v>0</v>
      </c>
      <c r="I269" s="21" t="s">
        <v>13</v>
      </c>
      <c r="J269" s="21">
        <v>1</v>
      </c>
      <c r="K269" s="22">
        <v>1</v>
      </c>
      <c r="O269" s="20">
        <v>31250</v>
      </c>
      <c r="P269" s="21">
        <v>1</v>
      </c>
    </row>
    <row r="270" spans="1:16" x14ac:dyDescent="0.3">
      <c r="A270" s="15">
        <v>572</v>
      </c>
      <c r="B270" s="16">
        <v>22500</v>
      </c>
      <c r="C270" s="17" t="s">
        <v>12</v>
      </c>
      <c r="D270" s="17">
        <v>1</v>
      </c>
      <c r="E270" s="17">
        <v>1</v>
      </c>
      <c r="F270" s="17">
        <v>1</v>
      </c>
      <c r="G270" s="17">
        <v>1</v>
      </c>
      <c r="H270" s="17">
        <v>0</v>
      </c>
      <c r="I270" s="17" t="s">
        <v>13</v>
      </c>
      <c r="J270" s="17">
        <v>1</v>
      </c>
      <c r="K270" s="18">
        <v>0</v>
      </c>
      <c r="O270" s="16">
        <v>22500</v>
      </c>
      <c r="P270" s="17">
        <v>1</v>
      </c>
    </row>
    <row r="271" spans="1:16" x14ac:dyDescent="0.3">
      <c r="A271" s="19">
        <v>573</v>
      </c>
      <c r="B271" s="20">
        <v>21818.181820000002</v>
      </c>
      <c r="C271" s="21" t="s">
        <v>14</v>
      </c>
      <c r="D271" s="21">
        <v>0</v>
      </c>
      <c r="E271" s="21">
        <v>1</v>
      </c>
      <c r="F271" s="21">
        <v>1</v>
      </c>
      <c r="G271" s="21">
        <v>1</v>
      </c>
      <c r="H271" s="21">
        <v>0</v>
      </c>
      <c r="I271" s="21" t="s">
        <v>13</v>
      </c>
      <c r="J271" s="21">
        <v>0</v>
      </c>
      <c r="K271" s="22">
        <v>1</v>
      </c>
      <c r="O271" s="20">
        <v>21818.181820000002</v>
      </c>
      <c r="P271" s="21">
        <v>1</v>
      </c>
    </row>
    <row r="272" spans="1:16" x14ac:dyDescent="0.3">
      <c r="A272" s="15">
        <v>574</v>
      </c>
      <c r="B272" s="16">
        <v>21818.181820000002</v>
      </c>
      <c r="C272" s="17" t="s">
        <v>14</v>
      </c>
      <c r="D272" s="17">
        <v>0</v>
      </c>
      <c r="E272" s="17">
        <v>1</v>
      </c>
      <c r="F272" s="17">
        <v>0</v>
      </c>
      <c r="G272" s="17">
        <v>1</v>
      </c>
      <c r="H272" s="17">
        <v>0</v>
      </c>
      <c r="I272" s="17" t="s">
        <v>13</v>
      </c>
      <c r="J272" s="17">
        <v>0</v>
      </c>
      <c r="K272" s="18">
        <v>1</v>
      </c>
      <c r="O272" s="16">
        <v>21818.181820000002</v>
      </c>
      <c r="P272" s="17">
        <v>0</v>
      </c>
    </row>
    <row r="273" spans="1:16" x14ac:dyDescent="0.3">
      <c r="A273" s="19">
        <v>575</v>
      </c>
      <c r="B273" s="20">
        <v>27272.727269999999</v>
      </c>
      <c r="C273" s="21" t="s">
        <v>14</v>
      </c>
      <c r="D273" s="21">
        <v>0</v>
      </c>
      <c r="E273" s="21">
        <v>1</v>
      </c>
      <c r="F273" s="21">
        <v>1</v>
      </c>
      <c r="G273" s="21">
        <v>1</v>
      </c>
      <c r="H273" s="21">
        <v>0</v>
      </c>
      <c r="I273" s="21" t="s">
        <v>13</v>
      </c>
      <c r="J273" s="21">
        <v>1</v>
      </c>
      <c r="K273" s="22">
        <v>1</v>
      </c>
      <c r="O273" s="20">
        <v>27272.727269999999</v>
      </c>
      <c r="P273" s="21">
        <v>1</v>
      </c>
    </row>
    <row r="274" spans="1:16" x14ac:dyDescent="0.3">
      <c r="A274" s="15">
        <v>576</v>
      </c>
      <c r="B274" s="16">
        <v>28750</v>
      </c>
      <c r="C274" s="17" t="s">
        <v>14</v>
      </c>
      <c r="D274" s="17">
        <v>0</v>
      </c>
      <c r="E274" s="17">
        <v>1</v>
      </c>
      <c r="F274" s="17">
        <v>0</v>
      </c>
      <c r="G274" s="17">
        <v>1</v>
      </c>
      <c r="H274" s="17">
        <v>0</v>
      </c>
      <c r="I274" s="17" t="s">
        <v>13</v>
      </c>
      <c r="J274" s="17">
        <v>1</v>
      </c>
      <c r="K274" s="18">
        <v>1</v>
      </c>
      <c r="O274" s="16">
        <v>28750</v>
      </c>
      <c r="P274" s="17">
        <v>0</v>
      </c>
    </row>
    <row r="275" spans="1:16" x14ac:dyDescent="0.3">
      <c r="A275" s="19">
        <v>577</v>
      </c>
      <c r="B275" s="20">
        <v>37142.85714</v>
      </c>
      <c r="C275" s="21" t="s">
        <v>14</v>
      </c>
      <c r="D275" s="21">
        <v>0</v>
      </c>
      <c r="E275" s="21">
        <v>1</v>
      </c>
      <c r="F275" s="21">
        <v>1</v>
      </c>
      <c r="G275" s="21">
        <v>1</v>
      </c>
      <c r="H275" s="21">
        <v>0</v>
      </c>
      <c r="I275" s="21" t="s">
        <v>13</v>
      </c>
      <c r="J275" s="21">
        <v>1</v>
      </c>
      <c r="K275" s="22">
        <v>1</v>
      </c>
      <c r="O275" s="20">
        <v>37142.85714</v>
      </c>
      <c r="P275" s="21">
        <v>1</v>
      </c>
    </row>
    <row r="276" spans="1:16" x14ac:dyDescent="0.3">
      <c r="A276" s="15">
        <v>581</v>
      </c>
      <c r="B276" s="16">
        <v>19565.217390000002</v>
      </c>
      <c r="C276" s="17" t="s">
        <v>14</v>
      </c>
      <c r="D276" s="17">
        <v>0</v>
      </c>
      <c r="E276" s="17">
        <v>1</v>
      </c>
      <c r="F276" s="17">
        <v>0</v>
      </c>
      <c r="G276" s="17">
        <v>1</v>
      </c>
      <c r="H276" s="17">
        <v>0</v>
      </c>
      <c r="I276" s="17" t="s">
        <v>13</v>
      </c>
      <c r="J276" s="17">
        <v>1</v>
      </c>
      <c r="K276" s="18">
        <v>1</v>
      </c>
      <c r="O276" s="16">
        <v>19565.217390000002</v>
      </c>
      <c r="P276" s="17">
        <v>0</v>
      </c>
    </row>
    <row r="277" spans="1:16" x14ac:dyDescent="0.3">
      <c r="A277" s="19">
        <v>582</v>
      </c>
      <c r="B277" s="20">
        <v>47500</v>
      </c>
      <c r="C277" s="21" t="s">
        <v>14</v>
      </c>
      <c r="D277" s="21">
        <v>0</v>
      </c>
      <c r="E277" s="21">
        <v>1</v>
      </c>
      <c r="F277" s="21">
        <v>1</v>
      </c>
      <c r="G277" s="21">
        <v>0</v>
      </c>
      <c r="H277" s="21">
        <v>1</v>
      </c>
      <c r="I277" s="21" t="s">
        <v>13</v>
      </c>
      <c r="J277" s="21">
        <v>1</v>
      </c>
      <c r="K277" s="22">
        <v>0</v>
      </c>
      <c r="O277" s="20">
        <v>47500</v>
      </c>
      <c r="P277" s="21">
        <v>1</v>
      </c>
    </row>
    <row r="278" spans="1:16" x14ac:dyDescent="0.3">
      <c r="A278" s="15">
        <v>587</v>
      </c>
      <c r="B278" s="16">
        <v>27380.952379999999</v>
      </c>
      <c r="C278" s="17" t="s">
        <v>14</v>
      </c>
      <c r="D278" s="17">
        <v>0</v>
      </c>
      <c r="E278" s="17">
        <v>1</v>
      </c>
      <c r="F278" s="17">
        <v>0</v>
      </c>
      <c r="G278" s="17">
        <v>1</v>
      </c>
      <c r="H278" s="17">
        <v>0</v>
      </c>
      <c r="I278" s="17" t="s">
        <v>13</v>
      </c>
      <c r="J278" s="17">
        <v>0</v>
      </c>
      <c r="K278" s="18">
        <v>1</v>
      </c>
      <c r="O278" s="16">
        <v>27380.952379999999</v>
      </c>
      <c r="P278" s="17">
        <v>0</v>
      </c>
    </row>
    <row r="279" spans="1:16" x14ac:dyDescent="0.3">
      <c r="A279" s="19">
        <v>593</v>
      </c>
      <c r="B279" s="20">
        <v>37777.777779999997</v>
      </c>
      <c r="C279" s="21" t="s">
        <v>14</v>
      </c>
      <c r="D279" s="21">
        <v>0</v>
      </c>
      <c r="E279" s="21">
        <v>1</v>
      </c>
      <c r="F279" s="21">
        <v>0</v>
      </c>
      <c r="G279" s="21">
        <v>1</v>
      </c>
      <c r="H279" s="21">
        <v>0</v>
      </c>
      <c r="I279" s="21" t="s">
        <v>13</v>
      </c>
      <c r="J279" s="21">
        <v>1</v>
      </c>
      <c r="K279" s="22">
        <v>1</v>
      </c>
      <c r="O279" s="20">
        <v>37777.777779999997</v>
      </c>
      <c r="P279" s="21">
        <v>0</v>
      </c>
    </row>
    <row r="280" spans="1:16" x14ac:dyDescent="0.3">
      <c r="A280" s="15">
        <v>594</v>
      </c>
      <c r="B280" s="16">
        <v>17000</v>
      </c>
      <c r="C280" s="17" t="s">
        <v>14</v>
      </c>
      <c r="D280" s="17">
        <v>0</v>
      </c>
      <c r="E280" s="17">
        <v>0</v>
      </c>
      <c r="F280" s="17">
        <v>0</v>
      </c>
      <c r="G280" s="17">
        <v>1</v>
      </c>
      <c r="H280" s="17">
        <v>0</v>
      </c>
      <c r="I280" s="17" t="s">
        <v>13</v>
      </c>
      <c r="J280" s="17">
        <v>1</v>
      </c>
      <c r="K280" s="18">
        <v>0</v>
      </c>
      <c r="O280" s="16">
        <v>17000</v>
      </c>
      <c r="P280" s="17">
        <v>0</v>
      </c>
    </row>
    <row r="281" spans="1:16" x14ac:dyDescent="0.3">
      <c r="A281" s="19">
        <v>598</v>
      </c>
      <c r="B281" s="20">
        <v>40909.090909999999</v>
      </c>
      <c r="C281" s="21" t="s">
        <v>14</v>
      </c>
      <c r="D281" s="21">
        <v>0</v>
      </c>
      <c r="E281" s="21">
        <v>1</v>
      </c>
      <c r="F281" s="21">
        <v>0</v>
      </c>
      <c r="G281" s="21">
        <v>1</v>
      </c>
      <c r="H281" s="21">
        <v>0</v>
      </c>
      <c r="I281" s="21" t="s">
        <v>13</v>
      </c>
      <c r="J281" s="21">
        <v>1</v>
      </c>
      <c r="K281" s="22">
        <v>1</v>
      </c>
      <c r="O281" s="20">
        <v>40909.090909999999</v>
      </c>
      <c r="P281" s="21">
        <v>0</v>
      </c>
    </row>
    <row r="282" spans="1:16" x14ac:dyDescent="0.3">
      <c r="A282" s="15">
        <v>600</v>
      </c>
      <c r="B282" s="16">
        <v>21818.181820000002</v>
      </c>
      <c r="C282" s="17" t="s">
        <v>14</v>
      </c>
      <c r="D282" s="17">
        <v>0</v>
      </c>
      <c r="E282" s="17">
        <v>1</v>
      </c>
      <c r="F282" s="17">
        <v>1</v>
      </c>
      <c r="G282" s="17">
        <v>1</v>
      </c>
      <c r="H282" s="17">
        <v>0</v>
      </c>
      <c r="I282" s="17" t="s">
        <v>13</v>
      </c>
      <c r="J282" s="17">
        <v>1</v>
      </c>
      <c r="K282" s="18">
        <v>1</v>
      </c>
      <c r="O282" s="16">
        <v>21818.181820000002</v>
      </c>
      <c r="P282" s="17">
        <v>1</v>
      </c>
    </row>
    <row r="283" spans="1:16" x14ac:dyDescent="0.3">
      <c r="A283" s="19">
        <v>603</v>
      </c>
      <c r="B283" s="20">
        <v>27906.976739999998</v>
      </c>
      <c r="C283" s="21" t="s">
        <v>14</v>
      </c>
      <c r="D283" s="21">
        <v>0</v>
      </c>
      <c r="E283" s="21">
        <v>1</v>
      </c>
      <c r="F283" s="21">
        <v>1</v>
      </c>
      <c r="G283" s="21">
        <v>1</v>
      </c>
      <c r="H283" s="21">
        <v>0</v>
      </c>
      <c r="I283" s="21" t="s">
        <v>13</v>
      </c>
      <c r="J283" s="21">
        <v>1</v>
      </c>
      <c r="K283" s="22">
        <v>1</v>
      </c>
      <c r="O283" s="20">
        <v>27906.976739999998</v>
      </c>
      <c r="P283" s="21">
        <v>1</v>
      </c>
    </row>
    <row r="284" spans="1:16" x14ac:dyDescent="0.3">
      <c r="A284" s="15">
        <v>607</v>
      </c>
      <c r="B284" s="16">
        <v>31818.181820000002</v>
      </c>
      <c r="C284" s="17" t="s">
        <v>14</v>
      </c>
      <c r="D284" s="17">
        <v>0</v>
      </c>
      <c r="E284" s="17">
        <v>1</v>
      </c>
      <c r="F284" s="17">
        <v>1</v>
      </c>
      <c r="G284" s="17">
        <v>1</v>
      </c>
      <c r="H284" s="17">
        <v>0</v>
      </c>
      <c r="I284" s="17" t="s">
        <v>13</v>
      </c>
      <c r="J284" s="17">
        <v>1</v>
      </c>
      <c r="K284" s="18">
        <v>1</v>
      </c>
      <c r="O284" s="16">
        <v>31818.181820000002</v>
      </c>
      <c r="P284" s="17">
        <v>1</v>
      </c>
    </row>
    <row r="285" spans="1:16" x14ac:dyDescent="0.3">
      <c r="A285" s="19">
        <v>608</v>
      </c>
      <c r="B285" s="20">
        <v>-34722.222220000003</v>
      </c>
      <c r="C285" s="21" t="s">
        <v>14</v>
      </c>
      <c r="D285" s="21">
        <v>0</v>
      </c>
      <c r="E285" s="21">
        <v>1</v>
      </c>
      <c r="F285" s="21">
        <v>1</v>
      </c>
      <c r="G285" s="21">
        <v>1</v>
      </c>
      <c r="H285" s="21">
        <v>0</v>
      </c>
      <c r="I285" s="21" t="s">
        <v>13</v>
      </c>
      <c r="J285" s="21">
        <v>1</v>
      </c>
      <c r="K285" s="22">
        <v>1</v>
      </c>
      <c r="O285" s="20">
        <v>-34722.222220000003</v>
      </c>
      <c r="P285" s="21">
        <v>1</v>
      </c>
    </row>
    <row r="286" spans="1:16" x14ac:dyDescent="0.3">
      <c r="A286" s="15">
        <v>613</v>
      </c>
      <c r="B286" s="16">
        <v>24867.724869999998</v>
      </c>
      <c r="C286" s="17" t="s">
        <v>14</v>
      </c>
      <c r="D286" s="17">
        <v>0</v>
      </c>
      <c r="E286" s="17">
        <v>1</v>
      </c>
      <c r="F286" s="17">
        <v>0</v>
      </c>
      <c r="G286" s="17">
        <v>1</v>
      </c>
      <c r="H286" s="17">
        <v>0</v>
      </c>
      <c r="I286" s="17" t="s">
        <v>13</v>
      </c>
      <c r="J286" s="17">
        <v>1</v>
      </c>
      <c r="K286" s="18">
        <v>1</v>
      </c>
      <c r="O286" s="16">
        <v>24867.724869999998</v>
      </c>
      <c r="P286" s="17">
        <v>0</v>
      </c>
    </row>
    <row r="287" spans="1:16" x14ac:dyDescent="0.3">
      <c r="A287" s="19">
        <v>614</v>
      </c>
      <c r="B287" s="20">
        <v>20000</v>
      </c>
      <c r="C287" s="21" t="s">
        <v>14</v>
      </c>
      <c r="D287" s="21">
        <v>0</v>
      </c>
      <c r="E287" s="21">
        <v>0</v>
      </c>
      <c r="F287" s="21">
        <v>0</v>
      </c>
      <c r="G287" s="21">
        <v>1</v>
      </c>
      <c r="H287" s="21">
        <v>0</v>
      </c>
      <c r="I287" s="21" t="s">
        <v>13</v>
      </c>
      <c r="J287" s="21">
        <v>0</v>
      </c>
      <c r="K287" s="22">
        <v>1</v>
      </c>
      <c r="O287" s="20">
        <v>20000</v>
      </c>
      <c r="P287" s="21">
        <v>0</v>
      </c>
    </row>
    <row r="288" spans="1:16" x14ac:dyDescent="0.3">
      <c r="A288" s="15">
        <v>615</v>
      </c>
      <c r="B288" s="16">
        <v>20338.983049999999</v>
      </c>
      <c r="C288" s="17" t="s">
        <v>14</v>
      </c>
      <c r="D288" s="17">
        <v>0</v>
      </c>
      <c r="E288" s="17">
        <v>1</v>
      </c>
      <c r="F288" s="17">
        <v>0</v>
      </c>
      <c r="G288" s="17">
        <v>1</v>
      </c>
      <c r="H288" s="17">
        <v>0</v>
      </c>
      <c r="I288" s="17" t="s">
        <v>13</v>
      </c>
      <c r="J288" s="17">
        <v>1</v>
      </c>
      <c r="K288" s="18">
        <v>1</v>
      </c>
      <c r="O288" s="16">
        <v>20338.983049999999</v>
      </c>
      <c r="P288" s="17">
        <v>0</v>
      </c>
    </row>
    <row r="289" spans="1:16" x14ac:dyDescent="0.3">
      <c r="A289" s="19">
        <v>616</v>
      </c>
      <c r="B289" s="20">
        <v>133333.3333</v>
      </c>
      <c r="C289" s="21" t="s">
        <v>14</v>
      </c>
      <c r="D289" s="21">
        <v>0</v>
      </c>
      <c r="E289" s="21">
        <v>0</v>
      </c>
      <c r="F289" s="21">
        <v>0</v>
      </c>
      <c r="G289" s="21">
        <v>0</v>
      </c>
      <c r="H289" s="21">
        <v>1</v>
      </c>
      <c r="I289" s="21" t="s">
        <v>15</v>
      </c>
      <c r="J289" s="21">
        <v>1</v>
      </c>
      <c r="K289" s="22">
        <v>1</v>
      </c>
      <c r="O289" s="20">
        <v>133333.3333</v>
      </c>
      <c r="P289" s="21">
        <v>0</v>
      </c>
    </row>
    <row r="290" spans="1:16" x14ac:dyDescent="0.3">
      <c r="A290" s="15">
        <v>617</v>
      </c>
      <c r="B290" s="16">
        <v>34000</v>
      </c>
      <c r="C290" s="17" t="s">
        <v>14</v>
      </c>
      <c r="D290" s="17">
        <v>0</v>
      </c>
      <c r="E290" s="17">
        <v>0</v>
      </c>
      <c r="F290" s="17">
        <v>0</v>
      </c>
      <c r="G290" s="17">
        <v>0</v>
      </c>
      <c r="H290" s="17">
        <v>1</v>
      </c>
      <c r="I290" s="17" t="s">
        <v>15</v>
      </c>
      <c r="J290" s="17">
        <v>1</v>
      </c>
      <c r="K290" s="18">
        <v>1</v>
      </c>
      <c r="O290" s="16">
        <v>34000</v>
      </c>
      <c r="P290" s="17">
        <v>0</v>
      </c>
    </row>
    <row r="291" spans="1:16" x14ac:dyDescent="0.3">
      <c r="A291" s="19">
        <v>620</v>
      </c>
      <c r="B291" s="20">
        <v>43478.260869999998</v>
      </c>
      <c r="C291" s="21" t="s">
        <v>14</v>
      </c>
      <c r="D291" s="21">
        <v>0</v>
      </c>
      <c r="E291" s="21">
        <v>0</v>
      </c>
      <c r="F291" s="21">
        <v>0</v>
      </c>
      <c r="G291" s="21">
        <v>0</v>
      </c>
      <c r="H291" s="21">
        <v>1</v>
      </c>
      <c r="I291" s="21" t="s">
        <v>15</v>
      </c>
      <c r="J291" s="21">
        <v>0</v>
      </c>
      <c r="K291" s="22">
        <v>1</v>
      </c>
      <c r="O291" s="20">
        <v>43478.260869999998</v>
      </c>
      <c r="P291" s="21">
        <v>0</v>
      </c>
    </row>
    <row r="292" spans="1:16" x14ac:dyDescent="0.3">
      <c r="A292" s="15">
        <v>623</v>
      </c>
      <c r="B292" s="16">
        <v>8333.3333330000005</v>
      </c>
      <c r="C292" s="17" t="s">
        <v>14</v>
      </c>
      <c r="D292" s="17">
        <v>0</v>
      </c>
      <c r="E292" s="17">
        <v>0</v>
      </c>
      <c r="F292" s="17">
        <v>0</v>
      </c>
      <c r="G292" s="17">
        <v>0</v>
      </c>
      <c r="H292" s="17">
        <v>1</v>
      </c>
      <c r="I292" s="17" t="s">
        <v>15</v>
      </c>
      <c r="J292" s="17">
        <v>1</v>
      </c>
      <c r="K292" s="18">
        <v>1</v>
      </c>
      <c r="O292" s="16">
        <v>8333.3333330000005</v>
      </c>
      <c r="P292" s="17">
        <v>0</v>
      </c>
    </row>
    <row r="293" spans="1:16" x14ac:dyDescent="0.3">
      <c r="A293" s="19">
        <v>627</v>
      </c>
      <c r="B293" s="20">
        <v>78695.652170000001</v>
      </c>
      <c r="C293" s="21" t="s">
        <v>14</v>
      </c>
      <c r="D293" s="21">
        <v>0</v>
      </c>
      <c r="E293" s="21">
        <v>0</v>
      </c>
      <c r="F293" s="21">
        <v>0</v>
      </c>
      <c r="G293" s="21">
        <v>0</v>
      </c>
      <c r="H293" s="21">
        <v>1</v>
      </c>
      <c r="I293" s="21" t="s">
        <v>15</v>
      </c>
      <c r="J293" s="21">
        <v>1</v>
      </c>
      <c r="K293" s="22">
        <v>1</v>
      </c>
      <c r="O293" s="20">
        <v>78695.652170000001</v>
      </c>
      <c r="P293" s="21">
        <v>0</v>
      </c>
    </row>
    <row r="294" spans="1:16" x14ac:dyDescent="0.3">
      <c r="A294" s="15">
        <v>628</v>
      </c>
      <c r="B294" s="16">
        <v>139705.8824</v>
      </c>
      <c r="C294" s="17" t="s">
        <v>14</v>
      </c>
      <c r="D294" s="17">
        <v>0</v>
      </c>
      <c r="E294" s="17">
        <v>0</v>
      </c>
      <c r="F294" s="17">
        <v>0</v>
      </c>
      <c r="G294" s="17">
        <v>0</v>
      </c>
      <c r="H294" s="17">
        <v>1</v>
      </c>
      <c r="I294" s="17" t="s">
        <v>15</v>
      </c>
      <c r="J294" s="17">
        <v>1</v>
      </c>
      <c r="K294" s="18">
        <v>1</v>
      </c>
      <c r="O294" s="16">
        <v>139705.8824</v>
      </c>
      <c r="P294" s="17">
        <v>0</v>
      </c>
    </row>
    <row r="295" spans="1:16" x14ac:dyDescent="0.3">
      <c r="A295" s="19">
        <v>629</v>
      </c>
      <c r="B295" s="20">
        <v>41666.666669999999</v>
      </c>
      <c r="C295" s="21" t="s">
        <v>14</v>
      </c>
      <c r="D295" s="21">
        <v>0</v>
      </c>
      <c r="E295" s="21">
        <v>0</v>
      </c>
      <c r="F295" s="21">
        <v>0</v>
      </c>
      <c r="G295" s="21">
        <v>1</v>
      </c>
      <c r="H295" s="21">
        <v>0</v>
      </c>
      <c r="I295" s="21" t="s">
        <v>15</v>
      </c>
      <c r="J295" s="21">
        <v>1</v>
      </c>
      <c r="K295" s="22">
        <v>1</v>
      </c>
      <c r="O295" s="20">
        <v>41666.666669999999</v>
      </c>
      <c r="P295" s="21">
        <v>0</v>
      </c>
    </row>
    <row r="296" spans="1:16" x14ac:dyDescent="0.3">
      <c r="A296" s="15">
        <v>634</v>
      </c>
      <c r="B296" s="16">
        <v>24545.454549999999</v>
      </c>
      <c r="C296" s="17" t="s">
        <v>14</v>
      </c>
      <c r="D296" s="17">
        <v>0</v>
      </c>
      <c r="E296" s="17">
        <v>0</v>
      </c>
      <c r="F296" s="17">
        <v>0</v>
      </c>
      <c r="G296" s="17">
        <v>0</v>
      </c>
      <c r="H296" s="17">
        <v>1</v>
      </c>
      <c r="I296" s="17" t="s">
        <v>15</v>
      </c>
      <c r="J296" s="17">
        <v>1</v>
      </c>
      <c r="K296" s="18">
        <v>1</v>
      </c>
      <c r="O296" s="16">
        <v>24545.454549999999</v>
      </c>
      <c r="P296" s="17">
        <v>0</v>
      </c>
    </row>
    <row r="297" spans="1:16" x14ac:dyDescent="0.3">
      <c r="A297" s="19">
        <v>635</v>
      </c>
      <c r="B297" s="20">
        <v>33854.166669999999</v>
      </c>
      <c r="C297" s="21" t="s">
        <v>14</v>
      </c>
      <c r="D297" s="21">
        <v>0</v>
      </c>
      <c r="E297" s="21">
        <v>0</v>
      </c>
      <c r="F297" s="21">
        <v>0</v>
      </c>
      <c r="G297" s="21">
        <v>0</v>
      </c>
      <c r="H297" s="21">
        <v>1</v>
      </c>
      <c r="I297" s="21" t="s">
        <v>15</v>
      </c>
      <c r="J297" s="21">
        <v>1</v>
      </c>
      <c r="K297" s="22">
        <v>1</v>
      </c>
      <c r="O297" s="20">
        <v>33854.166669999999</v>
      </c>
      <c r="P297" s="21">
        <v>0</v>
      </c>
    </row>
    <row r="298" spans="1:16" x14ac:dyDescent="0.3">
      <c r="A298" s="15">
        <v>639</v>
      </c>
      <c r="B298" s="16">
        <v>44166.666669999999</v>
      </c>
      <c r="C298" s="17" t="s">
        <v>14</v>
      </c>
      <c r="D298" s="17">
        <v>0</v>
      </c>
      <c r="E298" s="17">
        <v>0</v>
      </c>
      <c r="F298" s="17">
        <v>0</v>
      </c>
      <c r="G298" s="17">
        <v>0</v>
      </c>
      <c r="H298" s="17">
        <v>1</v>
      </c>
      <c r="I298" s="17" t="s">
        <v>15</v>
      </c>
      <c r="J298" s="17">
        <v>1</v>
      </c>
      <c r="K298" s="18">
        <v>1</v>
      </c>
      <c r="O298" s="16">
        <v>44166.666669999999</v>
      </c>
      <c r="P298" s="17">
        <v>0</v>
      </c>
    </row>
    <row r="299" spans="1:16" x14ac:dyDescent="0.3">
      <c r="A299" s="19">
        <v>640</v>
      </c>
      <c r="B299" s="20">
        <v>50000</v>
      </c>
      <c r="C299" s="21" t="s">
        <v>14</v>
      </c>
      <c r="D299" s="21">
        <v>0</v>
      </c>
      <c r="E299" s="21">
        <v>0</v>
      </c>
      <c r="F299" s="21">
        <v>0</v>
      </c>
      <c r="G299" s="21">
        <v>0</v>
      </c>
      <c r="H299" s="21">
        <v>1</v>
      </c>
      <c r="I299" s="21" t="s">
        <v>15</v>
      </c>
      <c r="J299" s="21">
        <v>0</v>
      </c>
      <c r="K299" s="22">
        <v>1</v>
      </c>
      <c r="O299" s="20">
        <v>50000</v>
      </c>
      <c r="P299" s="21">
        <v>0</v>
      </c>
    </row>
    <row r="300" spans="1:16" x14ac:dyDescent="0.3">
      <c r="A300" s="15">
        <v>642</v>
      </c>
      <c r="B300" s="16">
        <v>16540.75547</v>
      </c>
      <c r="C300" s="17" t="s">
        <v>14</v>
      </c>
      <c r="D300" s="17">
        <v>0</v>
      </c>
      <c r="E300" s="17">
        <v>0</v>
      </c>
      <c r="F300" s="17">
        <v>0</v>
      </c>
      <c r="G300" s="17">
        <v>0</v>
      </c>
      <c r="H300" s="17">
        <v>1</v>
      </c>
      <c r="I300" s="17" t="s">
        <v>15</v>
      </c>
      <c r="J300" s="17">
        <v>1</v>
      </c>
      <c r="K300" s="18">
        <v>0</v>
      </c>
      <c r="O300" s="16">
        <v>16540.75547</v>
      </c>
      <c r="P300" s="17">
        <v>0</v>
      </c>
    </row>
    <row r="301" spans="1:16" x14ac:dyDescent="0.3">
      <c r="A301" s="19">
        <v>645</v>
      </c>
      <c r="B301" s="20">
        <v>67500</v>
      </c>
      <c r="C301" s="21" t="s">
        <v>14</v>
      </c>
      <c r="D301" s="21">
        <v>0</v>
      </c>
      <c r="E301" s="21">
        <v>0</v>
      </c>
      <c r="F301" s="21">
        <v>0</v>
      </c>
      <c r="G301" s="21">
        <v>0</v>
      </c>
      <c r="H301" s="21">
        <v>1</v>
      </c>
      <c r="I301" s="21" t="s">
        <v>15</v>
      </c>
      <c r="J301" s="21">
        <v>1</v>
      </c>
      <c r="K301" s="22">
        <v>1</v>
      </c>
      <c r="O301" s="20">
        <v>67500</v>
      </c>
      <c r="P301" s="21">
        <v>0</v>
      </c>
    </row>
    <row r="302" spans="1:16" x14ac:dyDescent="0.3">
      <c r="A302" s="15">
        <v>646</v>
      </c>
      <c r="B302" s="16">
        <v>12000</v>
      </c>
      <c r="C302" s="17" t="s">
        <v>14</v>
      </c>
      <c r="D302" s="17">
        <v>0</v>
      </c>
      <c r="E302" s="17">
        <v>0</v>
      </c>
      <c r="F302" s="17">
        <v>0</v>
      </c>
      <c r="G302" s="17">
        <v>0</v>
      </c>
      <c r="H302" s="17">
        <v>1</v>
      </c>
      <c r="I302" s="17" t="s">
        <v>15</v>
      </c>
      <c r="J302" s="17">
        <v>1</v>
      </c>
      <c r="K302" s="18">
        <v>1</v>
      </c>
      <c r="O302" s="16">
        <v>12000</v>
      </c>
      <c r="P302" s="17">
        <v>0</v>
      </c>
    </row>
    <row r="303" spans="1:16" x14ac:dyDescent="0.3">
      <c r="A303" s="19">
        <v>660</v>
      </c>
      <c r="B303" s="20">
        <v>117000</v>
      </c>
      <c r="C303" s="21" t="s">
        <v>14</v>
      </c>
      <c r="D303" s="21">
        <v>0</v>
      </c>
      <c r="E303" s="21">
        <v>0</v>
      </c>
      <c r="F303" s="21">
        <v>0</v>
      </c>
      <c r="G303" s="21">
        <v>0</v>
      </c>
      <c r="H303" s="21">
        <v>1</v>
      </c>
      <c r="I303" s="21" t="s">
        <v>15</v>
      </c>
      <c r="J303" s="21">
        <v>1</v>
      </c>
      <c r="K303" s="22">
        <v>1</v>
      </c>
      <c r="O303" s="20">
        <v>117000</v>
      </c>
      <c r="P303" s="21">
        <v>0</v>
      </c>
    </row>
    <row r="304" spans="1:16" x14ac:dyDescent="0.3">
      <c r="A304" s="15">
        <v>661</v>
      </c>
      <c r="B304" s="16">
        <v>14705.88235</v>
      </c>
      <c r="C304" s="17" t="s">
        <v>14</v>
      </c>
      <c r="D304" s="17">
        <v>0</v>
      </c>
      <c r="E304" s="17">
        <v>0</v>
      </c>
      <c r="F304" s="17">
        <v>1</v>
      </c>
      <c r="G304" s="17">
        <v>0</v>
      </c>
      <c r="H304" s="17">
        <v>1</v>
      </c>
      <c r="I304" s="17" t="s">
        <v>15</v>
      </c>
      <c r="J304" s="17">
        <v>1</v>
      </c>
      <c r="K304" s="18">
        <v>1</v>
      </c>
      <c r="O304" s="16">
        <v>14705.88235</v>
      </c>
      <c r="P304" s="17">
        <v>1</v>
      </c>
    </row>
    <row r="305" spans="1:16" x14ac:dyDescent="0.3">
      <c r="A305" s="19">
        <v>662</v>
      </c>
      <c r="B305" s="20">
        <v>73130.841119999997</v>
      </c>
      <c r="C305" s="21" t="s">
        <v>14</v>
      </c>
      <c r="D305" s="21">
        <v>0</v>
      </c>
      <c r="E305" s="21">
        <v>0</v>
      </c>
      <c r="F305" s="21">
        <v>0</v>
      </c>
      <c r="G305" s="21">
        <v>0</v>
      </c>
      <c r="H305" s="21">
        <v>1</v>
      </c>
      <c r="I305" s="21" t="s">
        <v>15</v>
      </c>
      <c r="J305" s="21">
        <v>1</v>
      </c>
      <c r="K305" s="22">
        <v>1</v>
      </c>
      <c r="O305" s="20">
        <v>73130.841119999997</v>
      </c>
      <c r="P305" s="21">
        <v>0</v>
      </c>
    </row>
    <row r="306" spans="1:16" x14ac:dyDescent="0.3">
      <c r="A306" s="15">
        <v>663</v>
      </c>
      <c r="B306" s="16">
        <v>95000</v>
      </c>
      <c r="C306" s="17" t="s">
        <v>14</v>
      </c>
      <c r="D306" s="17">
        <v>0</v>
      </c>
      <c r="E306" s="17">
        <v>0</v>
      </c>
      <c r="F306" s="17">
        <v>0</v>
      </c>
      <c r="G306" s="17">
        <v>0</v>
      </c>
      <c r="H306" s="17">
        <v>1</v>
      </c>
      <c r="I306" s="17" t="s">
        <v>15</v>
      </c>
      <c r="J306" s="17">
        <v>1</v>
      </c>
      <c r="K306" s="18">
        <v>1</v>
      </c>
      <c r="O306" s="16">
        <v>95000</v>
      </c>
      <c r="P306" s="17">
        <v>0</v>
      </c>
    </row>
    <row r="307" spans="1:16" x14ac:dyDescent="0.3">
      <c r="A307" s="19">
        <v>664</v>
      </c>
      <c r="B307" s="20">
        <v>20000</v>
      </c>
      <c r="C307" s="21" t="s">
        <v>14</v>
      </c>
      <c r="D307" s="21">
        <v>0</v>
      </c>
      <c r="E307" s="21">
        <v>0</v>
      </c>
      <c r="F307" s="21">
        <v>0</v>
      </c>
      <c r="G307" s="21">
        <v>0</v>
      </c>
      <c r="H307" s="21">
        <v>1</v>
      </c>
      <c r="I307" s="21" t="s">
        <v>15</v>
      </c>
      <c r="J307" s="21">
        <v>1</v>
      </c>
      <c r="K307" s="22">
        <v>1</v>
      </c>
      <c r="O307" s="20">
        <v>20000</v>
      </c>
      <c r="P307" s="21">
        <v>0</v>
      </c>
    </row>
    <row r="308" spans="1:16" x14ac:dyDescent="0.3">
      <c r="A308" s="15">
        <v>665</v>
      </c>
      <c r="B308" s="16">
        <v>11090.909089999999</v>
      </c>
      <c r="C308" s="17" t="s">
        <v>14</v>
      </c>
      <c r="D308" s="17">
        <v>0</v>
      </c>
      <c r="E308" s="17">
        <v>0</v>
      </c>
      <c r="F308" s="17">
        <v>0</v>
      </c>
      <c r="G308" s="17">
        <v>0</v>
      </c>
      <c r="H308" s="17">
        <v>1</v>
      </c>
      <c r="I308" s="17" t="s">
        <v>15</v>
      </c>
      <c r="J308" s="17">
        <v>0</v>
      </c>
      <c r="K308" s="18">
        <v>1</v>
      </c>
      <c r="O308" s="16">
        <v>11090.909089999999</v>
      </c>
      <c r="P308" s="17">
        <v>0</v>
      </c>
    </row>
    <row r="309" spans="1:16" x14ac:dyDescent="0.3">
      <c r="A309" s="19">
        <v>667</v>
      </c>
      <c r="B309" s="20">
        <v>63833.333330000001</v>
      </c>
      <c r="C309" s="21" t="s">
        <v>14</v>
      </c>
      <c r="D309" s="21">
        <v>0</v>
      </c>
      <c r="E309" s="21">
        <v>0</v>
      </c>
      <c r="F309" s="21">
        <v>0</v>
      </c>
      <c r="G309" s="21">
        <v>0</v>
      </c>
      <c r="H309" s="21">
        <v>1</v>
      </c>
      <c r="I309" s="21" t="s">
        <v>15</v>
      </c>
      <c r="J309" s="21">
        <v>1</v>
      </c>
      <c r="K309" s="22">
        <v>1</v>
      </c>
      <c r="O309" s="20">
        <v>63833.333330000001</v>
      </c>
      <c r="P309" s="21">
        <v>0</v>
      </c>
    </row>
    <row r="310" spans="1:16" x14ac:dyDescent="0.3">
      <c r="A310" s="15">
        <v>668</v>
      </c>
      <c r="B310" s="16">
        <v>63058.823530000001</v>
      </c>
      <c r="C310" s="17" t="s">
        <v>14</v>
      </c>
      <c r="D310" s="17">
        <v>0</v>
      </c>
      <c r="E310" s="17">
        <v>0</v>
      </c>
      <c r="F310" s="17">
        <v>0</v>
      </c>
      <c r="G310" s="17">
        <v>0</v>
      </c>
      <c r="H310" s="17">
        <v>1</v>
      </c>
      <c r="I310" s="17" t="s">
        <v>15</v>
      </c>
      <c r="J310" s="17">
        <v>1</v>
      </c>
      <c r="K310" s="18">
        <v>1</v>
      </c>
      <c r="O310" s="16">
        <v>63058.823530000001</v>
      </c>
      <c r="P310" s="17">
        <v>0</v>
      </c>
    </row>
    <row r="311" spans="1:16" x14ac:dyDescent="0.3">
      <c r="A311" s="19">
        <v>669</v>
      </c>
      <c r="B311" s="20">
        <v>16400</v>
      </c>
      <c r="C311" s="21" t="s">
        <v>14</v>
      </c>
      <c r="D311" s="21">
        <v>0</v>
      </c>
      <c r="E311" s="21">
        <v>0</v>
      </c>
      <c r="F311" s="21">
        <v>0</v>
      </c>
      <c r="G311" s="21">
        <v>0</v>
      </c>
      <c r="H311" s="21">
        <v>1</v>
      </c>
      <c r="I311" s="21" t="s">
        <v>15</v>
      </c>
      <c r="J311" s="21">
        <v>1</v>
      </c>
      <c r="K311" s="22">
        <v>1</v>
      </c>
      <c r="O311" s="20">
        <v>16400</v>
      </c>
      <c r="P311" s="21">
        <v>0</v>
      </c>
    </row>
    <row r="312" spans="1:16" x14ac:dyDescent="0.3">
      <c r="A312" s="15">
        <v>671</v>
      </c>
      <c r="B312" s="16">
        <v>-49666.666669999999</v>
      </c>
      <c r="C312" s="17" t="s">
        <v>14</v>
      </c>
      <c r="D312" s="17">
        <v>0</v>
      </c>
      <c r="E312" s="17">
        <v>0</v>
      </c>
      <c r="F312" s="17">
        <v>0</v>
      </c>
      <c r="G312" s="17">
        <v>0</v>
      </c>
      <c r="H312" s="17">
        <v>1</v>
      </c>
      <c r="I312" s="17" t="s">
        <v>15</v>
      </c>
      <c r="J312" s="17">
        <v>1</v>
      </c>
      <c r="K312" s="18">
        <v>1</v>
      </c>
      <c r="O312" s="16">
        <v>-49666.666669999999</v>
      </c>
      <c r="P312" s="17">
        <v>0</v>
      </c>
    </row>
    <row r="313" spans="1:16" x14ac:dyDescent="0.3">
      <c r="A313" s="19">
        <v>672</v>
      </c>
      <c r="B313" s="20">
        <v>50909.090909999999</v>
      </c>
      <c r="C313" s="21" t="s">
        <v>14</v>
      </c>
      <c r="D313" s="21">
        <v>0</v>
      </c>
      <c r="E313" s="21">
        <v>1</v>
      </c>
      <c r="F313" s="21">
        <v>0</v>
      </c>
      <c r="G313" s="21">
        <v>0</v>
      </c>
      <c r="H313" s="21">
        <v>1</v>
      </c>
      <c r="I313" s="21" t="s">
        <v>15</v>
      </c>
      <c r="J313" s="21">
        <v>1</v>
      </c>
      <c r="K313" s="22">
        <v>1</v>
      </c>
      <c r="O313" s="20">
        <v>50909.090909999999</v>
      </c>
      <c r="P313" s="21">
        <v>0</v>
      </c>
    </row>
    <row r="314" spans="1:16" x14ac:dyDescent="0.3">
      <c r="A314" s="15">
        <v>673</v>
      </c>
      <c r="B314" s="16">
        <v>69230.769230000005</v>
      </c>
      <c r="C314" s="17" t="s">
        <v>14</v>
      </c>
      <c r="D314" s="17">
        <v>0</v>
      </c>
      <c r="E314" s="17">
        <v>1</v>
      </c>
      <c r="F314" s="17">
        <v>0</v>
      </c>
      <c r="G314" s="17">
        <v>0</v>
      </c>
      <c r="H314" s="17">
        <v>1</v>
      </c>
      <c r="I314" s="17" t="s">
        <v>15</v>
      </c>
      <c r="J314" s="17">
        <v>1</v>
      </c>
      <c r="K314" s="18">
        <v>1</v>
      </c>
      <c r="O314" s="16">
        <v>69230.769230000005</v>
      </c>
      <c r="P314" s="17">
        <v>0</v>
      </c>
    </row>
    <row r="315" spans="1:16" x14ac:dyDescent="0.3">
      <c r="A315" s="19">
        <v>674</v>
      </c>
      <c r="B315" s="20">
        <v>85600</v>
      </c>
      <c r="C315" s="21" t="s">
        <v>14</v>
      </c>
      <c r="D315" s="21">
        <v>0</v>
      </c>
      <c r="E315" s="21">
        <v>0</v>
      </c>
      <c r="F315" s="21">
        <v>0</v>
      </c>
      <c r="G315" s="21">
        <v>0</v>
      </c>
      <c r="H315" s="21">
        <v>1</v>
      </c>
      <c r="I315" s="21" t="s">
        <v>15</v>
      </c>
      <c r="J315" s="21">
        <v>0</v>
      </c>
      <c r="K315" s="22">
        <v>1</v>
      </c>
      <c r="O315" s="20">
        <v>85600</v>
      </c>
      <c r="P315" s="21">
        <v>0</v>
      </c>
    </row>
    <row r="316" spans="1:16" x14ac:dyDescent="0.3">
      <c r="A316" s="15">
        <v>675</v>
      </c>
      <c r="B316" s="16">
        <v>100000</v>
      </c>
      <c r="C316" s="17" t="s">
        <v>14</v>
      </c>
      <c r="D316" s="17">
        <v>0</v>
      </c>
      <c r="E316" s="17">
        <v>0</v>
      </c>
      <c r="F316" s="17">
        <v>0</v>
      </c>
      <c r="G316" s="17">
        <v>0</v>
      </c>
      <c r="H316" s="17">
        <v>1</v>
      </c>
      <c r="I316" s="17" t="s">
        <v>15</v>
      </c>
      <c r="J316" s="17">
        <v>0</v>
      </c>
      <c r="K316" s="18">
        <v>1</v>
      </c>
      <c r="O316" s="16">
        <v>100000</v>
      </c>
      <c r="P316" s="17">
        <v>0</v>
      </c>
    </row>
    <row r="317" spans="1:16" x14ac:dyDescent="0.3">
      <c r="A317" s="19">
        <v>676</v>
      </c>
      <c r="B317" s="20">
        <v>20000</v>
      </c>
      <c r="C317" s="21" t="s">
        <v>14</v>
      </c>
      <c r="D317" s="21">
        <v>0</v>
      </c>
      <c r="E317" s="21">
        <v>0</v>
      </c>
      <c r="F317" s="21">
        <v>0</v>
      </c>
      <c r="G317" s="21">
        <v>0</v>
      </c>
      <c r="H317" s="21">
        <v>1</v>
      </c>
      <c r="I317" s="21" t="s">
        <v>15</v>
      </c>
      <c r="J317" s="21">
        <v>1</v>
      </c>
      <c r="K317" s="22">
        <v>1</v>
      </c>
      <c r="O317" s="20">
        <v>20000</v>
      </c>
      <c r="P317" s="21">
        <v>0</v>
      </c>
    </row>
    <row r="318" spans="1:16" x14ac:dyDescent="0.3">
      <c r="A318" s="15">
        <v>678</v>
      </c>
      <c r="B318" s="16">
        <v>40000</v>
      </c>
      <c r="C318" s="17" t="s">
        <v>14</v>
      </c>
      <c r="D318" s="17">
        <v>0</v>
      </c>
      <c r="E318" s="17">
        <v>0</v>
      </c>
      <c r="F318" s="17">
        <v>1</v>
      </c>
      <c r="G318" s="17">
        <v>1</v>
      </c>
      <c r="H318" s="17">
        <v>0</v>
      </c>
      <c r="I318" s="17" t="s">
        <v>15</v>
      </c>
      <c r="J318" s="17">
        <v>1</v>
      </c>
      <c r="K318" s="18">
        <v>1</v>
      </c>
      <c r="O318" s="16">
        <v>40000</v>
      </c>
      <c r="P318" s="17">
        <v>1</v>
      </c>
    </row>
    <row r="319" spans="1:16" x14ac:dyDescent="0.3">
      <c r="A319" s="19">
        <v>684</v>
      </c>
      <c r="B319" s="20">
        <v>84158.415840000001</v>
      </c>
      <c r="C319" s="21" t="s">
        <v>14</v>
      </c>
      <c r="D319" s="21">
        <v>0</v>
      </c>
      <c r="E319" s="21">
        <v>0</v>
      </c>
      <c r="F319" s="21">
        <v>0</v>
      </c>
      <c r="G319" s="21">
        <v>0</v>
      </c>
      <c r="H319" s="21">
        <v>1</v>
      </c>
      <c r="I319" s="21" t="s">
        <v>15</v>
      </c>
      <c r="J319" s="21">
        <v>1</v>
      </c>
      <c r="K319" s="22">
        <v>1</v>
      </c>
      <c r="O319" s="20">
        <v>84158.415840000001</v>
      </c>
      <c r="P319" s="21">
        <v>0</v>
      </c>
    </row>
    <row r="320" spans="1:16" x14ac:dyDescent="0.3">
      <c r="A320" s="15">
        <v>688</v>
      </c>
      <c r="B320" s="16">
        <v>81102.362200000003</v>
      </c>
      <c r="C320" s="17" t="s">
        <v>14</v>
      </c>
      <c r="D320" s="17">
        <v>0</v>
      </c>
      <c r="E320" s="17">
        <v>0</v>
      </c>
      <c r="F320" s="17">
        <v>0</v>
      </c>
      <c r="G320" s="17">
        <v>0</v>
      </c>
      <c r="H320" s="17">
        <v>1</v>
      </c>
      <c r="I320" s="17" t="s">
        <v>15</v>
      </c>
      <c r="J320" s="17">
        <v>0</v>
      </c>
      <c r="K320" s="18">
        <v>1</v>
      </c>
      <c r="O320" s="16">
        <v>81102.362200000003</v>
      </c>
      <c r="P320" s="17">
        <v>0</v>
      </c>
    </row>
    <row r="321" spans="1:16" x14ac:dyDescent="0.3">
      <c r="A321" s="19">
        <v>691</v>
      </c>
      <c r="B321" s="20">
        <v>115384.6154</v>
      </c>
      <c r="C321" s="21" t="s">
        <v>14</v>
      </c>
      <c r="D321" s="21">
        <v>0</v>
      </c>
      <c r="E321" s="21">
        <v>0</v>
      </c>
      <c r="F321" s="21">
        <v>0</v>
      </c>
      <c r="G321" s="21">
        <v>0</v>
      </c>
      <c r="H321" s="21">
        <v>1</v>
      </c>
      <c r="I321" s="21" t="s">
        <v>15</v>
      </c>
      <c r="J321" s="21">
        <v>1</v>
      </c>
      <c r="K321" s="22">
        <v>1</v>
      </c>
      <c r="O321" s="20">
        <v>115384.6154</v>
      </c>
      <c r="P321" s="21">
        <v>0</v>
      </c>
    </row>
    <row r="322" spans="1:16" x14ac:dyDescent="0.3">
      <c r="A322" s="15">
        <v>696</v>
      </c>
      <c r="B322" s="16">
        <v>55000</v>
      </c>
      <c r="C322" s="17" t="s">
        <v>14</v>
      </c>
      <c r="D322" s="17">
        <v>0</v>
      </c>
      <c r="E322" s="17">
        <v>0</v>
      </c>
      <c r="F322" s="17">
        <v>0</v>
      </c>
      <c r="G322" s="17">
        <v>0</v>
      </c>
      <c r="H322" s="17">
        <v>1</v>
      </c>
      <c r="I322" s="17" t="s">
        <v>15</v>
      </c>
      <c r="J322" s="17">
        <v>0</v>
      </c>
      <c r="K322" s="18">
        <v>1</v>
      </c>
      <c r="O322" s="16">
        <v>55000</v>
      </c>
      <c r="P322" s="17">
        <v>0</v>
      </c>
    </row>
    <row r="323" spans="1:16" x14ac:dyDescent="0.3">
      <c r="A323" s="19">
        <v>699</v>
      </c>
      <c r="B323" s="20">
        <v>41500</v>
      </c>
      <c r="C323" s="21" t="s">
        <v>14</v>
      </c>
      <c r="D323" s="21">
        <v>0</v>
      </c>
      <c r="E323" s="21">
        <v>0</v>
      </c>
      <c r="F323" s="21">
        <v>0</v>
      </c>
      <c r="G323" s="21">
        <v>0</v>
      </c>
      <c r="H323" s="21">
        <v>1</v>
      </c>
      <c r="I323" s="21" t="s">
        <v>15</v>
      </c>
      <c r="J323" s="21">
        <v>0</v>
      </c>
      <c r="K323" s="22">
        <v>1</v>
      </c>
      <c r="O323" s="20">
        <v>41500</v>
      </c>
      <c r="P323" s="21">
        <v>0</v>
      </c>
    </row>
    <row r="324" spans="1:16" x14ac:dyDescent="0.3">
      <c r="A324" s="15">
        <v>700</v>
      </c>
      <c r="B324" s="16">
        <v>40000</v>
      </c>
      <c r="C324" s="17" t="s">
        <v>14</v>
      </c>
      <c r="D324" s="17">
        <v>0</v>
      </c>
      <c r="E324" s="17">
        <v>0</v>
      </c>
      <c r="F324" s="17">
        <v>0</v>
      </c>
      <c r="G324" s="17">
        <v>0</v>
      </c>
      <c r="H324" s="17">
        <v>1</v>
      </c>
      <c r="I324" s="17" t="s">
        <v>15</v>
      </c>
      <c r="J324" s="17">
        <v>1</v>
      </c>
      <c r="K324" s="18">
        <v>1</v>
      </c>
      <c r="O324" s="16">
        <v>40000</v>
      </c>
      <c r="P324" s="17">
        <v>0</v>
      </c>
    </row>
    <row r="325" spans="1:16" x14ac:dyDescent="0.3">
      <c r="A325" s="19">
        <v>703</v>
      </c>
      <c r="B325" s="20">
        <v>150000</v>
      </c>
      <c r="C325" s="21" t="s">
        <v>14</v>
      </c>
      <c r="D325" s="21">
        <v>0</v>
      </c>
      <c r="E325" s="21">
        <v>0</v>
      </c>
      <c r="F325" s="21">
        <v>0</v>
      </c>
      <c r="G325" s="21">
        <v>0</v>
      </c>
      <c r="H325" s="21">
        <v>1</v>
      </c>
      <c r="I325" s="21" t="s">
        <v>15</v>
      </c>
      <c r="J325" s="21">
        <v>0</v>
      </c>
      <c r="K325" s="22">
        <v>1</v>
      </c>
      <c r="O325" s="20">
        <v>150000</v>
      </c>
      <c r="P325" s="21">
        <v>0</v>
      </c>
    </row>
    <row r="326" spans="1:16" x14ac:dyDescent="0.3">
      <c r="A326" s="15">
        <v>707</v>
      </c>
      <c r="B326" s="16">
        <v>145000</v>
      </c>
      <c r="C326" s="17" t="s">
        <v>14</v>
      </c>
      <c r="D326" s="17">
        <v>0</v>
      </c>
      <c r="E326" s="17">
        <v>0</v>
      </c>
      <c r="F326" s="17">
        <v>0</v>
      </c>
      <c r="G326" s="17">
        <v>0</v>
      </c>
      <c r="H326" s="17">
        <v>1</v>
      </c>
      <c r="I326" s="17" t="s">
        <v>15</v>
      </c>
      <c r="J326" s="17">
        <v>0</v>
      </c>
      <c r="K326" s="18">
        <v>1</v>
      </c>
      <c r="O326" s="16">
        <v>145000</v>
      </c>
      <c r="P326" s="17">
        <v>0</v>
      </c>
    </row>
    <row r="327" spans="1:16" x14ac:dyDescent="0.3">
      <c r="A327" s="19">
        <v>709</v>
      </c>
      <c r="B327" s="20">
        <v>75000</v>
      </c>
      <c r="C327" s="21" t="s">
        <v>14</v>
      </c>
      <c r="D327" s="21">
        <v>0</v>
      </c>
      <c r="E327" s="21">
        <v>1</v>
      </c>
      <c r="F327" s="21">
        <v>0</v>
      </c>
      <c r="G327" s="21">
        <v>0</v>
      </c>
      <c r="H327" s="21">
        <v>1</v>
      </c>
      <c r="I327" s="21" t="s">
        <v>15</v>
      </c>
      <c r="J327" s="21">
        <v>0</v>
      </c>
      <c r="K327" s="22">
        <v>1</v>
      </c>
      <c r="O327" s="20">
        <v>75000</v>
      </c>
      <c r="P327" s="21">
        <v>0</v>
      </c>
    </row>
    <row r="328" spans="1:16" x14ac:dyDescent="0.3">
      <c r="A328" s="15">
        <v>715</v>
      </c>
      <c r="B328" s="16">
        <v>90909.090909999999</v>
      </c>
      <c r="C328" s="17" t="s">
        <v>14</v>
      </c>
      <c r="D328" s="17">
        <v>0</v>
      </c>
      <c r="E328" s="17">
        <v>0</v>
      </c>
      <c r="F328" s="17">
        <v>0</v>
      </c>
      <c r="G328" s="17">
        <v>0</v>
      </c>
      <c r="H328" s="17">
        <v>1</v>
      </c>
      <c r="I328" s="17" t="s">
        <v>15</v>
      </c>
      <c r="J328" s="17">
        <v>1</v>
      </c>
      <c r="K328" s="18">
        <v>0</v>
      </c>
      <c r="O328" s="16">
        <v>90909.090909999999</v>
      </c>
      <c r="P328" s="17">
        <v>0</v>
      </c>
    </row>
    <row r="329" spans="1:16" x14ac:dyDescent="0.3">
      <c r="A329" s="19">
        <v>719</v>
      </c>
      <c r="B329" s="20">
        <v>13043.47826</v>
      </c>
      <c r="C329" s="21" t="s">
        <v>14</v>
      </c>
      <c r="D329" s="21">
        <v>0</v>
      </c>
      <c r="E329" s="21">
        <v>1</v>
      </c>
      <c r="F329" s="21">
        <v>0</v>
      </c>
      <c r="G329" s="21">
        <v>0</v>
      </c>
      <c r="H329" s="21">
        <v>1</v>
      </c>
      <c r="I329" s="21" t="s">
        <v>15</v>
      </c>
      <c r="J329" s="21">
        <v>1</v>
      </c>
      <c r="K329" s="22">
        <v>0</v>
      </c>
      <c r="O329" s="20">
        <v>13043.47826</v>
      </c>
      <c r="P329" s="21">
        <v>0</v>
      </c>
    </row>
    <row r="330" spans="1:16" x14ac:dyDescent="0.3">
      <c r="A330" s="15">
        <v>731</v>
      </c>
      <c r="B330" s="16">
        <v>75000</v>
      </c>
      <c r="C330" s="17" t="s">
        <v>14</v>
      </c>
      <c r="D330" s="17">
        <v>0</v>
      </c>
      <c r="E330" s="17">
        <v>0</v>
      </c>
      <c r="F330" s="17">
        <v>0</v>
      </c>
      <c r="G330" s="17">
        <v>0</v>
      </c>
      <c r="H330" s="17">
        <v>1</v>
      </c>
      <c r="I330" s="17" t="s">
        <v>15</v>
      </c>
      <c r="J330" s="17">
        <v>1</v>
      </c>
      <c r="K330" s="18">
        <v>1</v>
      </c>
      <c r="O330" s="16">
        <v>75000</v>
      </c>
      <c r="P330" s="17">
        <v>0</v>
      </c>
    </row>
    <row r="331" spans="1:16" x14ac:dyDescent="0.3">
      <c r="A331" s="19">
        <v>733</v>
      </c>
      <c r="B331" s="20">
        <v>119047.61900000001</v>
      </c>
      <c r="C331" s="21" t="s">
        <v>14</v>
      </c>
      <c r="D331" s="21">
        <v>0</v>
      </c>
      <c r="E331" s="21">
        <v>0</v>
      </c>
      <c r="F331" s="21">
        <v>0</v>
      </c>
      <c r="G331" s="21">
        <v>0</v>
      </c>
      <c r="H331" s="21">
        <v>1</v>
      </c>
      <c r="I331" s="21" t="s">
        <v>15</v>
      </c>
      <c r="J331" s="21">
        <v>0</v>
      </c>
      <c r="K331" s="22">
        <v>1</v>
      </c>
      <c r="O331" s="20">
        <v>119047.61900000001</v>
      </c>
      <c r="P331" s="21">
        <v>0</v>
      </c>
    </row>
    <row r="332" spans="1:16" x14ac:dyDescent="0.3">
      <c r="A332" s="15">
        <v>744</v>
      </c>
      <c r="B332" s="16">
        <v>59090.909090000001</v>
      </c>
      <c r="C332" s="17" t="s">
        <v>14</v>
      </c>
      <c r="D332" s="17">
        <v>0</v>
      </c>
      <c r="E332" s="17">
        <v>0</v>
      </c>
      <c r="F332" s="17">
        <v>0</v>
      </c>
      <c r="G332" s="17">
        <v>0</v>
      </c>
      <c r="H332" s="17">
        <v>1</v>
      </c>
      <c r="I332" s="17" t="s">
        <v>15</v>
      </c>
      <c r="J332" s="17">
        <v>0</v>
      </c>
      <c r="K332" s="18">
        <v>1</v>
      </c>
      <c r="O332" s="16">
        <v>59090.909090000001</v>
      </c>
      <c r="P332" s="17">
        <v>0</v>
      </c>
    </row>
    <row r="333" spans="1:16" x14ac:dyDescent="0.3">
      <c r="A333" s="19">
        <v>747</v>
      </c>
      <c r="B333" s="20">
        <v>86666.666670000006</v>
      </c>
      <c r="C333" s="21" t="s">
        <v>14</v>
      </c>
      <c r="D333" s="21">
        <v>0</v>
      </c>
      <c r="E333" s="21">
        <v>0</v>
      </c>
      <c r="F333" s="21">
        <v>0</v>
      </c>
      <c r="G333" s="21">
        <v>0</v>
      </c>
      <c r="H333" s="21">
        <v>1</v>
      </c>
      <c r="I333" s="21" t="s">
        <v>15</v>
      </c>
      <c r="J333" s="21">
        <v>0</v>
      </c>
      <c r="K333" s="22">
        <v>1</v>
      </c>
      <c r="O333" s="20">
        <v>86666.666670000006</v>
      </c>
      <c r="P333" s="21">
        <v>0</v>
      </c>
    </row>
    <row r="334" spans="1:16" x14ac:dyDescent="0.3">
      <c r="A334" s="15">
        <v>753</v>
      </c>
      <c r="B334" s="16">
        <v>100000</v>
      </c>
      <c r="C334" s="17" t="s">
        <v>14</v>
      </c>
      <c r="D334" s="17">
        <v>0</v>
      </c>
      <c r="E334" s="17">
        <v>0</v>
      </c>
      <c r="F334" s="17">
        <v>0</v>
      </c>
      <c r="G334" s="17">
        <v>0</v>
      </c>
      <c r="H334" s="17">
        <v>1</v>
      </c>
      <c r="I334" s="17" t="s">
        <v>15</v>
      </c>
      <c r="J334" s="17">
        <v>1</v>
      </c>
      <c r="K334" s="18">
        <v>1</v>
      </c>
      <c r="O334" s="16">
        <v>100000</v>
      </c>
      <c r="P334" s="17">
        <v>0</v>
      </c>
    </row>
    <row r="335" spans="1:16" x14ac:dyDescent="0.3">
      <c r="A335" s="19">
        <v>754</v>
      </c>
      <c r="B335" s="20">
        <v>31250</v>
      </c>
      <c r="C335" s="21" t="s">
        <v>14</v>
      </c>
      <c r="D335" s="21">
        <v>0</v>
      </c>
      <c r="E335" s="21">
        <v>0</v>
      </c>
      <c r="F335" s="21">
        <v>0</v>
      </c>
      <c r="G335" s="21">
        <v>0</v>
      </c>
      <c r="H335" s="21">
        <v>1</v>
      </c>
      <c r="I335" s="21" t="s">
        <v>15</v>
      </c>
      <c r="J335" s="21">
        <v>1</v>
      </c>
      <c r="K335" s="22">
        <v>0</v>
      </c>
      <c r="O335" s="20">
        <v>31250</v>
      </c>
      <c r="P335" s="21">
        <v>0</v>
      </c>
    </row>
    <row r="336" spans="1:16" x14ac:dyDescent="0.3">
      <c r="A336" s="15">
        <v>756</v>
      </c>
      <c r="B336" s="16">
        <v>98800</v>
      </c>
      <c r="C336" s="17" t="s">
        <v>12</v>
      </c>
      <c r="D336" s="17">
        <v>1</v>
      </c>
      <c r="E336" s="17">
        <v>0</v>
      </c>
      <c r="F336" s="17">
        <v>0</v>
      </c>
      <c r="G336" s="17">
        <v>0</v>
      </c>
      <c r="H336" s="17">
        <v>1</v>
      </c>
      <c r="I336" s="17" t="s">
        <v>15</v>
      </c>
      <c r="J336" s="17">
        <v>1</v>
      </c>
      <c r="K336" s="18">
        <v>1</v>
      </c>
      <c r="O336" s="16">
        <v>98800</v>
      </c>
      <c r="P336" s="17">
        <v>0</v>
      </c>
    </row>
    <row r="337" spans="1:16" x14ac:dyDescent="0.3">
      <c r="A337" s="19">
        <v>757</v>
      </c>
      <c r="B337" s="20">
        <v>79454.545450000005</v>
      </c>
      <c r="C337" s="21" t="s">
        <v>14</v>
      </c>
      <c r="D337" s="21">
        <v>0</v>
      </c>
      <c r="E337" s="21">
        <v>0</v>
      </c>
      <c r="F337" s="21">
        <v>0</v>
      </c>
      <c r="G337" s="21">
        <v>0</v>
      </c>
      <c r="H337" s="21">
        <v>1</v>
      </c>
      <c r="I337" s="21" t="s">
        <v>15</v>
      </c>
      <c r="J337" s="21">
        <v>1</v>
      </c>
      <c r="K337" s="22">
        <v>1</v>
      </c>
      <c r="O337" s="20">
        <v>79454.545450000005</v>
      </c>
      <c r="P337" s="21">
        <v>0</v>
      </c>
    </row>
    <row r="338" spans="1:16" x14ac:dyDescent="0.3">
      <c r="A338" s="15">
        <v>759</v>
      </c>
      <c r="B338" s="16">
        <v>50000</v>
      </c>
      <c r="C338" s="17" t="s">
        <v>14</v>
      </c>
      <c r="D338" s="17">
        <v>0</v>
      </c>
      <c r="E338" s="17">
        <v>0</v>
      </c>
      <c r="F338" s="17">
        <v>0</v>
      </c>
      <c r="G338" s="17">
        <v>0</v>
      </c>
      <c r="H338" s="17">
        <v>1</v>
      </c>
      <c r="I338" s="17" t="s">
        <v>15</v>
      </c>
      <c r="J338" s="17">
        <v>1</v>
      </c>
      <c r="K338" s="18">
        <v>0</v>
      </c>
      <c r="O338" s="16">
        <v>50000</v>
      </c>
      <c r="P338" s="17">
        <v>0</v>
      </c>
    </row>
    <row r="339" spans="1:16" x14ac:dyDescent="0.3">
      <c r="A339" s="19">
        <v>761</v>
      </c>
      <c r="B339" s="20">
        <v>16279.06977</v>
      </c>
      <c r="C339" s="21" t="s">
        <v>14</v>
      </c>
      <c r="D339" s="21">
        <v>0</v>
      </c>
      <c r="E339" s="21">
        <v>0</v>
      </c>
      <c r="F339" s="21">
        <v>0</v>
      </c>
      <c r="G339" s="21">
        <v>0</v>
      </c>
      <c r="H339" s="21">
        <v>1</v>
      </c>
      <c r="I339" s="21" t="s">
        <v>15</v>
      </c>
      <c r="J339" s="21">
        <v>1</v>
      </c>
      <c r="K339" s="22">
        <v>0</v>
      </c>
      <c r="O339" s="20">
        <v>16279.06977</v>
      </c>
      <c r="P339" s="21">
        <v>0</v>
      </c>
    </row>
    <row r="340" spans="1:16" x14ac:dyDescent="0.3">
      <c r="A340" s="15">
        <v>762</v>
      </c>
      <c r="B340" s="16">
        <v>83333.333329999994</v>
      </c>
      <c r="C340" s="17" t="s">
        <v>14</v>
      </c>
      <c r="D340" s="17">
        <v>0</v>
      </c>
      <c r="E340" s="17">
        <v>0</v>
      </c>
      <c r="F340" s="17">
        <v>0</v>
      </c>
      <c r="G340" s="17">
        <v>0</v>
      </c>
      <c r="H340" s="17">
        <v>1</v>
      </c>
      <c r="I340" s="17" t="s">
        <v>15</v>
      </c>
      <c r="J340" s="17">
        <v>1</v>
      </c>
      <c r="K340" s="18">
        <v>0</v>
      </c>
      <c r="O340" s="16">
        <v>83333.333329999994</v>
      </c>
      <c r="P340" s="17">
        <v>0</v>
      </c>
    </row>
    <row r="341" spans="1:16" x14ac:dyDescent="0.3">
      <c r="A341" s="19">
        <v>764</v>
      </c>
      <c r="B341" s="20">
        <v>99200</v>
      </c>
      <c r="C341" s="21" t="s">
        <v>14</v>
      </c>
      <c r="D341" s="21">
        <v>0</v>
      </c>
      <c r="E341" s="21">
        <v>0</v>
      </c>
      <c r="F341" s="21">
        <v>0</v>
      </c>
      <c r="G341" s="21">
        <v>0</v>
      </c>
      <c r="H341" s="21">
        <v>1</v>
      </c>
      <c r="I341" s="21" t="s">
        <v>15</v>
      </c>
      <c r="J341" s="21">
        <v>0</v>
      </c>
      <c r="K341" s="22">
        <v>1</v>
      </c>
      <c r="O341" s="20">
        <v>99200</v>
      </c>
      <c r="P341" s="21">
        <v>0</v>
      </c>
    </row>
    <row r="342" spans="1:16" x14ac:dyDescent="0.3">
      <c r="A342" s="15">
        <v>766</v>
      </c>
      <c r="B342" s="16">
        <v>23529.411759999999</v>
      </c>
      <c r="C342" s="17" t="s">
        <v>12</v>
      </c>
      <c r="D342" s="17">
        <v>1</v>
      </c>
      <c r="E342" s="17">
        <v>0</v>
      </c>
      <c r="F342" s="17">
        <v>0</v>
      </c>
      <c r="G342" s="17">
        <v>0</v>
      </c>
      <c r="H342" s="17">
        <v>1</v>
      </c>
      <c r="I342" s="17" t="s">
        <v>15</v>
      </c>
      <c r="J342" s="17">
        <v>0</v>
      </c>
      <c r="K342" s="18">
        <v>1</v>
      </c>
      <c r="O342" s="16">
        <v>23529.411759999999</v>
      </c>
      <c r="P342" s="17">
        <v>0</v>
      </c>
    </row>
    <row r="343" spans="1:16" x14ac:dyDescent="0.3">
      <c r="A343" s="19">
        <v>768</v>
      </c>
      <c r="B343" s="20">
        <v>50000</v>
      </c>
      <c r="C343" s="21" t="s">
        <v>14</v>
      </c>
      <c r="D343" s="21">
        <v>0</v>
      </c>
      <c r="E343" s="21">
        <v>0</v>
      </c>
      <c r="F343" s="21">
        <v>0</v>
      </c>
      <c r="G343" s="21">
        <v>0</v>
      </c>
      <c r="H343" s="21">
        <v>1</v>
      </c>
      <c r="I343" s="21" t="s">
        <v>15</v>
      </c>
      <c r="J343" s="21">
        <v>1</v>
      </c>
      <c r="K343" s="22">
        <v>0</v>
      </c>
      <c r="O343" s="20">
        <v>50000</v>
      </c>
      <c r="P343" s="21">
        <v>0</v>
      </c>
    </row>
    <row r="344" spans="1:16" x14ac:dyDescent="0.3">
      <c r="A344" s="15">
        <v>771</v>
      </c>
      <c r="B344" s="16">
        <v>10000</v>
      </c>
      <c r="C344" s="17" t="s">
        <v>14</v>
      </c>
      <c r="D344" s="17">
        <v>0</v>
      </c>
      <c r="E344" s="17">
        <v>0</v>
      </c>
      <c r="F344" s="17">
        <v>0</v>
      </c>
      <c r="G344" s="17">
        <v>0</v>
      </c>
      <c r="H344" s="17">
        <v>1</v>
      </c>
      <c r="I344" s="17" t="s">
        <v>15</v>
      </c>
      <c r="J344" s="17">
        <v>1</v>
      </c>
      <c r="K344" s="18">
        <v>1</v>
      </c>
      <c r="O344" s="16">
        <v>10000</v>
      </c>
      <c r="P344" s="17">
        <v>0</v>
      </c>
    </row>
    <row r="345" spans="1:16" x14ac:dyDescent="0.3">
      <c r="A345" s="19">
        <v>772</v>
      </c>
      <c r="B345" s="20">
        <v>4347.8260870000004</v>
      </c>
      <c r="C345" s="21" t="s">
        <v>14</v>
      </c>
      <c r="D345" s="21">
        <v>0</v>
      </c>
      <c r="E345" s="21">
        <v>0</v>
      </c>
      <c r="F345" s="21">
        <v>0</v>
      </c>
      <c r="G345" s="21">
        <v>0</v>
      </c>
      <c r="H345" s="21">
        <v>1</v>
      </c>
      <c r="I345" s="21" t="s">
        <v>15</v>
      </c>
      <c r="J345" s="21">
        <v>1</v>
      </c>
      <c r="K345" s="22">
        <v>1</v>
      </c>
      <c r="O345" s="20">
        <v>4347.8260870000004</v>
      </c>
      <c r="P345" s="21">
        <v>0</v>
      </c>
    </row>
    <row r="346" spans="1:16" x14ac:dyDescent="0.3">
      <c r="A346" s="15">
        <v>773</v>
      </c>
      <c r="B346" s="16">
        <v>50000</v>
      </c>
      <c r="C346" s="17" t="s">
        <v>14</v>
      </c>
      <c r="D346" s="17">
        <v>0</v>
      </c>
      <c r="E346" s="17">
        <v>0</v>
      </c>
      <c r="F346" s="17">
        <v>0</v>
      </c>
      <c r="G346" s="17">
        <v>0</v>
      </c>
      <c r="H346" s="17">
        <v>1</v>
      </c>
      <c r="I346" s="17" t="s">
        <v>15</v>
      </c>
      <c r="J346" s="17">
        <v>1</v>
      </c>
      <c r="K346" s="18">
        <v>0</v>
      </c>
      <c r="O346" s="16">
        <v>50000</v>
      </c>
      <c r="P346" s="17">
        <v>0</v>
      </c>
    </row>
    <row r="347" spans="1:16" x14ac:dyDescent="0.3">
      <c r="A347" s="19">
        <v>774</v>
      </c>
      <c r="B347" s="20">
        <v>87500</v>
      </c>
      <c r="C347" s="21" t="s">
        <v>14</v>
      </c>
      <c r="D347" s="21">
        <v>0</v>
      </c>
      <c r="E347" s="21">
        <v>0</v>
      </c>
      <c r="F347" s="21">
        <v>0</v>
      </c>
      <c r="G347" s="21">
        <v>0</v>
      </c>
      <c r="H347" s="21">
        <v>1</v>
      </c>
      <c r="I347" s="21" t="s">
        <v>15</v>
      </c>
      <c r="J347" s="21">
        <v>1</v>
      </c>
      <c r="K347" s="22">
        <v>0</v>
      </c>
      <c r="O347" s="20">
        <v>87500</v>
      </c>
      <c r="P347" s="21">
        <v>0</v>
      </c>
    </row>
    <row r="348" spans="1:16" x14ac:dyDescent="0.3">
      <c r="A348" s="15">
        <v>775</v>
      </c>
      <c r="B348" s="16">
        <v>68181.818180000002</v>
      </c>
      <c r="C348" s="17" t="s">
        <v>14</v>
      </c>
      <c r="D348" s="17">
        <v>0</v>
      </c>
      <c r="E348" s="17">
        <v>0</v>
      </c>
      <c r="F348" s="17">
        <v>0</v>
      </c>
      <c r="G348" s="17">
        <v>0</v>
      </c>
      <c r="H348" s="17">
        <v>1</v>
      </c>
      <c r="I348" s="17" t="s">
        <v>15</v>
      </c>
      <c r="J348" s="17">
        <v>1</v>
      </c>
      <c r="K348" s="18">
        <v>1</v>
      </c>
      <c r="O348" s="16">
        <v>68181.818180000002</v>
      </c>
      <c r="P348" s="17">
        <v>0</v>
      </c>
    </row>
    <row r="349" spans="1:16" x14ac:dyDescent="0.3">
      <c r="A349" s="19">
        <v>776</v>
      </c>
      <c r="B349" s="20">
        <v>19047.619050000001</v>
      </c>
      <c r="C349" s="21" t="s">
        <v>14</v>
      </c>
      <c r="D349" s="21">
        <v>0</v>
      </c>
      <c r="E349" s="21">
        <v>0</v>
      </c>
      <c r="F349" s="21">
        <v>0</v>
      </c>
      <c r="G349" s="21">
        <v>0</v>
      </c>
      <c r="H349" s="21">
        <v>1</v>
      </c>
      <c r="I349" s="21" t="s">
        <v>15</v>
      </c>
      <c r="J349" s="21">
        <v>1</v>
      </c>
      <c r="K349" s="22">
        <v>1</v>
      </c>
      <c r="O349" s="20">
        <v>19047.619050000001</v>
      </c>
      <c r="P349" s="21">
        <v>0</v>
      </c>
    </row>
    <row r="350" spans="1:16" x14ac:dyDescent="0.3">
      <c r="A350" s="15">
        <v>779</v>
      </c>
      <c r="B350" s="16">
        <v>104545.45450000001</v>
      </c>
      <c r="C350" s="17" t="s">
        <v>14</v>
      </c>
      <c r="D350" s="17">
        <v>0</v>
      </c>
      <c r="E350" s="17">
        <v>0</v>
      </c>
      <c r="F350" s="17">
        <v>0</v>
      </c>
      <c r="G350" s="17">
        <v>0</v>
      </c>
      <c r="H350" s="17">
        <v>1</v>
      </c>
      <c r="I350" s="17" t="s">
        <v>15</v>
      </c>
      <c r="J350" s="17">
        <v>0</v>
      </c>
      <c r="K350" s="18">
        <v>0</v>
      </c>
      <c r="O350" s="16">
        <v>104545.45450000001</v>
      </c>
      <c r="P350" s="17">
        <v>0</v>
      </c>
    </row>
    <row r="351" spans="1:16" x14ac:dyDescent="0.3">
      <c r="A351" s="19">
        <v>782</v>
      </c>
      <c r="B351" s="20">
        <v>50000</v>
      </c>
      <c r="C351" s="21" t="s">
        <v>14</v>
      </c>
      <c r="D351" s="21">
        <v>0</v>
      </c>
      <c r="E351" s="21">
        <v>0</v>
      </c>
      <c r="F351" s="21">
        <v>0</v>
      </c>
      <c r="G351" s="21">
        <v>0</v>
      </c>
      <c r="H351" s="21">
        <v>1</v>
      </c>
      <c r="I351" s="21" t="s">
        <v>15</v>
      </c>
      <c r="J351" s="21">
        <v>1</v>
      </c>
      <c r="K351" s="22">
        <v>0</v>
      </c>
      <c r="O351" s="20">
        <v>50000</v>
      </c>
      <c r="P351" s="21">
        <v>0</v>
      </c>
    </row>
    <row r="352" spans="1:16" x14ac:dyDescent="0.3">
      <c r="A352" s="15">
        <v>792</v>
      </c>
      <c r="B352" s="16">
        <v>23255.81395</v>
      </c>
      <c r="C352" s="17" t="s">
        <v>14</v>
      </c>
      <c r="D352" s="17">
        <v>0</v>
      </c>
      <c r="E352" s="17">
        <v>0</v>
      </c>
      <c r="F352" s="17">
        <v>0</v>
      </c>
      <c r="G352" s="17">
        <v>1</v>
      </c>
      <c r="H352" s="17">
        <v>0</v>
      </c>
      <c r="I352" s="17" t="s">
        <v>15</v>
      </c>
      <c r="J352" s="17">
        <v>1</v>
      </c>
      <c r="K352" s="18">
        <v>1</v>
      </c>
      <c r="O352" s="16">
        <v>23255.81395</v>
      </c>
      <c r="P352" s="17">
        <v>0</v>
      </c>
    </row>
    <row r="353" spans="1:16" x14ac:dyDescent="0.3">
      <c r="A353" s="19">
        <v>793</v>
      </c>
      <c r="B353" s="20">
        <v>20930.23256</v>
      </c>
      <c r="C353" s="21" t="s">
        <v>14</v>
      </c>
      <c r="D353" s="21">
        <v>0</v>
      </c>
      <c r="E353" s="21">
        <v>0</v>
      </c>
      <c r="F353" s="21">
        <v>0</v>
      </c>
      <c r="G353" s="21">
        <v>0</v>
      </c>
      <c r="H353" s="21">
        <v>1</v>
      </c>
      <c r="I353" s="21" t="s">
        <v>15</v>
      </c>
      <c r="J353" s="21">
        <v>1</v>
      </c>
      <c r="K353" s="22">
        <v>1</v>
      </c>
      <c r="O353" s="20">
        <v>20930.23256</v>
      </c>
      <c r="P353" s="21">
        <v>0</v>
      </c>
    </row>
    <row r="354" spans="1:16" x14ac:dyDescent="0.3">
      <c r="A354" s="15">
        <v>797</v>
      </c>
      <c r="B354" s="16">
        <v>30303.030299999999</v>
      </c>
      <c r="C354" s="17" t="s">
        <v>14</v>
      </c>
      <c r="D354" s="17">
        <v>0</v>
      </c>
      <c r="E354" s="17">
        <v>0</v>
      </c>
      <c r="F354" s="17">
        <v>0</v>
      </c>
      <c r="G354" s="17">
        <v>0</v>
      </c>
      <c r="H354" s="17">
        <v>1</v>
      </c>
      <c r="I354" s="17" t="s">
        <v>15</v>
      </c>
      <c r="J354" s="17">
        <v>0</v>
      </c>
      <c r="K354" s="18">
        <v>1</v>
      </c>
      <c r="O354" s="16">
        <v>30303.030299999999</v>
      </c>
      <c r="P354" s="17">
        <v>0</v>
      </c>
    </row>
    <row r="355" spans="1:16" x14ac:dyDescent="0.3">
      <c r="A355" s="19">
        <v>798</v>
      </c>
      <c r="B355" s="20">
        <v>42173.913039999999</v>
      </c>
      <c r="C355" s="21" t="s">
        <v>14</v>
      </c>
      <c r="D355" s="21">
        <v>0</v>
      </c>
      <c r="E355" s="21">
        <v>1</v>
      </c>
      <c r="F355" s="21">
        <v>0</v>
      </c>
      <c r="G355" s="21">
        <v>0</v>
      </c>
      <c r="H355" s="21">
        <v>1</v>
      </c>
      <c r="I355" s="21" t="s">
        <v>15</v>
      </c>
      <c r="J355" s="21">
        <v>0</v>
      </c>
      <c r="K355" s="22">
        <v>1</v>
      </c>
      <c r="O355" s="20">
        <v>42173.913039999999</v>
      </c>
      <c r="P355" s="21">
        <v>0</v>
      </c>
    </row>
    <row r="356" spans="1:16" x14ac:dyDescent="0.3">
      <c r="A356" s="15">
        <v>800</v>
      </c>
      <c r="B356" s="16">
        <v>24193.54839</v>
      </c>
      <c r="C356" s="17" t="s">
        <v>14</v>
      </c>
      <c r="D356" s="17">
        <v>0</v>
      </c>
      <c r="E356" s="17">
        <v>0</v>
      </c>
      <c r="F356" s="17">
        <v>0</v>
      </c>
      <c r="G356" s="17">
        <v>0</v>
      </c>
      <c r="H356" s="17">
        <v>1</v>
      </c>
      <c r="I356" s="17" t="s">
        <v>15</v>
      </c>
      <c r="J356" s="17">
        <v>1</v>
      </c>
      <c r="K356" s="18">
        <v>1</v>
      </c>
      <c r="O356" s="16">
        <v>24193.54839</v>
      </c>
      <c r="P356" s="17">
        <v>0</v>
      </c>
    </row>
    <row r="357" spans="1:16" x14ac:dyDescent="0.3">
      <c r="A357" s="19">
        <v>801</v>
      </c>
      <c r="B357" s="20">
        <v>27906.976739999998</v>
      </c>
      <c r="C357" s="21" t="s">
        <v>14</v>
      </c>
      <c r="D357" s="21">
        <v>0</v>
      </c>
      <c r="E357" s="21">
        <v>0</v>
      </c>
      <c r="F357" s="21">
        <v>1</v>
      </c>
      <c r="G357" s="21">
        <v>0</v>
      </c>
      <c r="H357" s="21">
        <v>1</v>
      </c>
      <c r="I357" s="21" t="s">
        <v>15</v>
      </c>
      <c r="J357" s="21">
        <v>1</v>
      </c>
      <c r="K357" s="22">
        <v>1</v>
      </c>
      <c r="O357" s="20">
        <v>27906.976739999998</v>
      </c>
      <c r="P357" s="21">
        <v>1</v>
      </c>
    </row>
    <row r="358" spans="1:16" x14ac:dyDescent="0.3">
      <c r="A358" s="15">
        <v>802</v>
      </c>
      <c r="B358" s="16">
        <v>5714.2857139999996</v>
      </c>
      <c r="C358" s="17" t="s">
        <v>14</v>
      </c>
      <c r="D358" s="17">
        <v>0</v>
      </c>
      <c r="E358" s="17">
        <v>0</v>
      </c>
      <c r="F358" s="17">
        <v>0</v>
      </c>
      <c r="G358" s="17">
        <v>0</v>
      </c>
      <c r="H358" s="17">
        <v>1</v>
      </c>
      <c r="I358" s="17" t="s">
        <v>15</v>
      </c>
      <c r="J358" s="17">
        <v>1</v>
      </c>
      <c r="K358" s="18">
        <v>1</v>
      </c>
      <c r="O358" s="16">
        <v>5714.2857139999996</v>
      </c>
      <c r="P358" s="17">
        <v>0</v>
      </c>
    </row>
    <row r="359" spans="1:16" x14ac:dyDescent="0.3">
      <c r="A359" s="19">
        <v>805</v>
      </c>
      <c r="B359" s="20">
        <v>30232.558140000001</v>
      </c>
      <c r="C359" s="21" t="s">
        <v>14</v>
      </c>
      <c r="D359" s="21">
        <v>0</v>
      </c>
      <c r="E359" s="21">
        <v>0</v>
      </c>
      <c r="F359" s="21">
        <v>0</v>
      </c>
      <c r="G359" s="21">
        <v>0</v>
      </c>
      <c r="H359" s="21">
        <v>1</v>
      </c>
      <c r="I359" s="21" t="s">
        <v>15</v>
      </c>
      <c r="J359" s="21">
        <v>1</v>
      </c>
      <c r="K359" s="22">
        <v>0</v>
      </c>
      <c r="O359" s="20">
        <v>30232.558140000001</v>
      </c>
      <c r="P359" s="21">
        <v>0</v>
      </c>
    </row>
    <row r="360" spans="1:16" x14ac:dyDescent="0.3">
      <c r="A360" s="15">
        <v>808</v>
      </c>
      <c r="B360" s="16">
        <v>61674.008809999999</v>
      </c>
      <c r="C360" s="17" t="s">
        <v>14</v>
      </c>
      <c r="D360" s="17">
        <v>0</v>
      </c>
      <c r="E360" s="17">
        <v>0</v>
      </c>
      <c r="F360" s="17">
        <v>0</v>
      </c>
      <c r="G360" s="17">
        <v>0</v>
      </c>
      <c r="H360" s="17">
        <v>1</v>
      </c>
      <c r="I360" s="17" t="s">
        <v>15</v>
      </c>
      <c r="J360" s="17">
        <v>1</v>
      </c>
      <c r="K360" s="18">
        <v>1</v>
      </c>
      <c r="O360" s="16">
        <v>61674.008809999999</v>
      </c>
      <c r="P360" s="17">
        <v>0</v>
      </c>
    </row>
    <row r="361" spans="1:16" x14ac:dyDescent="0.3">
      <c r="A361" s="19">
        <v>812</v>
      </c>
      <c r="B361" s="20">
        <v>147058.8235</v>
      </c>
      <c r="C361" s="21" t="s">
        <v>14</v>
      </c>
      <c r="D361" s="21">
        <v>0</v>
      </c>
      <c r="E361" s="21">
        <v>0</v>
      </c>
      <c r="F361" s="21">
        <v>0</v>
      </c>
      <c r="G361" s="21">
        <v>0</v>
      </c>
      <c r="H361" s="21">
        <v>1</v>
      </c>
      <c r="I361" s="21" t="s">
        <v>15</v>
      </c>
      <c r="J361" s="21">
        <v>1</v>
      </c>
      <c r="K361" s="22">
        <v>1</v>
      </c>
      <c r="O361" s="20">
        <v>147058.8235</v>
      </c>
      <c r="P361" s="21">
        <v>0</v>
      </c>
    </row>
    <row r="362" spans="1:16" x14ac:dyDescent="0.3">
      <c r="A362" s="15">
        <v>814</v>
      </c>
      <c r="B362" s="16">
        <v>62500</v>
      </c>
      <c r="C362" s="17" t="s">
        <v>14</v>
      </c>
      <c r="D362" s="17">
        <v>0</v>
      </c>
      <c r="E362" s="17">
        <v>0</v>
      </c>
      <c r="F362" s="17">
        <v>0</v>
      </c>
      <c r="G362" s="17">
        <v>0</v>
      </c>
      <c r="H362" s="17">
        <v>1</v>
      </c>
      <c r="I362" s="17" t="s">
        <v>15</v>
      </c>
      <c r="J362" s="17">
        <v>1</v>
      </c>
      <c r="K362" s="18">
        <v>1</v>
      </c>
      <c r="O362" s="16">
        <v>62500</v>
      </c>
      <c r="P362" s="17">
        <v>0</v>
      </c>
    </row>
    <row r="363" spans="1:16" x14ac:dyDescent="0.3">
      <c r="A363" s="19">
        <v>815</v>
      </c>
      <c r="B363" s="20">
        <v>45454.545449999998</v>
      </c>
      <c r="C363" s="21" t="s">
        <v>14</v>
      </c>
      <c r="D363" s="21">
        <v>0</v>
      </c>
      <c r="E363" s="21">
        <v>0</v>
      </c>
      <c r="F363" s="21">
        <v>0</v>
      </c>
      <c r="G363" s="21">
        <v>0</v>
      </c>
      <c r="H363" s="21">
        <v>1</v>
      </c>
      <c r="I363" s="21" t="s">
        <v>15</v>
      </c>
      <c r="J363" s="21">
        <v>0</v>
      </c>
      <c r="K363" s="22">
        <v>1</v>
      </c>
      <c r="O363" s="20">
        <v>45454.545449999998</v>
      </c>
      <c r="P363" s="21">
        <v>0</v>
      </c>
    </row>
    <row r="364" spans="1:16" x14ac:dyDescent="0.3">
      <c r="A364" s="15">
        <v>816</v>
      </c>
      <c r="B364" s="16">
        <v>45454.545449999998</v>
      </c>
      <c r="C364" s="17" t="s">
        <v>14</v>
      </c>
      <c r="D364" s="17">
        <v>0</v>
      </c>
      <c r="E364" s="17">
        <v>0</v>
      </c>
      <c r="F364" s="17">
        <v>0</v>
      </c>
      <c r="G364" s="17">
        <v>0</v>
      </c>
      <c r="H364" s="17">
        <v>1</v>
      </c>
      <c r="I364" s="17" t="s">
        <v>15</v>
      </c>
      <c r="J364" s="17">
        <v>1</v>
      </c>
      <c r="K364" s="18">
        <v>1</v>
      </c>
      <c r="O364" s="16">
        <v>45454.545449999998</v>
      </c>
      <c r="P364" s="17">
        <v>0</v>
      </c>
    </row>
    <row r="365" spans="1:16" x14ac:dyDescent="0.3">
      <c r="A365" s="19">
        <v>817</v>
      </c>
      <c r="B365" s="20">
        <v>38461.538460000003</v>
      </c>
      <c r="C365" s="21" t="s">
        <v>14</v>
      </c>
      <c r="D365" s="21">
        <v>0</v>
      </c>
      <c r="E365" s="21">
        <v>0</v>
      </c>
      <c r="F365" s="21">
        <v>0</v>
      </c>
      <c r="G365" s="21">
        <v>0</v>
      </c>
      <c r="H365" s="21">
        <v>1</v>
      </c>
      <c r="I365" s="21" t="s">
        <v>15</v>
      </c>
      <c r="J365" s="21">
        <v>1</v>
      </c>
      <c r="K365" s="22">
        <v>0</v>
      </c>
      <c r="O365" s="20">
        <v>38461.538460000003</v>
      </c>
      <c r="P365" s="21">
        <v>0</v>
      </c>
    </row>
    <row r="366" spans="1:16" x14ac:dyDescent="0.3">
      <c r="A366" s="15">
        <v>820</v>
      </c>
      <c r="B366" s="16">
        <v>35652.173909999998</v>
      </c>
      <c r="C366" s="17" t="s">
        <v>14</v>
      </c>
      <c r="D366" s="17">
        <v>0</v>
      </c>
      <c r="E366" s="17">
        <v>0</v>
      </c>
      <c r="F366" s="17">
        <v>0</v>
      </c>
      <c r="G366" s="17">
        <v>0</v>
      </c>
      <c r="H366" s="17">
        <v>1</v>
      </c>
      <c r="I366" s="17" t="s">
        <v>15</v>
      </c>
      <c r="J366" s="17">
        <v>1</v>
      </c>
      <c r="K366" s="18">
        <v>1</v>
      </c>
      <c r="O366" s="16">
        <v>35652.173909999998</v>
      </c>
      <c r="P366" s="17">
        <v>0</v>
      </c>
    </row>
    <row r="367" spans="1:16" x14ac:dyDescent="0.3">
      <c r="A367" s="19">
        <v>823</v>
      </c>
      <c r="B367" s="20">
        <v>75000</v>
      </c>
      <c r="C367" s="21" t="s">
        <v>14</v>
      </c>
      <c r="D367" s="21">
        <v>0</v>
      </c>
      <c r="E367" s="21">
        <v>0</v>
      </c>
      <c r="F367" s="21">
        <v>0</v>
      </c>
      <c r="G367" s="21">
        <v>0</v>
      </c>
      <c r="H367" s="21">
        <v>1</v>
      </c>
      <c r="I367" s="21" t="s">
        <v>15</v>
      </c>
      <c r="J367" s="21">
        <v>1</v>
      </c>
      <c r="K367" s="22">
        <v>0</v>
      </c>
      <c r="O367" s="20">
        <v>75000</v>
      </c>
      <c r="P367" s="21">
        <v>0</v>
      </c>
    </row>
    <row r="368" spans="1:16" x14ac:dyDescent="0.3">
      <c r="A368" s="15">
        <v>824</v>
      </c>
      <c r="B368" s="16">
        <v>-15000</v>
      </c>
      <c r="C368" s="17" t="s">
        <v>14</v>
      </c>
      <c r="D368" s="17">
        <v>0</v>
      </c>
      <c r="E368" s="17">
        <v>0</v>
      </c>
      <c r="F368" s="17">
        <v>0</v>
      </c>
      <c r="G368" s="17">
        <v>0</v>
      </c>
      <c r="H368" s="17">
        <v>1</v>
      </c>
      <c r="I368" s="17" t="s">
        <v>15</v>
      </c>
      <c r="J368" s="17">
        <v>1</v>
      </c>
      <c r="K368" s="18">
        <v>0</v>
      </c>
      <c r="O368" s="16">
        <v>-15000</v>
      </c>
      <c r="P368" s="17">
        <v>0</v>
      </c>
    </row>
    <row r="369" spans="1:16" x14ac:dyDescent="0.3">
      <c r="A369" s="19">
        <v>826</v>
      </c>
      <c r="B369" s="20">
        <v>79166.666670000006</v>
      </c>
      <c r="C369" s="21" t="s">
        <v>14</v>
      </c>
      <c r="D369" s="21">
        <v>0</v>
      </c>
      <c r="E369" s="21">
        <v>0</v>
      </c>
      <c r="F369" s="21">
        <v>0</v>
      </c>
      <c r="G369" s="21">
        <v>0</v>
      </c>
      <c r="H369" s="21">
        <v>1</v>
      </c>
      <c r="I369" s="21" t="s">
        <v>15</v>
      </c>
      <c r="J369" s="21">
        <v>1</v>
      </c>
      <c r="K369" s="22">
        <v>1</v>
      </c>
      <c r="O369" s="20">
        <v>79166.666670000006</v>
      </c>
      <c r="P369" s="21">
        <v>0</v>
      </c>
    </row>
    <row r="370" spans="1:16" x14ac:dyDescent="0.3">
      <c r="A370" s="15">
        <v>829</v>
      </c>
      <c r="B370" s="16">
        <v>54266.666669999999</v>
      </c>
      <c r="C370" s="17" t="s">
        <v>14</v>
      </c>
      <c r="D370" s="17">
        <v>0</v>
      </c>
      <c r="E370" s="17">
        <v>0</v>
      </c>
      <c r="F370" s="17">
        <v>0</v>
      </c>
      <c r="G370" s="17">
        <v>0</v>
      </c>
      <c r="H370" s="17">
        <v>1</v>
      </c>
      <c r="I370" s="17" t="s">
        <v>15</v>
      </c>
      <c r="J370" s="17">
        <v>1</v>
      </c>
      <c r="K370" s="18">
        <v>1</v>
      </c>
      <c r="O370" s="16">
        <v>54266.666669999999</v>
      </c>
      <c r="P370" s="17">
        <v>0</v>
      </c>
    </row>
    <row r="371" spans="1:16" x14ac:dyDescent="0.3">
      <c r="A371" s="19">
        <v>831</v>
      </c>
      <c r="B371" s="20">
        <v>35000</v>
      </c>
      <c r="C371" s="21" t="s">
        <v>14</v>
      </c>
      <c r="D371" s="21">
        <v>0</v>
      </c>
      <c r="E371" s="21">
        <v>0</v>
      </c>
      <c r="F371" s="21">
        <v>0</v>
      </c>
      <c r="G371" s="21">
        <v>0</v>
      </c>
      <c r="H371" s="21">
        <v>1</v>
      </c>
      <c r="I371" s="21" t="s">
        <v>15</v>
      </c>
      <c r="J371" s="21">
        <v>0</v>
      </c>
      <c r="K371" s="22">
        <v>0</v>
      </c>
      <c r="O371" s="20">
        <v>35000</v>
      </c>
      <c r="P371" s="21">
        <v>0</v>
      </c>
    </row>
    <row r="372" spans="1:16" x14ac:dyDescent="0.3">
      <c r="A372" s="15">
        <v>832</v>
      </c>
      <c r="B372" s="16">
        <v>50000</v>
      </c>
      <c r="C372" s="17" t="s">
        <v>14</v>
      </c>
      <c r="D372" s="17">
        <v>0</v>
      </c>
      <c r="E372" s="17">
        <v>0</v>
      </c>
      <c r="F372" s="17">
        <v>0</v>
      </c>
      <c r="G372" s="17">
        <v>0</v>
      </c>
      <c r="H372" s="17">
        <v>1</v>
      </c>
      <c r="I372" s="17" t="s">
        <v>15</v>
      </c>
      <c r="J372" s="17">
        <v>1</v>
      </c>
      <c r="K372" s="18">
        <v>0</v>
      </c>
      <c r="O372" s="16">
        <v>50000</v>
      </c>
      <c r="P372" s="17">
        <v>0</v>
      </c>
    </row>
    <row r="373" spans="1:16" x14ac:dyDescent="0.3">
      <c r="A373" s="19">
        <v>833</v>
      </c>
      <c r="B373" s="20">
        <v>5000</v>
      </c>
      <c r="C373" s="21" t="s">
        <v>14</v>
      </c>
      <c r="D373" s="21">
        <v>0</v>
      </c>
      <c r="E373" s="21">
        <v>0</v>
      </c>
      <c r="F373" s="21">
        <v>0</v>
      </c>
      <c r="G373" s="21">
        <v>0</v>
      </c>
      <c r="H373" s="21">
        <v>1</v>
      </c>
      <c r="I373" s="21" t="s">
        <v>15</v>
      </c>
      <c r="J373" s="21">
        <v>1</v>
      </c>
      <c r="K373" s="22">
        <v>1</v>
      </c>
      <c r="O373" s="20">
        <v>5000</v>
      </c>
      <c r="P373" s="21">
        <v>0</v>
      </c>
    </row>
    <row r="374" spans="1:16" x14ac:dyDescent="0.3">
      <c r="A374" s="15">
        <v>834</v>
      </c>
      <c r="B374" s="16">
        <v>38461.538460000003</v>
      </c>
      <c r="C374" s="17" t="s">
        <v>14</v>
      </c>
      <c r="D374" s="17">
        <v>0</v>
      </c>
      <c r="E374" s="17">
        <v>0</v>
      </c>
      <c r="F374" s="17">
        <v>0</v>
      </c>
      <c r="G374" s="17">
        <v>0</v>
      </c>
      <c r="H374" s="17">
        <v>1</v>
      </c>
      <c r="I374" s="17" t="s">
        <v>15</v>
      </c>
      <c r="J374" s="17">
        <v>1</v>
      </c>
      <c r="K374" s="18">
        <v>1</v>
      </c>
      <c r="O374" s="16">
        <v>38461.538460000003</v>
      </c>
      <c r="P374" s="17">
        <v>0</v>
      </c>
    </row>
    <row r="375" spans="1:16" x14ac:dyDescent="0.3">
      <c r="A375" s="19">
        <v>836</v>
      </c>
      <c r="B375" s="20">
        <v>50000</v>
      </c>
      <c r="C375" s="21" t="s">
        <v>14</v>
      </c>
      <c r="D375" s="21">
        <v>0</v>
      </c>
      <c r="E375" s="21">
        <v>0</v>
      </c>
      <c r="F375" s="21">
        <v>0</v>
      </c>
      <c r="G375" s="21">
        <v>0</v>
      </c>
      <c r="H375" s="21">
        <v>1</v>
      </c>
      <c r="I375" s="21" t="s">
        <v>15</v>
      </c>
      <c r="J375" s="21">
        <v>1</v>
      </c>
      <c r="K375" s="22">
        <v>1</v>
      </c>
      <c r="O375" s="20">
        <v>50000</v>
      </c>
      <c r="P375" s="21">
        <v>0</v>
      </c>
    </row>
    <row r="376" spans="1:16" x14ac:dyDescent="0.3">
      <c r="A376" s="15">
        <v>839</v>
      </c>
      <c r="B376" s="16">
        <v>25000</v>
      </c>
      <c r="C376" s="17" t="s">
        <v>14</v>
      </c>
      <c r="D376" s="17">
        <v>0</v>
      </c>
      <c r="E376" s="17">
        <v>1</v>
      </c>
      <c r="F376" s="17">
        <v>0</v>
      </c>
      <c r="G376" s="17">
        <v>0</v>
      </c>
      <c r="H376" s="17">
        <v>1</v>
      </c>
      <c r="I376" s="17" t="s">
        <v>15</v>
      </c>
      <c r="J376" s="17">
        <v>1</v>
      </c>
      <c r="K376" s="18">
        <v>0</v>
      </c>
      <c r="O376" s="16">
        <v>25000</v>
      </c>
      <c r="P376" s="17">
        <v>0</v>
      </c>
    </row>
    <row r="377" spans="1:16" x14ac:dyDescent="0.3">
      <c r="A377" s="19">
        <v>840</v>
      </c>
      <c r="B377" s="20">
        <v>45454.545449999998</v>
      </c>
      <c r="C377" s="21" t="s">
        <v>14</v>
      </c>
      <c r="D377" s="21">
        <v>0</v>
      </c>
      <c r="E377" s="21">
        <v>1</v>
      </c>
      <c r="F377" s="21">
        <v>0</v>
      </c>
      <c r="G377" s="21">
        <v>0</v>
      </c>
      <c r="H377" s="21">
        <v>1</v>
      </c>
      <c r="I377" s="21" t="s">
        <v>15</v>
      </c>
      <c r="J377" s="21">
        <v>1</v>
      </c>
      <c r="K377" s="22">
        <v>0</v>
      </c>
      <c r="O377" s="20">
        <v>45454.545449999998</v>
      </c>
      <c r="P377" s="21">
        <v>0</v>
      </c>
    </row>
    <row r="378" spans="1:16" x14ac:dyDescent="0.3">
      <c r="A378" s="15">
        <v>843</v>
      </c>
      <c r="B378" s="16">
        <v>25000</v>
      </c>
      <c r="C378" s="17" t="s">
        <v>14</v>
      </c>
      <c r="D378" s="17">
        <v>0</v>
      </c>
      <c r="E378" s="17">
        <v>0</v>
      </c>
      <c r="F378" s="17">
        <v>0</v>
      </c>
      <c r="G378" s="17">
        <v>0</v>
      </c>
      <c r="H378" s="17">
        <v>1</v>
      </c>
      <c r="I378" s="17" t="s">
        <v>15</v>
      </c>
      <c r="J378" s="17">
        <v>1</v>
      </c>
      <c r="K378" s="18">
        <v>0</v>
      </c>
      <c r="O378" s="16">
        <v>25000</v>
      </c>
      <c r="P378" s="17">
        <v>0</v>
      </c>
    </row>
    <row r="379" spans="1:16" x14ac:dyDescent="0.3">
      <c r="A379" s="19">
        <v>844</v>
      </c>
      <c r="B379" s="20">
        <v>35000</v>
      </c>
      <c r="C379" s="21" t="s">
        <v>14</v>
      </c>
      <c r="D379" s="21">
        <v>0</v>
      </c>
      <c r="E379" s="21">
        <v>0</v>
      </c>
      <c r="F379" s="21">
        <v>0</v>
      </c>
      <c r="G379" s="21">
        <v>0</v>
      </c>
      <c r="H379" s="21">
        <v>1</v>
      </c>
      <c r="I379" s="21" t="s">
        <v>15</v>
      </c>
      <c r="J379" s="21">
        <v>0</v>
      </c>
      <c r="K379" s="22">
        <v>0</v>
      </c>
      <c r="O379" s="20">
        <v>35000</v>
      </c>
      <c r="P379" s="21">
        <v>0</v>
      </c>
    </row>
    <row r="380" spans="1:16" x14ac:dyDescent="0.3">
      <c r="A380" s="15">
        <v>845</v>
      </c>
      <c r="B380" s="16">
        <v>10000</v>
      </c>
      <c r="C380" s="17" t="s">
        <v>14</v>
      </c>
      <c r="D380" s="17">
        <v>0</v>
      </c>
      <c r="E380" s="17">
        <v>0</v>
      </c>
      <c r="F380" s="17">
        <v>0</v>
      </c>
      <c r="G380" s="17">
        <v>0</v>
      </c>
      <c r="H380" s="17">
        <v>1</v>
      </c>
      <c r="I380" s="17" t="s">
        <v>15</v>
      </c>
      <c r="J380" s="17">
        <v>1</v>
      </c>
      <c r="K380" s="18">
        <v>0</v>
      </c>
      <c r="O380" s="16">
        <v>10000</v>
      </c>
      <c r="P380" s="17">
        <v>0</v>
      </c>
    </row>
    <row r="381" spans="1:16" x14ac:dyDescent="0.3">
      <c r="A381" s="19">
        <v>846</v>
      </c>
      <c r="B381" s="20">
        <v>10000</v>
      </c>
      <c r="C381" s="21" t="s">
        <v>14</v>
      </c>
      <c r="D381" s="21">
        <v>0</v>
      </c>
      <c r="E381" s="21">
        <v>0</v>
      </c>
      <c r="F381" s="21">
        <v>0</v>
      </c>
      <c r="G381" s="21">
        <v>0</v>
      </c>
      <c r="H381" s="21">
        <v>1</v>
      </c>
      <c r="I381" s="21" t="s">
        <v>15</v>
      </c>
      <c r="J381" s="21">
        <v>1</v>
      </c>
      <c r="K381" s="22">
        <v>0</v>
      </c>
      <c r="O381" s="20">
        <v>10000</v>
      </c>
      <c r="P381" s="21">
        <v>0</v>
      </c>
    </row>
    <row r="382" spans="1:16" x14ac:dyDescent="0.3">
      <c r="A382" s="15">
        <v>848</v>
      </c>
      <c r="B382" s="16">
        <v>83333.333329999994</v>
      </c>
      <c r="C382" s="17" t="s">
        <v>14</v>
      </c>
      <c r="D382" s="17">
        <v>0</v>
      </c>
      <c r="E382" s="17">
        <v>0</v>
      </c>
      <c r="F382" s="17">
        <v>0</v>
      </c>
      <c r="G382" s="17">
        <v>0</v>
      </c>
      <c r="H382" s="17">
        <v>1</v>
      </c>
      <c r="I382" s="17" t="s">
        <v>15</v>
      </c>
      <c r="J382" s="17">
        <v>1</v>
      </c>
      <c r="K382" s="18">
        <v>0</v>
      </c>
      <c r="O382" s="16">
        <v>83333.333329999994</v>
      </c>
      <c r="P382" s="17">
        <v>0</v>
      </c>
    </row>
    <row r="383" spans="1:16" x14ac:dyDescent="0.3">
      <c r="A383" s="19">
        <v>849</v>
      </c>
      <c r="B383" s="20">
        <v>1250</v>
      </c>
      <c r="C383" s="21" t="s">
        <v>14</v>
      </c>
      <c r="D383" s="21">
        <v>0</v>
      </c>
      <c r="E383" s="21">
        <v>1</v>
      </c>
      <c r="F383" s="21">
        <v>0</v>
      </c>
      <c r="G383" s="21">
        <v>0</v>
      </c>
      <c r="H383" s="21">
        <v>1</v>
      </c>
      <c r="I383" s="21" t="s">
        <v>15</v>
      </c>
      <c r="J383" s="21">
        <v>1</v>
      </c>
      <c r="K383" s="22">
        <v>1</v>
      </c>
      <c r="O383" s="20">
        <v>1250</v>
      </c>
      <c r="P383" s="21">
        <v>0</v>
      </c>
    </row>
    <row r="384" spans="1:16" x14ac:dyDescent="0.3">
      <c r="A384" s="15">
        <v>850</v>
      </c>
      <c r="B384" s="16">
        <v>8012.8205129999997</v>
      </c>
      <c r="C384" s="17" t="s">
        <v>14</v>
      </c>
      <c r="D384" s="17">
        <v>0</v>
      </c>
      <c r="E384" s="17">
        <v>0</v>
      </c>
      <c r="F384" s="17">
        <v>1</v>
      </c>
      <c r="G384" s="17">
        <v>0</v>
      </c>
      <c r="H384" s="17">
        <v>1</v>
      </c>
      <c r="I384" s="17" t="s">
        <v>15</v>
      </c>
      <c r="J384" s="17">
        <v>1</v>
      </c>
      <c r="K384" s="18">
        <v>1</v>
      </c>
      <c r="O384" s="16">
        <v>8012.8205129999997</v>
      </c>
      <c r="P384" s="17">
        <v>1</v>
      </c>
    </row>
    <row r="385" spans="1:16" x14ac:dyDescent="0.3">
      <c r="A385" s="19">
        <v>851</v>
      </c>
      <c r="B385" s="20">
        <v>14285.71429</v>
      </c>
      <c r="C385" s="21" t="s">
        <v>14</v>
      </c>
      <c r="D385" s="21">
        <v>0</v>
      </c>
      <c r="E385" s="21">
        <v>0</v>
      </c>
      <c r="F385" s="21">
        <v>0</v>
      </c>
      <c r="G385" s="21">
        <v>0</v>
      </c>
      <c r="H385" s="21">
        <v>1</v>
      </c>
      <c r="I385" s="21" t="s">
        <v>15</v>
      </c>
      <c r="J385" s="21">
        <v>1</v>
      </c>
      <c r="K385" s="22">
        <v>1</v>
      </c>
      <c r="O385" s="20">
        <v>14285.71429</v>
      </c>
      <c r="P385" s="21">
        <v>0</v>
      </c>
    </row>
    <row r="386" spans="1:16" x14ac:dyDescent="0.3">
      <c r="A386" s="15">
        <v>855</v>
      </c>
      <c r="B386" s="16">
        <v>3809.5238100000001</v>
      </c>
      <c r="C386" s="17" t="s">
        <v>14</v>
      </c>
      <c r="D386" s="17">
        <v>0</v>
      </c>
      <c r="E386" s="17">
        <v>0</v>
      </c>
      <c r="F386" s="17">
        <v>0</v>
      </c>
      <c r="G386" s="17">
        <v>0</v>
      </c>
      <c r="H386" s="17">
        <v>1</v>
      </c>
      <c r="I386" s="17" t="s">
        <v>15</v>
      </c>
      <c r="J386" s="17">
        <v>0</v>
      </c>
      <c r="K386" s="18">
        <v>1</v>
      </c>
      <c r="O386" s="16">
        <v>3809.5238100000001</v>
      </c>
      <c r="P386" s="17">
        <v>0</v>
      </c>
    </row>
    <row r="387" spans="1:16" x14ac:dyDescent="0.3">
      <c r="A387" s="19">
        <v>856</v>
      </c>
      <c r="B387" s="20">
        <v>25000</v>
      </c>
      <c r="C387" s="21" t="s">
        <v>14</v>
      </c>
      <c r="D387" s="21">
        <v>0</v>
      </c>
      <c r="E387" s="21">
        <v>1</v>
      </c>
      <c r="F387" s="21">
        <v>0</v>
      </c>
      <c r="G387" s="21">
        <v>0</v>
      </c>
      <c r="H387" s="21">
        <v>1</v>
      </c>
      <c r="I387" s="21" t="s">
        <v>15</v>
      </c>
      <c r="J387" s="21">
        <v>1</v>
      </c>
      <c r="K387" s="22">
        <v>0</v>
      </c>
      <c r="O387" s="20">
        <v>25000</v>
      </c>
      <c r="P387" s="21">
        <v>0</v>
      </c>
    </row>
    <row r="388" spans="1:16" x14ac:dyDescent="0.3">
      <c r="A388" s="15">
        <v>859</v>
      </c>
      <c r="B388" s="16">
        <v>40322.580650000004</v>
      </c>
      <c r="C388" s="17" t="s">
        <v>14</v>
      </c>
      <c r="D388" s="17">
        <v>0</v>
      </c>
      <c r="E388" s="17">
        <v>0</v>
      </c>
      <c r="F388" s="17">
        <v>0</v>
      </c>
      <c r="G388" s="17">
        <v>0</v>
      </c>
      <c r="H388" s="17">
        <v>1</v>
      </c>
      <c r="I388" s="17" t="s">
        <v>15</v>
      </c>
      <c r="J388" s="17">
        <v>0</v>
      </c>
      <c r="K388" s="18">
        <v>1</v>
      </c>
      <c r="O388" s="16">
        <v>40322.580650000004</v>
      </c>
      <c r="P388" s="17">
        <v>0</v>
      </c>
    </row>
    <row r="389" spans="1:16" x14ac:dyDescent="0.3">
      <c r="A389" s="19">
        <v>861</v>
      </c>
      <c r="B389" s="20">
        <v>55299.539169999996</v>
      </c>
      <c r="C389" s="21" t="s">
        <v>14</v>
      </c>
      <c r="D389" s="21">
        <v>0</v>
      </c>
      <c r="E389" s="21">
        <v>1</v>
      </c>
      <c r="F389" s="21">
        <v>0</v>
      </c>
      <c r="G389" s="21">
        <v>0</v>
      </c>
      <c r="H389" s="21">
        <v>1</v>
      </c>
      <c r="I389" s="21" t="s">
        <v>15</v>
      </c>
      <c r="J389" s="21">
        <v>1</v>
      </c>
      <c r="K389" s="22">
        <v>1</v>
      </c>
      <c r="O389" s="20">
        <v>55299.539169999996</v>
      </c>
      <c r="P389" s="21">
        <v>0</v>
      </c>
    </row>
    <row r="390" spans="1:16" x14ac:dyDescent="0.3">
      <c r="A390" s="15">
        <v>862</v>
      </c>
      <c r="B390" s="16">
        <v>37500</v>
      </c>
      <c r="C390" s="17" t="s">
        <v>14</v>
      </c>
      <c r="D390" s="17">
        <v>0</v>
      </c>
      <c r="E390" s="17">
        <v>0</v>
      </c>
      <c r="F390" s="17">
        <v>0</v>
      </c>
      <c r="G390" s="17">
        <v>0</v>
      </c>
      <c r="H390" s="17">
        <v>1</v>
      </c>
      <c r="I390" s="17" t="s">
        <v>15</v>
      </c>
      <c r="J390" s="17">
        <v>1</v>
      </c>
      <c r="K390" s="18">
        <v>1</v>
      </c>
      <c r="O390" s="16">
        <v>37500</v>
      </c>
      <c r="P390" s="17">
        <v>0</v>
      </c>
    </row>
    <row r="391" spans="1:16" x14ac:dyDescent="0.3">
      <c r="A391" s="19">
        <v>863</v>
      </c>
      <c r="B391" s="20">
        <v>37500</v>
      </c>
      <c r="C391" s="21" t="s">
        <v>14</v>
      </c>
      <c r="D391" s="21">
        <v>0</v>
      </c>
      <c r="E391" s="21">
        <v>1</v>
      </c>
      <c r="F391" s="21">
        <v>0</v>
      </c>
      <c r="G391" s="21">
        <v>0</v>
      </c>
      <c r="H391" s="21">
        <v>1</v>
      </c>
      <c r="I391" s="21" t="s">
        <v>15</v>
      </c>
      <c r="J391" s="21">
        <v>1</v>
      </c>
      <c r="K391" s="22">
        <v>0</v>
      </c>
      <c r="O391" s="20">
        <v>37500</v>
      </c>
      <c r="P391" s="21">
        <v>0</v>
      </c>
    </row>
    <row r="392" spans="1:16" x14ac:dyDescent="0.3">
      <c r="A392" s="15">
        <v>865</v>
      </c>
      <c r="B392" s="16">
        <v>3225.8064519999998</v>
      </c>
      <c r="C392" s="17" t="s">
        <v>14</v>
      </c>
      <c r="D392" s="17">
        <v>0</v>
      </c>
      <c r="E392" s="17">
        <v>1</v>
      </c>
      <c r="F392" s="17">
        <v>1</v>
      </c>
      <c r="G392" s="17">
        <v>0</v>
      </c>
      <c r="H392" s="17">
        <v>1</v>
      </c>
      <c r="I392" s="17" t="s">
        <v>15</v>
      </c>
      <c r="J392" s="17">
        <v>1</v>
      </c>
      <c r="K392" s="18">
        <v>0</v>
      </c>
      <c r="O392" s="16">
        <v>3225.8064519999998</v>
      </c>
      <c r="P392" s="17">
        <v>1</v>
      </c>
    </row>
    <row r="393" spans="1:16" x14ac:dyDescent="0.3">
      <c r="A393" s="19">
        <v>867</v>
      </c>
      <c r="B393" s="20">
        <v>30000</v>
      </c>
      <c r="C393" s="21" t="s">
        <v>14</v>
      </c>
      <c r="D393" s="21">
        <v>0</v>
      </c>
      <c r="E393" s="21">
        <v>0</v>
      </c>
      <c r="F393" s="21">
        <v>0</v>
      </c>
      <c r="G393" s="21">
        <v>0</v>
      </c>
      <c r="H393" s="21">
        <v>1</v>
      </c>
      <c r="I393" s="21" t="s">
        <v>15</v>
      </c>
      <c r="J393" s="21">
        <v>1</v>
      </c>
      <c r="K393" s="22">
        <v>1</v>
      </c>
      <c r="O393" s="20">
        <v>30000</v>
      </c>
      <c r="P393" s="21">
        <v>0</v>
      </c>
    </row>
    <row r="394" spans="1:16" x14ac:dyDescent="0.3">
      <c r="A394" s="15">
        <v>872</v>
      </c>
      <c r="B394" s="16">
        <v>25000</v>
      </c>
      <c r="C394" s="17" t="s">
        <v>14</v>
      </c>
      <c r="D394" s="17">
        <v>0</v>
      </c>
      <c r="E394" s="17">
        <v>1</v>
      </c>
      <c r="F394" s="17">
        <v>0</v>
      </c>
      <c r="G394" s="17">
        <v>0</v>
      </c>
      <c r="H394" s="17">
        <v>1</v>
      </c>
      <c r="I394" s="17" t="s">
        <v>15</v>
      </c>
      <c r="J394" s="17">
        <v>1</v>
      </c>
      <c r="K394" s="18">
        <v>0</v>
      </c>
      <c r="O394" s="16">
        <v>25000</v>
      </c>
      <c r="P394" s="17">
        <v>0</v>
      </c>
    </row>
    <row r="395" spans="1:16" x14ac:dyDescent="0.3">
      <c r="A395" s="19">
        <v>873</v>
      </c>
      <c r="B395" s="20">
        <v>5263.1578950000003</v>
      </c>
      <c r="C395" s="21" t="s">
        <v>14</v>
      </c>
      <c r="D395" s="21">
        <v>0</v>
      </c>
      <c r="E395" s="21">
        <v>0</v>
      </c>
      <c r="F395" s="21">
        <v>1</v>
      </c>
      <c r="G395" s="21">
        <v>0</v>
      </c>
      <c r="H395" s="21">
        <v>1</v>
      </c>
      <c r="I395" s="21" t="s">
        <v>15</v>
      </c>
      <c r="J395" s="21">
        <v>0</v>
      </c>
      <c r="K395" s="22">
        <v>0</v>
      </c>
      <c r="O395" s="20">
        <v>5263.1578950000003</v>
      </c>
      <c r="P395" s="21">
        <v>1</v>
      </c>
    </row>
    <row r="396" spans="1:16" x14ac:dyDescent="0.3">
      <c r="A396" s="15">
        <v>874</v>
      </c>
      <c r="B396" s="16">
        <v>0</v>
      </c>
      <c r="C396" s="17" t="s">
        <v>14</v>
      </c>
      <c r="D396" s="17">
        <v>0</v>
      </c>
      <c r="E396" s="17">
        <v>0</v>
      </c>
      <c r="F396" s="17">
        <v>0</v>
      </c>
      <c r="G396" s="17">
        <v>0</v>
      </c>
      <c r="H396" s="17">
        <v>1</v>
      </c>
      <c r="I396" s="17" t="s">
        <v>15</v>
      </c>
      <c r="J396" s="17">
        <v>1</v>
      </c>
      <c r="K396" s="18">
        <v>0</v>
      </c>
      <c r="O396" s="16">
        <v>0</v>
      </c>
      <c r="P396" s="17">
        <v>0</v>
      </c>
    </row>
    <row r="397" spans="1:16" x14ac:dyDescent="0.3">
      <c r="A397" s="19">
        <v>876</v>
      </c>
      <c r="B397" s="20">
        <v>32258.06452</v>
      </c>
      <c r="C397" s="21" t="s">
        <v>14</v>
      </c>
      <c r="D397" s="21">
        <v>0</v>
      </c>
      <c r="E397" s="21">
        <v>0</v>
      </c>
      <c r="F397" s="21">
        <v>1</v>
      </c>
      <c r="G397" s="21">
        <v>0</v>
      </c>
      <c r="H397" s="21">
        <v>1</v>
      </c>
      <c r="I397" s="21" t="s">
        <v>15</v>
      </c>
      <c r="J397" s="21">
        <v>0</v>
      </c>
      <c r="K397" s="22">
        <v>1</v>
      </c>
      <c r="O397" s="20">
        <v>32258.06452</v>
      </c>
      <c r="P397" s="21">
        <v>1</v>
      </c>
    </row>
    <row r="398" spans="1:16" x14ac:dyDescent="0.3">
      <c r="A398" s="15">
        <v>877</v>
      </c>
      <c r="B398" s="16">
        <v>5555.5555560000003</v>
      </c>
      <c r="C398" s="17" t="s">
        <v>14</v>
      </c>
      <c r="D398" s="17">
        <v>0</v>
      </c>
      <c r="E398" s="17">
        <v>0</v>
      </c>
      <c r="F398" s="17">
        <v>0</v>
      </c>
      <c r="G398" s="17">
        <v>0</v>
      </c>
      <c r="H398" s="17">
        <v>1</v>
      </c>
      <c r="I398" s="17" t="s">
        <v>15</v>
      </c>
      <c r="J398" s="17">
        <v>1</v>
      </c>
      <c r="K398" s="18">
        <v>1</v>
      </c>
      <c r="O398" s="16">
        <v>5555.5555560000003</v>
      </c>
      <c r="P398" s="17">
        <v>0</v>
      </c>
    </row>
    <row r="399" spans="1:16" x14ac:dyDescent="0.3">
      <c r="A399" s="19">
        <v>883</v>
      </c>
      <c r="B399" s="20">
        <v>40000</v>
      </c>
      <c r="C399" s="21" t="s">
        <v>14</v>
      </c>
      <c r="D399" s="21">
        <v>0</v>
      </c>
      <c r="E399" s="21">
        <v>0</v>
      </c>
      <c r="F399" s="21">
        <v>0</v>
      </c>
      <c r="G399" s="21">
        <v>0</v>
      </c>
      <c r="H399" s="21">
        <v>1</v>
      </c>
      <c r="I399" s="21" t="s">
        <v>15</v>
      </c>
      <c r="J399" s="21">
        <v>1</v>
      </c>
      <c r="K399" s="22">
        <v>0</v>
      </c>
      <c r="O399" s="20">
        <v>40000</v>
      </c>
      <c r="P399" s="21">
        <v>0</v>
      </c>
    </row>
    <row r="400" spans="1:16" x14ac:dyDescent="0.3">
      <c r="A400" s="15">
        <v>885</v>
      </c>
      <c r="B400" s="16">
        <v>66666.666670000006</v>
      </c>
      <c r="C400" s="17" t="s">
        <v>14</v>
      </c>
      <c r="D400" s="17">
        <v>0</v>
      </c>
      <c r="E400" s="17">
        <v>0</v>
      </c>
      <c r="F400" s="17">
        <v>0</v>
      </c>
      <c r="G400" s="17">
        <v>0</v>
      </c>
      <c r="H400" s="17">
        <v>1</v>
      </c>
      <c r="I400" s="17" t="s">
        <v>15</v>
      </c>
      <c r="J400" s="17">
        <v>1</v>
      </c>
      <c r="K400" s="18">
        <v>0</v>
      </c>
      <c r="O400" s="16">
        <v>66666.666670000006</v>
      </c>
      <c r="P400" s="17">
        <v>0</v>
      </c>
    </row>
    <row r="401" spans="1:16" x14ac:dyDescent="0.3">
      <c r="A401" s="19">
        <v>887</v>
      </c>
      <c r="B401" s="20">
        <v>10000</v>
      </c>
      <c r="C401" s="21" t="s">
        <v>14</v>
      </c>
      <c r="D401" s="21">
        <v>0</v>
      </c>
      <c r="E401" s="21">
        <v>0</v>
      </c>
      <c r="F401" s="21">
        <v>0</v>
      </c>
      <c r="G401" s="21">
        <v>0</v>
      </c>
      <c r="H401" s="21">
        <v>1</v>
      </c>
      <c r="I401" s="21" t="s">
        <v>15</v>
      </c>
      <c r="J401" s="21">
        <v>1</v>
      </c>
      <c r="K401" s="22">
        <v>0</v>
      </c>
      <c r="O401" s="20">
        <v>10000</v>
      </c>
      <c r="P401" s="21">
        <v>0</v>
      </c>
    </row>
    <row r="402" spans="1:16" x14ac:dyDescent="0.3">
      <c r="A402" s="15">
        <v>888</v>
      </c>
      <c r="B402" s="16">
        <v>25000</v>
      </c>
      <c r="C402" s="17" t="s">
        <v>14</v>
      </c>
      <c r="D402" s="17">
        <v>0</v>
      </c>
      <c r="E402" s="17">
        <v>1</v>
      </c>
      <c r="F402" s="17">
        <v>0</v>
      </c>
      <c r="G402" s="17">
        <v>0</v>
      </c>
      <c r="H402" s="17">
        <v>1</v>
      </c>
      <c r="I402" s="17" t="s">
        <v>15</v>
      </c>
      <c r="J402" s="17">
        <v>1</v>
      </c>
      <c r="K402" s="18">
        <v>0</v>
      </c>
      <c r="O402" s="16">
        <v>25000</v>
      </c>
      <c r="P402" s="17">
        <v>0</v>
      </c>
    </row>
    <row r="403" spans="1:16" x14ac:dyDescent="0.3">
      <c r="A403" s="19">
        <v>889</v>
      </c>
      <c r="B403" s="20">
        <v>116666.6667</v>
      </c>
      <c r="C403" s="21" t="s">
        <v>14</v>
      </c>
      <c r="D403" s="21">
        <v>0</v>
      </c>
      <c r="E403" s="21">
        <v>1</v>
      </c>
      <c r="F403" s="21">
        <v>0</v>
      </c>
      <c r="G403" s="21">
        <v>0</v>
      </c>
      <c r="H403" s="21">
        <v>1</v>
      </c>
      <c r="I403" s="21" t="s">
        <v>15</v>
      </c>
      <c r="J403" s="21">
        <v>1</v>
      </c>
      <c r="K403" s="22">
        <v>0</v>
      </c>
      <c r="O403" s="20">
        <v>116666.6667</v>
      </c>
      <c r="P403" s="21">
        <v>0</v>
      </c>
    </row>
    <row r="404" spans="1:16" x14ac:dyDescent="0.3">
      <c r="A404" s="15">
        <v>907</v>
      </c>
      <c r="B404" s="16">
        <v>50000</v>
      </c>
      <c r="C404" s="17" t="s">
        <v>14</v>
      </c>
      <c r="D404" s="17">
        <v>0</v>
      </c>
      <c r="E404" s="17">
        <v>0</v>
      </c>
      <c r="F404" s="17">
        <v>0</v>
      </c>
      <c r="G404" s="17">
        <v>0</v>
      </c>
      <c r="H404" s="17">
        <v>1</v>
      </c>
      <c r="I404" s="17" t="s">
        <v>15</v>
      </c>
      <c r="J404" s="17">
        <v>0</v>
      </c>
      <c r="K404" s="18">
        <v>1</v>
      </c>
      <c r="O404" s="16">
        <v>50000</v>
      </c>
      <c r="P404" s="17">
        <v>0</v>
      </c>
    </row>
    <row r="405" spans="1:16" x14ac:dyDescent="0.3">
      <c r="A405" s="19">
        <v>910</v>
      </c>
      <c r="B405" s="20">
        <v>100000</v>
      </c>
      <c r="C405" s="21" t="s">
        <v>14</v>
      </c>
      <c r="D405" s="21">
        <v>0</v>
      </c>
      <c r="E405" s="21">
        <v>1</v>
      </c>
      <c r="F405" s="21">
        <v>0</v>
      </c>
      <c r="G405" s="21">
        <v>0</v>
      </c>
      <c r="H405" s="21">
        <v>1</v>
      </c>
      <c r="I405" s="21" t="s">
        <v>15</v>
      </c>
      <c r="J405" s="21">
        <v>1</v>
      </c>
      <c r="K405" s="22">
        <v>1</v>
      </c>
      <c r="O405" s="20">
        <v>100000</v>
      </c>
      <c r="P405" s="21">
        <v>0</v>
      </c>
    </row>
    <row r="406" spans="1:16" x14ac:dyDescent="0.3">
      <c r="A406" s="15">
        <v>913</v>
      </c>
      <c r="B406" s="16">
        <v>136363.63639999999</v>
      </c>
      <c r="C406" s="17" t="s">
        <v>14</v>
      </c>
      <c r="D406" s="17">
        <v>0</v>
      </c>
      <c r="E406" s="17">
        <v>0</v>
      </c>
      <c r="F406" s="17">
        <v>0</v>
      </c>
      <c r="G406" s="17">
        <v>0</v>
      </c>
      <c r="H406" s="17">
        <v>1</v>
      </c>
      <c r="I406" s="17" t="s">
        <v>15</v>
      </c>
      <c r="J406" s="17">
        <v>1</v>
      </c>
      <c r="K406" s="18">
        <v>1</v>
      </c>
      <c r="O406" s="16">
        <v>136363.63639999999</v>
      </c>
      <c r="P406" s="17">
        <v>0</v>
      </c>
    </row>
    <row r="407" spans="1:16" x14ac:dyDescent="0.3">
      <c r="A407" s="19">
        <v>914</v>
      </c>
      <c r="B407" s="20">
        <v>66666.666670000006</v>
      </c>
      <c r="C407" s="21" t="s">
        <v>14</v>
      </c>
      <c r="D407" s="21">
        <v>0</v>
      </c>
      <c r="E407" s="21">
        <v>1</v>
      </c>
      <c r="F407" s="21">
        <v>0</v>
      </c>
      <c r="G407" s="21">
        <v>0</v>
      </c>
      <c r="H407" s="21">
        <v>1</v>
      </c>
      <c r="I407" s="21" t="s">
        <v>15</v>
      </c>
      <c r="J407" s="21">
        <v>1</v>
      </c>
      <c r="K407" s="22">
        <v>1</v>
      </c>
      <c r="O407" s="20">
        <v>66666.666670000006</v>
      </c>
      <c r="P407" s="21">
        <v>0</v>
      </c>
    </row>
    <row r="408" spans="1:16" x14ac:dyDescent="0.3">
      <c r="A408" s="15">
        <v>916</v>
      </c>
      <c r="B408" s="16">
        <v>90909.090909999999</v>
      </c>
      <c r="C408" s="17" t="s">
        <v>14</v>
      </c>
      <c r="D408" s="17">
        <v>0</v>
      </c>
      <c r="E408" s="17">
        <v>0</v>
      </c>
      <c r="F408" s="17">
        <v>0</v>
      </c>
      <c r="G408" s="17">
        <v>0</v>
      </c>
      <c r="H408" s="17">
        <v>1</v>
      </c>
      <c r="I408" s="17" t="s">
        <v>15</v>
      </c>
      <c r="J408" s="17">
        <v>1</v>
      </c>
      <c r="K408" s="18">
        <v>1</v>
      </c>
      <c r="O408" s="16">
        <v>90909.090909999999</v>
      </c>
      <c r="P408" s="17">
        <v>0</v>
      </c>
    </row>
    <row r="409" spans="1:16" x14ac:dyDescent="0.3">
      <c r="A409" s="19">
        <v>917</v>
      </c>
      <c r="B409" s="20">
        <v>75000</v>
      </c>
      <c r="C409" s="21" t="s">
        <v>14</v>
      </c>
      <c r="D409" s="21">
        <v>0</v>
      </c>
      <c r="E409" s="21">
        <v>0</v>
      </c>
      <c r="F409" s="21">
        <v>0</v>
      </c>
      <c r="G409" s="21">
        <v>0</v>
      </c>
      <c r="H409" s="21">
        <v>1</v>
      </c>
      <c r="I409" s="21" t="s">
        <v>15</v>
      </c>
      <c r="J409" s="21">
        <v>1</v>
      </c>
      <c r="K409" s="22">
        <v>1</v>
      </c>
      <c r="O409" s="20">
        <v>75000</v>
      </c>
      <c r="P409" s="21">
        <v>0</v>
      </c>
    </row>
    <row r="410" spans="1:16" x14ac:dyDescent="0.3">
      <c r="A410" s="15">
        <v>918</v>
      </c>
      <c r="B410" s="16">
        <v>150000</v>
      </c>
      <c r="C410" s="17" t="s">
        <v>14</v>
      </c>
      <c r="D410" s="17">
        <v>0</v>
      </c>
      <c r="E410" s="17">
        <v>0</v>
      </c>
      <c r="F410" s="17">
        <v>0</v>
      </c>
      <c r="G410" s="17">
        <v>0</v>
      </c>
      <c r="H410" s="17">
        <v>1</v>
      </c>
      <c r="I410" s="17" t="s">
        <v>15</v>
      </c>
      <c r="J410" s="17">
        <v>1</v>
      </c>
      <c r="K410" s="18">
        <v>1</v>
      </c>
      <c r="O410" s="16">
        <v>150000</v>
      </c>
      <c r="P410" s="17">
        <v>0</v>
      </c>
    </row>
    <row r="411" spans="1:16" x14ac:dyDescent="0.3">
      <c r="A411" s="19">
        <v>920</v>
      </c>
      <c r="B411" s="20">
        <v>45454.545449999998</v>
      </c>
      <c r="C411" s="21" t="s">
        <v>12</v>
      </c>
      <c r="D411" s="21">
        <v>1</v>
      </c>
      <c r="E411" s="21">
        <v>0</v>
      </c>
      <c r="F411" s="21">
        <v>0</v>
      </c>
      <c r="G411" s="21">
        <v>0</v>
      </c>
      <c r="H411" s="21">
        <v>1</v>
      </c>
      <c r="I411" s="21" t="s">
        <v>15</v>
      </c>
      <c r="J411" s="21">
        <v>1</v>
      </c>
      <c r="K411" s="22">
        <v>1</v>
      </c>
      <c r="O411" s="20">
        <v>45454.545449999998</v>
      </c>
      <c r="P411" s="21">
        <v>0</v>
      </c>
    </row>
    <row r="412" spans="1:16" x14ac:dyDescent="0.3">
      <c r="A412" s="15">
        <v>924</v>
      </c>
      <c r="B412" s="16">
        <v>0</v>
      </c>
      <c r="C412" s="17" t="s">
        <v>14</v>
      </c>
      <c r="D412" s="17">
        <v>0</v>
      </c>
      <c r="E412" s="17">
        <v>1</v>
      </c>
      <c r="F412" s="17">
        <v>0</v>
      </c>
      <c r="G412" s="17">
        <v>0</v>
      </c>
      <c r="H412" s="17">
        <v>1</v>
      </c>
      <c r="I412" s="17" t="s">
        <v>15</v>
      </c>
      <c r="J412" s="17">
        <v>1</v>
      </c>
      <c r="K412" s="18">
        <v>1</v>
      </c>
      <c r="O412" s="16">
        <v>0</v>
      </c>
      <c r="P412" s="17">
        <v>0</v>
      </c>
    </row>
    <row r="413" spans="1:16" x14ac:dyDescent="0.3">
      <c r="A413" s="19">
        <v>925</v>
      </c>
      <c r="B413" s="20">
        <v>22222.22222</v>
      </c>
      <c r="C413" s="21" t="s">
        <v>14</v>
      </c>
      <c r="D413" s="21">
        <v>0</v>
      </c>
      <c r="E413" s="21">
        <v>0</v>
      </c>
      <c r="F413" s="21">
        <v>0</v>
      </c>
      <c r="G413" s="21">
        <v>0</v>
      </c>
      <c r="H413" s="21">
        <v>1</v>
      </c>
      <c r="I413" s="21" t="s">
        <v>15</v>
      </c>
      <c r="J413" s="21">
        <v>1</v>
      </c>
      <c r="K413" s="22">
        <v>1</v>
      </c>
      <c r="O413" s="20">
        <v>22222.22222</v>
      </c>
      <c r="P413" s="21">
        <v>0</v>
      </c>
    </row>
    <row r="414" spans="1:16" x14ac:dyDescent="0.3">
      <c r="A414" s="15">
        <v>927</v>
      </c>
      <c r="B414" s="16">
        <v>83333.333329999994</v>
      </c>
      <c r="C414" s="17" t="s">
        <v>14</v>
      </c>
      <c r="D414" s="17">
        <v>0</v>
      </c>
      <c r="E414" s="17">
        <v>0</v>
      </c>
      <c r="F414" s="17">
        <v>0</v>
      </c>
      <c r="G414" s="17">
        <v>0</v>
      </c>
      <c r="H414" s="17">
        <v>1</v>
      </c>
      <c r="I414" s="17" t="s">
        <v>15</v>
      </c>
      <c r="J414" s="17">
        <v>1</v>
      </c>
      <c r="K414" s="18">
        <v>1</v>
      </c>
      <c r="O414" s="16">
        <v>83333.333329999994</v>
      </c>
      <c r="P414" s="17">
        <v>0</v>
      </c>
    </row>
    <row r="415" spans="1:16" x14ac:dyDescent="0.3">
      <c r="A415" s="19">
        <v>928</v>
      </c>
      <c r="B415" s="20">
        <v>86956.521739999996</v>
      </c>
      <c r="C415" s="21" t="s">
        <v>14</v>
      </c>
      <c r="D415" s="21">
        <v>0</v>
      </c>
      <c r="E415" s="21">
        <v>0</v>
      </c>
      <c r="F415" s="21">
        <v>0</v>
      </c>
      <c r="G415" s="21">
        <v>0</v>
      </c>
      <c r="H415" s="21">
        <v>1</v>
      </c>
      <c r="I415" s="21" t="s">
        <v>15</v>
      </c>
      <c r="J415" s="21">
        <v>1</v>
      </c>
      <c r="K415" s="22">
        <v>1</v>
      </c>
      <c r="O415" s="20">
        <v>86956.521739999996</v>
      </c>
      <c r="P415" s="21">
        <v>0</v>
      </c>
    </row>
    <row r="416" spans="1:16" x14ac:dyDescent="0.3">
      <c r="A416" s="15">
        <v>929</v>
      </c>
      <c r="B416" s="16">
        <v>20000</v>
      </c>
      <c r="C416" s="17" t="s">
        <v>14</v>
      </c>
      <c r="D416" s="17">
        <v>0</v>
      </c>
      <c r="E416" s="17">
        <v>0</v>
      </c>
      <c r="F416" s="17">
        <v>0</v>
      </c>
      <c r="G416" s="17">
        <v>0</v>
      </c>
      <c r="H416" s="17">
        <v>1</v>
      </c>
      <c r="I416" s="17" t="s">
        <v>15</v>
      </c>
      <c r="J416" s="17">
        <v>1</v>
      </c>
      <c r="K416" s="18">
        <v>1</v>
      </c>
      <c r="O416" s="16">
        <v>20000</v>
      </c>
      <c r="P416" s="17">
        <v>0</v>
      </c>
    </row>
    <row r="417" spans="1:16" x14ac:dyDescent="0.3">
      <c r="A417" s="19">
        <v>930</v>
      </c>
      <c r="B417" s="20">
        <v>153846.1538</v>
      </c>
      <c r="C417" s="21" t="s">
        <v>14</v>
      </c>
      <c r="D417" s="21">
        <v>0</v>
      </c>
      <c r="E417" s="21">
        <v>0</v>
      </c>
      <c r="F417" s="21">
        <v>0</v>
      </c>
      <c r="G417" s="21">
        <v>0</v>
      </c>
      <c r="H417" s="21">
        <v>1</v>
      </c>
      <c r="I417" s="21" t="s">
        <v>15</v>
      </c>
      <c r="J417" s="21">
        <v>1</v>
      </c>
      <c r="K417" s="22">
        <v>0</v>
      </c>
      <c r="O417" s="20">
        <v>153846.1538</v>
      </c>
      <c r="P417" s="21">
        <v>0</v>
      </c>
    </row>
    <row r="418" spans="1:16" x14ac:dyDescent="0.3">
      <c r="A418" s="15">
        <v>935</v>
      </c>
      <c r="B418" s="16">
        <v>31250</v>
      </c>
      <c r="C418" s="17" t="s">
        <v>14</v>
      </c>
      <c r="D418" s="17">
        <v>0</v>
      </c>
      <c r="E418" s="17">
        <v>0</v>
      </c>
      <c r="F418" s="17">
        <v>0</v>
      </c>
      <c r="G418" s="17">
        <v>0</v>
      </c>
      <c r="H418" s="17">
        <v>1</v>
      </c>
      <c r="I418" s="17" t="s">
        <v>15</v>
      </c>
      <c r="J418" s="17">
        <v>0</v>
      </c>
      <c r="K418" s="18">
        <v>1</v>
      </c>
      <c r="O418" s="16">
        <v>31250</v>
      </c>
      <c r="P418" s="17">
        <v>0</v>
      </c>
    </row>
    <row r="419" spans="1:16" x14ac:dyDescent="0.3">
      <c r="A419" s="19">
        <v>937</v>
      </c>
      <c r="B419" s="20">
        <v>66666.666670000006</v>
      </c>
      <c r="C419" s="21" t="s">
        <v>14</v>
      </c>
      <c r="D419" s="21">
        <v>0</v>
      </c>
      <c r="E419" s="21">
        <v>0</v>
      </c>
      <c r="F419" s="21">
        <v>0</v>
      </c>
      <c r="G419" s="21">
        <v>0</v>
      </c>
      <c r="H419" s="21">
        <v>1</v>
      </c>
      <c r="I419" s="21" t="s">
        <v>15</v>
      </c>
      <c r="J419" s="21">
        <v>1</v>
      </c>
      <c r="K419" s="22">
        <v>1</v>
      </c>
      <c r="O419" s="20">
        <v>66666.666670000006</v>
      </c>
      <c r="P419" s="21">
        <v>0</v>
      </c>
    </row>
    <row r="420" spans="1:16" x14ac:dyDescent="0.3">
      <c r="A420" s="15">
        <v>942</v>
      </c>
      <c r="B420" s="16">
        <v>26000</v>
      </c>
      <c r="C420" s="17" t="s">
        <v>12</v>
      </c>
      <c r="D420" s="17">
        <v>1</v>
      </c>
      <c r="E420" s="17">
        <v>1</v>
      </c>
      <c r="F420" s="17">
        <v>0</v>
      </c>
      <c r="G420" s="17">
        <v>0</v>
      </c>
      <c r="H420" s="17">
        <v>1</v>
      </c>
      <c r="I420" s="17" t="s">
        <v>15</v>
      </c>
      <c r="J420" s="17">
        <v>0</v>
      </c>
      <c r="K420" s="18">
        <v>1</v>
      </c>
      <c r="O420" s="16">
        <v>26000</v>
      </c>
      <c r="P420" s="17">
        <v>0</v>
      </c>
    </row>
    <row r="421" spans="1:16" x14ac:dyDescent="0.3">
      <c r="A421" s="19">
        <v>943</v>
      </c>
      <c r="B421" s="20">
        <v>35000</v>
      </c>
      <c r="C421" s="21" t="s">
        <v>14</v>
      </c>
      <c r="D421" s="21">
        <v>0</v>
      </c>
      <c r="E421" s="21">
        <v>0</v>
      </c>
      <c r="F421" s="21">
        <v>0</v>
      </c>
      <c r="G421" s="21">
        <v>0</v>
      </c>
      <c r="H421" s="21">
        <v>1</v>
      </c>
      <c r="I421" s="21" t="s">
        <v>15</v>
      </c>
      <c r="J421" s="21">
        <v>1</v>
      </c>
      <c r="K421" s="22">
        <v>1</v>
      </c>
      <c r="O421" s="20">
        <v>35000</v>
      </c>
      <c r="P421" s="21">
        <v>0</v>
      </c>
    </row>
    <row r="422" spans="1:16" x14ac:dyDescent="0.3">
      <c r="A422" s="15">
        <v>946</v>
      </c>
      <c r="B422" s="16">
        <v>83333.333329999994</v>
      </c>
      <c r="C422" s="17" t="s">
        <v>14</v>
      </c>
      <c r="D422" s="17">
        <v>0</v>
      </c>
      <c r="E422" s="17">
        <v>0</v>
      </c>
      <c r="F422" s="17">
        <v>0</v>
      </c>
      <c r="G422" s="17">
        <v>0</v>
      </c>
      <c r="H422" s="17">
        <v>1</v>
      </c>
      <c r="I422" s="17" t="s">
        <v>15</v>
      </c>
      <c r="J422" s="17">
        <v>1</v>
      </c>
      <c r="K422" s="18">
        <v>1</v>
      </c>
      <c r="O422" s="16">
        <v>83333.333329999994</v>
      </c>
      <c r="P422" s="17">
        <v>0</v>
      </c>
    </row>
    <row r="423" spans="1:16" x14ac:dyDescent="0.3">
      <c r="A423" s="19">
        <v>952</v>
      </c>
      <c r="B423" s="20">
        <v>-24600</v>
      </c>
      <c r="C423" s="21" t="s">
        <v>14</v>
      </c>
      <c r="D423" s="21">
        <v>0</v>
      </c>
      <c r="E423" s="21">
        <v>0</v>
      </c>
      <c r="F423" s="21">
        <v>0</v>
      </c>
      <c r="G423" s="21">
        <v>0</v>
      </c>
      <c r="H423" s="21">
        <v>1</v>
      </c>
      <c r="I423" s="21" t="s">
        <v>15</v>
      </c>
      <c r="J423" s="21">
        <v>1</v>
      </c>
      <c r="K423" s="22">
        <v>0</v>
      </c>
      <c r="O423" s="20">
        <v>-24600</v>
      </c>
      <c r="P423" s="21">
        <v>0</v>
      </c>
    </row>
    <row r="424" spans="1:16" x14ac:dyDescent="0.3">
      <c r="A424" s="15">
        <v>953</v>
      </c>
      <c r="B424" s="16">
        <v>40000</v>
      </c>
      <c r="C424" s="17" t="s">
        <v>14</v>
      </c>
      <c r="D424" s="17">
        <v>0</v>
      </c>
      <c r="E424" s="17">
        <v>0</v>
      </c>
      <c r="F424" s="17">
        <v>0</v>
      </c>
      <c r="G424" s="17">
        <v>0</v>
      </c>
      <c r="H424" s="17">
        <v>1</v>
      </c>
      <c r="I424" s="17" t="s">
        <v>15</v>
      </c>
      <c r="J424" s="17">
        <v>1</v>
      </c>
      <c r="K424" s="18">
        <v>1</v>
      </c>
      <c r="O424" s="16">
        <v>40000</v>
      </c>
      <c r="P424" s="17">
        <v>0</v>
      </c>
    </row>
    <row r="425" spans="1:16" x14ac:dyDescent="0.3">
      <c r="A425" s="19">
        <v>955</v>
      </c>
      <c r="B425" s="20">
        <v>90909.090909999999</v>
      </c>
      <c r="C425" s="21" t="s">
        <v>14</v>
      </c>
      <c r="D425" s="21">
        <v>0</v>
      </c>
      <c r="E425" s="21">
        <v>0</v>
      </c>
      <c r="F425" s="21">
        <v>0</v>
      </c>
      <c r="G425" s="21">
        <v>0</v>
      </c>
      <c r="H425" s="21">
        <v>1</v>
      </c>
      <c r="I425" s="21" t="s">
        <v>15</v>
      </c>
      <c r="J425" s="21">
        <v>1</v>
      </c>
      <c r="K425" s="22">
        <v>1</v>
      </c>
      <c r="O425" s="20">
        <v>90909.090909999999</v>
      </c>
      <c r="P425" s="21">
        <v>0</v>
      </c>
    </row>
    <row r="426" spans="1:16" x14ac:dyDescent="0.3">
      <c r="A426" s="15">
        <v>958</v>
      </c>
      <c r="B426" s="16">
        <v>-79646.017699999997</v>
      </c>
      <c r="C426" s="17" t="s">
        <v>14</v>
      </c>
      <c r="D426" s="17">
        <v>0</v>
      </c>
      <c r="E426" s="17">
        <v>0</v>
      </c>
      <c r="F426" s="17">
        <v>0</v>
      </c>
      <c r="G426" s="17">
        <v>0</v>
      </c>
      <c r="H426" s="17">
        <v>1</v>
      </c>
      <c r="I426" s="17" t="s">
        <v>15</v>
      </c>
      <c r="J426" s="17">
        <v>1</v>
      </c>
      <c r="K426" s="18">
        <v>1</v>
      </c>
      <c r="O426" s="16">
        <v>-79646.017699999997</v>
      </c>
      <c r="P426" s="17">
        <v>0</v>
      </c>
    </row>
    <row r="427" spans="1:16" x14ac:dyDescent="0.3">
      <c r="A427" s="19">
        <v>959</v>
      </c>
      <c r="B427" s="20">
        <v>28571.42857</v>
      </c>
      <c r="C427" s="21" t="s">
        <v>14</v>
      </c>
      <c r="D427" s="21">
        <v>0</v>
      </c>
      <c r="E427" s="21">
        <v>0</v>
      </c>
      <c r="F427" s="21">
        <v>0</v>
      </c>
      <c r="G427" s="21">
        <v>0</v>
      </c>
      <c r="H427" s="21">
        <v>1</v>
      </c>
      <c r="I427" s="21" t="s">
        <v>15</v>
      </c>
      <c r="J427" s="21">
        <v>1</v>
      </c>
      <c r="K427" s="22">
        <v>1</v>
      </c>
      <c r="O427" s="20">
        <v>28571.42857</v>
      </c>
      <c r="P427" s="21">
        <v>0</v>
      </c>
    </row>
    <row r="428" spans="1:16" x14ac:dyDescent="0.3">
      <c r="A428" s="15">
        <v>963</v>
      </c>
      <c r="B428" s="16">
        <v>150000</v>
      </c>
      <c r="C428" s="17" t="s">
        <v>14</v>
      </c>
      <c r="D428" s="17">
        <v>0</v>
      </c>
      <c r="E428" s="17">
        <v>0</v>
      </c>
      <c r="F428" s="17">
        <v>0</v>
      </c>
      <c r="G428" s="17">
        <v>0</v>
      </c>
      <c r="H428" s="17">
        <v>1</v>
      </c>
      <c r="I428" s="17" t="s">
        <v>15</v>
      </c>
      <c r="J428" s="17">
        <v>1</v>
      </c>
      <c r="K428" s="18">
        <v>1</v>
      </c>
      <c r="O428" s="16">
        <v>150000</v>
      </c>
      <c r="P428" s="17">
        <v>0</v>
      </c>
    </row>
    <row r="429" spans="1:16" x14ac:dyDescent="0.3">
      <c r="A429" s="19">
        <v>966</v>
      </c>
      <c r="B429" s="20">
        <v>75000</v>
      </c>
      <c r="C429" s="21" t="s">
        <v>14</v>
      </c>
      <c r="D429" s="21">
        <v>0</v>
      </c>
      <c r="E429" s="21">
        <v>0</v>
      </c>
      <c r="F429" s="21">
        <v>0</v>
      </c>
      <c r="G429" s="21">
        <v>0</v>
      </c>
      <c r="H429" s="21">
        <v>1</v>
      </c>
      <c r="I429" s="21" t="s">
        <v>15</v>
      </c>
      <c r="J429" s="21">
        <v>1</v>
      </c>
      <c r="K429" s="22">
        <v>1</v>
      </c>
      <c r="O429" s="20">
        <v>75000</v>
      </c>
      <c r="P429" s="21">
        <v>0</v>
      </c>
    </row>
    <row r="430" spans="1:16" x14ac:dyDescent="0.3">
      <c r="A430" s="15">
        <v>967</v>
      </c>
      <c r="B430" s="16">
        <v>25000</v>
      </c>
      <c r="C430" s="17" t="s">
        <v>14</v>
      </c>
      <c r="D430" s="17">
        <v>0</v>
      </c>
      <c r="E430" s="17">
        <v>0</v>
      </c>
      <c r="F430" s="17">
        <v>0</v>
      </c>
      <c r="G430" s="17">
        <v>0</v>
      </c>
      <c r="H430" s="17">
        <v>1</v>
      </c>
      <c r="I430" s="17" t="s">
        <v>15</v>
      </c>
      <c r="J430" s="17">
        <v>1</v>
      </c>
      <c r="K430" s="18">
        <v>1</v>
      </c>
      <c r="O430" s="16">
        <v>25000</v>
      </c>
      <c r="P430" s="17">
        <v>0</v>
      </c>
    </row>
    <row r="431" spans="1:16" x14ac:dyDescent="0.3">
      <c r="A431" s="19">
        <v>971</v>
      </c>
      <c r="B431" s="20">
        <v>-57666.666669999999</v>
      </c>
      <c r="C431" s="21" t="s">
        <v>14</v>
      </c>
      <c r="D431" s="21">
        <v>0</v>
      </c>
      <c r="E431" s="21">
        <v>0</v>
      </c>
      <c r="F431" s="21">
        <v>0</v>
      </c>
      <c r="G431" s="21">
        <v>0</v>
      </c>
      <c r="H431" s="21">
        <v>1</v>
      </c>
      <c r="I431" s="21" t="s">
        <v>15</v>
      </c>
      <c r="J431" s="21">
        <v>1</v>
      </c>
      <c r="K431" s="22">
        <v>1</v>
      </c>
      <c r="O431" s="20">
        <v>-57666.666669999999</v>
      </c>
      <c r="P431" s="21">
        <v>0</v>
      </c>
    </row>
    <row r="432" spans="1:16" x14ac:dyDescent="0.3">
      <c r="A432" s="15">
        <v>972</v>
      </c>
      <c r="B432" s="16">
        <v>-6666.6666670000004</v>
      </c>
      <c r="C432" s="17" t="s">
        <v>14</v>
      </c>
      <c r="D432" s="17">
        <v>0</v>
      </c>
      <c r="E432" s="17">
        <v>1</v>
      </c>
      <c r="F432" s="17">
        <v>0</v>
      </c>
      <c r="G432" s="17">
        <v>0</v>
      </c>
      <c r="H432" s="17">
        <v>1</v>
      </c>
      <c r="I432" s="17" t="s">
        <v>15</v>
      </c>
      <c r="J432" s="17">
        <v>1</v>
      </c>
      <c r="K432" s="18">
        <v>1</v>
      </c>
      <c r="O432" s="16">
        <v>-6666.6666670000004</v>
      </c>
      <c r="P432" s="17">
        <v>0</v>
      </c>
    </row>
    <row r="433" spans="1:16" x14ac:dyDescent="0.3">
      <c r="A433" s="19">
        <v>975</v>
      </c>
      <c r="B433" s="20">
        <v>133333.3333</v>
      </c>
      <c r="C433" s="21" t="s">
        <v>12</v>
      </c>
      <c r="D433" s="21">
        <v>1</v>
      </c>
      <c r="E433" s="21">
        <v>0</v>
      </c>
      <c r="F433" s="21">
        <v>0</v>
      </c>
      <c r="G433" s="21">
        <v>0</v>
      </c>
      <c r="H433" s="21">
        <v>1</v>
      </c>
      <c r="I433" s="21" t="s">
        <v>15</v>
      </c>
      <c r="J433" s="21">
        <v>1</v>
      </c>
      <c r="K433" s="22">
        <v>1</v>
      </c>
      <c r="O433" s="20">
        <v>133333.3333</v>
      </c>
      <c r="P433" s="21">
        <v>0</v>
      </c>
    </row>
    <row r="434" spans="1:16" x14ac:dyDescent="0.3">
      <c r="A434" s="15">
        <v>976</v>
      </c>
      <c r="B434" s="16">
        <v>90909.090909999999</v>
      </c>
      <c r="C434" s="17" t="s">
        <v>14</v>
      </c>
      <c r="D434" s="17">
        <v>0</v>
      </c>
      <c r="E434" s="17">
        <v>0</v>
      </c>
      <c r="F434" s="17">
        <v>0</v>
      </c>
      <c r="G434" s="17">
        <v>0</v>
      </c>
      <c r="H434" s="17">
        <v>1</v>
      </c>
      <c r="I434" s="17" t="s">
        <v>15</v>
      </c>
      <c r="J434" s="17">
        <v>1</v>
      </c>
      <c r="K434" s="18">
        <v>1</v>
      </c>
      <c r="O434" s="16">
        <v>90909.090909999999</v>
      </c>
      <c r="P434" s="17">
        <v>0</v>
      </c>
    </row>
    <row r="435" spans="1:16" x14ac:dyDescent="0.3">
      <c r="A435" s="19">
        <v>977</v>
      </c>
      <c r="B435" s="20">
        <v>40000</v>
      </c>
      <c r="C435" s="21" t="s">
        <v>14</v>
      </c>
      <c r="D435" s="21">
        <v>0</v>
      </c>
      <c r="E435" s="21">
        <v>0</v>
      </c>
      <c r="F435" s="21">
        <v>0</v>
      </c>
      <c r="G435" s="21">
        <v>0</v>
      </c>
      <c r="H435" s="21">
        <v>1</v>
      </c>
      <c r="I435" s="21" t="s">
        <v>15</v>
      </c>
      <c r="J435" s="21">
        <v>0</v>
      </c>
      <c r="K435" s="22">
        <v>1</v>
      </c>
      <c r="O435" s="20">
        <v>40000</v>
      </c>
      <c r="P435" s="21">
        <v>0</v>
      </c>
    </row>
    <row r="436" spans="1:16" x14ac:dyDescent="0.3">
      <c r="A436" s="15">
        <v>979</v>
      </c>
      <c r="B436" s="16">
        <v>32051.282050000002</v>
      </c>
      <c r="C436" s="17" t="s">
        <v>14</v>
      </c>
      <c r="D436" s="17">
        <v>0</v>
      </c>
      <c r="E436" s="17">
        <v>1</v>
      </c>
      <c r="F436" s="17">
        <v>0</v>
      </c>
      <c r="G436" s="17">
        <v>0</v>
      </c>
      <c r="H436" s="17">
        <v>1</v>
      </c>
      <c r="I436" s="17" t="s">
        <v>15</v>
      </c>
      <c r="J436" s="17">
        <v>1</v>
      </c>
      <c r="K436" s="18">
        <v>1</v>
      </c>
      <c r="O436" s="16">
        <v>32051.282050000002</v>
      </c>
      <c r="P436" s="17">
        <v>0</v>
      </c>
    </row>
    <row r="437" spans="1:16" x14ac:dyDescent="0.3">
      <c r="A437" s="19">
        <v>980</v>
      </c>
      <c r="B437" s="20">
        <v>48000</v>
      </c>
      <c r="C437" s="21" t="s">
        <v>14</v>
      </c>
      <c r="D437" s="21">
        <v>0</v>
      </c>
      <c r="E437" s="21">
        <v>1</v>
      </c>
      <c r="F437" s="21">
        <v>0</v>
      </c>
      <c r="G437" s="21">
        <v>0</v>
      </c>
      <c r="H437" s="21">
        <v>1</v>
      </c>
      <c r="I437" s="21" t="s">
        <v>15</v>
      </c>
      <c r="J437" s="21">
        <v>1</v>
      </c>
      <c r="K437" s="22">
        <v>1</v>
      </c>
      <c r="O437" s="20">
        <v>48000</v>
      </c>
      <c r="P437" s="21">
        <v>0</v>
      </c>
    </row>
    <row r="438" spans="1:16" x14ac:dyDescent="0.3">
      <c r="A438" s="15">
        <v>991</v>
      </c>
      <c r="B438" s="16">
        <v>14285.71429</v>
      </c>
      <c r="C438" s="17" t="s">
        <v>14</v>
      </c>
      <c r="D438" s="17">
        <v>0</v>
      </c>
      <c r="E438" s="17">
        <v>1</v>
      </c>
      <c r="F438" s="17">
        <v>0</v>
      </c>
      <c r="G438" s="17">
        <v>0</v>
      </c>
      <c r="H438" s="17">
        <v>1</v>
      </c>
      <c r="I438" s="17" t="s">
        <v>15</v>
      </c>
      <c r="J438" s="17">
        <v>0</v>
      </c>
      <c r="K438" s="18">
        <v>1</v>
      </c>
      <c r="O438" s="16">
        <v>14285.71429</v>
      </c>
      <c r="P438" s="17">
        <v>0</v>
      </c>
    </row>
    <row r="439" spans="1:16" x14ac:dyDescent="0.3">
      <c r="A439" s="19">
        <v>993</v>
      </c>
      <c r="B439" s="20">
        <v>12903.22581</v>
      </c>
      <c r="C439" s="21" t="s">
        <v>14</v>
      </c>
      <c r="D439" s="21">
        <v>0</v>
      </c>
      <c r="E439" s="21">
        <v>0</v>
      </c>
      <c r="F439" s="21">
        <v>0</v>
      </c>
      <c r="G439" s="21">
        <v>0</v>
      </c>
      <c r="H439" s="21">
        <v>1</v>
      </c>
      <c r="I439" s="21" t="s">
        <v>15</v>
      </c>
      <c r="J439" s="21">
        <v>0</v>
      </c>
      <c r="K439" s="22">
        <v>1</v>
      </c>
      <c r="O439" s="20">
        <v>12903.22581</v>
      </c>
      <c r="P439" s="21">
        <v>0</v>
      </c>
    </row>
    <row r="440" spans="1:16" x14ac:dyDescent="0.3">
      <c r="A440" s="15">
        <v>995</v>
      </c>
      <c r="B440" s="16">
        <v>24390.243900000001</v>
      </c>
      <c r="C440" s="17" t="s">
        <v>14</v>
      </c>
      <c r="D440" s="17">
        <v>0</v>
      </c>
      <c r="E440" s="17">
        <v>0</v>
      </c>
      <c r="F440" s="17">
        <v>0</v>
      </c>
      <c r="G440" s="17">
        <v>0</v>
      </c>
      <c r="H440" s="17">
        <v>1</v>
      </c>
      <c r="I440" s="17" t="s">
        <v>15</v>
      </c>
      <c r="J440" s="17">
        <v>0</v>
      </c>
      <c r="K440" s="18">
        <v>0</v>
      </c>
      <c r="O440" s="16">
        <v>24390.243900000001</v>
      </c>
      <c r="P440" s="17">
        <v>0</v>
      </c>
    </row>
    <row r="441" spans="1:16" x14ac:dyDescent="0.3">
      <c r="A441" s="19">
        <v>997</v>
      </c>
      <c r="B441" s="20">
        <v>25000</v>
      </c>
      <c r="C441" s="21" t="s">
        <v>14</v>
      </c>
      <c r="D441" s="21">
        <v>0</v>
      </c>
      <c r="E441" s="21">
        <v>1</v>
      </c>
      <c r="F441" s="21">
        <v>0</v>
      </c>
      <c r="G441" s="21">
        <v>0</v>
      </c>
      <c r="H441" s="21">
        <v>1</v>
      </c>
      <c r="I441" s="21" t="s">
        <v>15</v>
      </c>
      <c r="J441" s="21">
        <v>0</v>
      </c>
      <c r="K441" s="22">
        <v>1</v>
      </c>
      <c r="O441" s="20">
        <v>25000</v>
      </c>
      <c r="P441" s="21">
        <v>0</v>
      </c>
    </row>
    <row r="442" spans="1:16" x14ac:dyDescent="0.3">
      <c r="A442" s="15">
        <v>998</v>
      </c>
      <c r="B442" s="16">
        <v>80000</v>
      </c>
      <c r="C442" s="17" t="s">
        <v>14</v>
      </c>
      <c r="D442" s="17">
        <v>0</v>
      </c>
      <c r="E442" s="17">
        <v>0</v>
      </c>
      <c r="F442" s="17">
        <v>0</v>
      </c>
      <c r="G442" s="17">
        <v>0</v>
      </c>
      <c r="H442" s="17">
        <v>1</v>
      </c>
      <c r="I442" s="17" t="s">
        <v>15</v>
      </c>
      <c r="J442" s="17">
        <v>0</v>
      </c>
      <c r="K442" s="18">
        <v>1</v>
      </c>
      <c r="O442" s="16">
        <v>80000</v>
      </c>
      <c r="P442" s="17">
        <v>0</v>
      </c>
    </row>
    <row r="443" spans="1:16" x14ac:dyDescent="0.3">
      <c r="A443" s="19">
        <v>999</v>
      </c>
      <c r="B443" s="20">
        <v>16666.666669999999</v>
      </c>
      <c r="C443" s="21" t="s">
        <v>14</v>
      </c>
      <c r="D443" s="21">
        <v>0</v>
      </c>
      <c r="E443" s="21">
        <v>0</v>
      </c>
      <c r="F443" s="21">
        <v>0</v>
      </c>
      <c r="G443" s="21">
        <v>0</v>
      </c>
      <c r="H443" s="21">
        <v>1</v>
      </c>
      <c r="I443" s="21" t="s">
        <v>15</v>
      </c>
      <c r="J443" s="21">
        <v>1</v>
      </c>
      <c r="K443" s="22">
        <v>1</v>
      </c>
      <c r="O443" s="20">
        <v>16666.666669999999</v>
      </c>
      <c r="P443" s="21">
        <v>0</v>
      </c>
    </row>
    <row r="444" spans="1:16" x14ac:dyDescent="0.3">
      <c r="A444" s="15">
        <v>1001</v>
      </c>
      <c r="B444" s="16">
        <v>41666.666669999999</v>
      </c>
      <c r="C444" s="17" t="s">
        <v>14</v>
      </c>
      <c r="D444" s="17">
        <v>0</v>
      </c>
      <c r="E444" s="17">
        <v>0</v>
      </c>
      <c r="F444" s="17">
        <v>0</v>
      </c>
      <c r="G444" s="17">
        <v>0</v>
      </c>
      <c r="H444" s="17">
        <v>1</v>
      </c>
      <c r="I444" s="17" t="s">
        <v>15</v>
      </c>
      <c r="J444" s="17">
        <v>1</v>
      </c>
      <c r="K444" s="18">
        <v>1</v>
      </c>
      <c r="O444" s="16">
        <v>41666.666669999999</v>
      </c>
      <c r="P444" s="17">
        <v>0</v>
      </c>
    </row>
    <row r="445" spans="1:16" x14ac:dyDescent="0.3">
      <c r="A445" s="19">
        <v>1003</v>
      </c>
      <c r="B445" s="20">
        <v>11111.11111</v>
      </c>
      <c r="C445" s="21" t="s">
        <v>14</v>
      </c>
      <c r="D445" s="21">
        <v>0</v>
      </c>
      <c r="E445" s="21">
        <v>0</v>
      </c>
      <c r="F445" s="21">
        <v>0</v>
      </c>
      <c r="G445" s="21">
        <v>0</v>
      </c>
      <c r="H445" s="21">
        <v>1</v>
      </c>
      <c r="I445" s="21" t="s">
        <v>15</v>
      </c>
      <c r="J445" s="21">
        <v>1</v>
      </c>
      <c r="K445" s="22">
        <v>1</v>
      </c>
      <c r="O445" s="20">
        <v>11111.11111</v>
      </c>
      <c r="P445" s="21">
        <v>0</v>
      </c>
    </row>
    <row r="446" spans="1:16" x14ac:dyDescent="0.3">
      <c r="A446" s="15">
        <v>1005</v>
      </c>
      <c r="B446" s="16">
        <v>16666.666669999999</v>
      </c>
      <c r="C446" s="17" t="s">
        <v>14</v>
      </c>
      <c r="D446" s="17">
        <v>0</v>
      </c>
      <c r="E446" s="17">
        <v>1</v>
      </c>
      <c r="F446" s="17">
        <v>0</v>
      </c>
      <c r="G446" s="17">
        <v>0</v>
      </c>
      <c r="H446" s="17">
        <v>1</v>
      </c>
      <c r="I446" s="17" t="s">
        <v>15</v>
      </c>
      <c r="J446" s="17">
        <v>1</v>
      </c>
      <c r="K446" s="18">
        <v>1</v>
      </c>
      <c r="O446" s="16">
        <v>16666.666669999999</v>
      </c>
      <c r="P446" s="17">
        <v>0</v>
      </c>
    </row>
    <row r="447" spans="1:16" x14ac:dyDescent="0.3">
      <c r="A447" s="19">
        <v>1007</v>
      </c>
      <c r="B447" s="20">
        <v>50000</v>
      </c>
      <c r="C447" s="21" t="s">
        <v>14</v>
      </c>
      <c r="D447" s="21">
        <v>0</v>
      </c>
      <c r="E447" s="21">
        <v>0</v>
      </c>
      <c r="F447" s="21">
        <v>0</v>
      </c>
      <c r="G447" s="21">
        <v>0</v>
      </c>
      <c r="H447" s="21">
        <v>1</v>
      </c>
      <c r="I447" s="21" t="s">
        <v>15</v>
      </c>
      <c r="J447" s="21">
        <v>1</v>
      </c>
      <c r="K447" s="22">
        <v>1</v>
      </c>
      <c r="O447" s="20">
        <v>50000</v>
      </c>
      <c r="P447" s="21">
        <v>0</v>
      </c>
    </row>
    <row r="448" spans="1:16" x14ac:dyDescent="0.3">
      <c r="A448" s="15">
        <v>1012</v>
      </c>
      <c r="B448" s="16">
        <v>60000</v>
      </c>
      <c r="C448" s="17" t="s">
        <v>14</v>
      </c>
      <c r="D448" s="17">
        <v>0</v>
      </c>
      <c r="E448" s="17">
        <v>1</v>
      </c>
      <c r="F448" s="17">
        <v>0</v>
      </c>
      <c r="G448" s="17">
        <v>0</v>
      </c>
      <c r="H448" s="17">
        <v>1</v>
      </c>
      <c r="I448" s="17" t="s">
        <v>15</v>
      </c>
      <c r="J448" s="17">
        <v>1</v>
      </c>
      <c r="K448" s="18">
        <v>1</v>
      </c>
      <c r="O448" s="16">
        <v>60000</v>
      </c>
      <c r="P448" s="17">
        <v>0</v>
      </c>
    </row>
    <row r="449" spans="1:16" x14ac:dyDescent="0.3">
      <c r="A449" s="19">
        <v>1015</v>
      </c>
      <c r="B449" s="20">
        <v>16666.666669999999</v>
      </c>
      <c r="C449" s="21" t="s">
        <v>14</v>
      </c>
      <c r="D449" s="21">
        <v>0</v>
      </c>
      <c r="E449" s="21">
        <v>1</v>
      </c>
      <c r="F449" s="21">
        <v>0</v>
      </c>
      <c r="G449" s="21">
        <v>0</v>
      </c>
      <c r="H449" s="21">
        <v>1</v>
      </c>
      <c r="I449" s="21" t="s">
        <v>15</v>
      </c>
      <c r="J449" s="21">
        <v>1</v>
      </c>
      <c r="K449" s="22">
        <v>1</v>
      </c>
      <c r="O449" s="20">
        <v>16666.666669999999</v>
      </c>
      <c r="P449" s="21">
        <v>0</v>
      </c>
    </row>
    <row r="450" spans="1:16" x14ac:dyDescent="0.3">
      <c r="A450" s="15">
        <v>1016</v>
      </c>
      <c r="B450" s="16">
        <v>15384.615379999999</v>
      </c>
      <c r="C450" s="17" t="s">
        <v>14</v>
      </c>
      <c r="D450" s="17">
        <v>0</v>
      </c>
      <c r="E450" s="17">
        <v>0</v>
      </c>
      <c r="F450" s="17">
        <v>0</v>
      </c>
      <c r="G450" s="17">
        <v>0</v>
      </c>
      <c r="H450" s="17">
        <v>1</v>
      </c>
      <c r="I450" s="17" t="s">
        <v>15</v>
      </c>
      <c r="J450" s="17">
        <v>1</v>
      </c>
      <c r="K450" s="18">
        <v>0</v>
      </c>
      <c r="O450" s="16">
        <v>15384.615379999999</v>
      </c>
      <c r="P450" s="17">
        <v>0</v>
      </c>
    </row>
    <row r="451" spans="1:16" x14ac:dyDescent="0.3">
      <c r="A451" s="19">
        <v>1017</v>
      </c>
      <c r="B451" s="20">
        <v>61538.461539999997</v>
      </c>
      <c r="C451" s="21" t="s">
        <v>14</v>
      </c>
      <c r="D451" s="21">
        <v>0</v>
      </c>
      <c r="E451" s="21">
        <v>0</v>
      </c>
      <c r="F451" s="21">
        <v>0</v>
      </c>
      <c r="G451" s="21">
        <v>0</v>
      </c>
      <c r="H451" s="21">
        <v>1</v>
      </c>
      <c r="I451" s="21" t="s">
        <v>15</v>
      </c>
      <c r="J451" s="21">
        <v>1</v>
      </c>
      <c r="K451" s="22">
        <v>1</v>
      </c>
      <c r="O451" s="20">
        <v>61538.461539999997</v>
      </c>
      <c r="P451" s="21">
        <v>0</v>
      </c>
    </row>
    <row r="452" spans="1:16" x14ac:dyDescent="0.3">
      <c r="A452" s="15">
        <v>1018</v>
      </c>
      <c r="B452" s="16">
        <v>57142.85714</v>
      </c>
      <c r="C452" s="17" t="s">
        <v>14</v>
      </c>
      <c r="D452" s="17">
        <v>0</v>
      </c>
      <c r="E452" s="17">
        <v>0</v>
      </c>
      <c r="F452" s="17">
        <v>0</v>
      </c>
      <c r="G452" s="17">
        <v>0</v>
      </c>
      <c r="H452" s="17">
        <v>1</v>
      </c>
      <c r="I452" s="17" t="s">
        <v>15</v>
      </c>
      <c r="J452" s="17">
        <v>1</v>
      </c>
      <c r="K452" s="18">
        <v>0</v>
      </c>
      <c r="O452" s="16">
        <v>57142.85714</v>
      </c>
      <c r="P452" s="17">
        <v>0</v>
      </c>
    </row>
    <row r="453" spans="1:16" x14ac:dyDescent="0.3">
      <c r="A453" s="19">
        <v>1019</v>
      </c>
      <c r="B453" s="20">
        <v>18000</v>
      </c>
      <c r="C453" s="21" t="s">
        <v>14</v>
      </c>
      <c r="D453" s="21">
        <v>0</v>
      </c>
      <c r="E453" s="21">
        <v>0</v>
      </c>
      <c r="F453" s="21">
        <v>0</v>
      </c>
      <c r="G453" s="21">
        <v>0</v>
      </c>
      <c r="H453" s="21">
        <v>1</v>
      </c>
      <c r="I453" s="21" t="s">
        <v>15</v>
      </c>
      <c r="J453" s="21">
        <v>1</v>
      </c>
      <c r="K453" s="22">
        <v>1</v>
      </c>
      <c r="O453" s="20">
        <v>18000</v>
      </c>
      <c r="P453" s="21">
        <v>0</v>
      </c>
    </row>
    <row r="454" spans="1:16" x14ac:dyDescent="0.3">
      <c r="A454" s="15">
        <v>1020</v>
      </c>
      <c r="B454" s="16">
        <v>16666.666669999999</v>
      </c>
      <c r="C454" s="17" t="s">
        <v>14</v>
      </c>
      <c r="D454" s="17">
        <v>0</v>
      </c>
      <c r="E454" s="17">
        <v>0</v>
      </c>
      <c r="F454" s="17">
        <v>0</v>
      </c>
      <c r="G454" s="17">
        <v>0</v>
      </c>
      <c r="H454" s="17">
        <v>1</v>
      </c>
      <c r="I454" s="17" t="s">
        <v>15</v>
      </c>
      <c r="J454" s="17">
        <v>1</v>
      </c>
      <c r="K454" s="18">
        <v>1</v>
      </c>
      <c r="O454" s="16">
        <v>16666.666669999999</v>
      </c>
      <c r="P454" s="17">
        <v>0</v>
      </c>
    </row>
    <row r="455" spans="1:16" x14ac:dyDescent="0.3">
      <c r="A455" s="19">
        <v>1021</v>
      </c>
      <c r="B455" s="20">
        <v>50000</v>
      </c>
      <c r="C455" s="21" t="s">
        <v>14</v>
      </c>
      <c r="D455" s="21">
        <v>0</v>
      </c>
      <c r="E455" s="21">
        <v>0</v>
      </c>
      <c r="F455" s="21">
        <v>0</v>
      </c>
      <c r="G455" s="21">
        <v>0</v>
      </c>
      <c r="H455" s="21">
        <v>1</v>
      </c>
      <c r="I455" s="21" t="s">
        <v>15</v>
      </c>
      <c r="J455" s="21">
        <v>1</v>
      </c>
      <c r="K455" s="22">
        <v>1</v>
      </c>
      <c r="O455" s="20">
        <v>50000</v>
      </c>
      <c r="P455" s="21">
        <v>0</v>
      </c>
    </row>
    <row r="456" spans="1:16" x14ac:dyDescent="0.3">
      <c r="A456" s="15">
        <v>1022</v>
      </c>
      <c r="B456" s="16">
        <v>8333.3333330000005</v>
      </c>
      <c r="C456" s="17" t="s">
        <v>14</v>
      </c>
      <c r="D456" s="17">
        <v>0</v>
      </c>
      <c r="E456" s="17">
        <v>0</v>
      </c>
      <c r="F456" s="17">
        <v>0</v>
      </c>
      <c r="G456" s="17">
        <v>0</v>
      </c>
      <c r="H456" s="17">
        <v>1</v>
      </c>
      <c r="I456" s="17" t="s">
        <v>15</v>
      </c>
      <c r="J456" s="17">
        <v>1</v>
      </c>
      <c r="K456" s="18">
        <v>1</v>
      </c>
      <c r="O456" s="16">
        <v>8333.3333330000005</v>
      </c>
      <c r="P456" s="17">
        <v>0</v>
      </c>
    </row>
    <row r="457" spans="1:16" x14ac:dyDescent="0.3">
      <c r="A457" s="19">
        <v>1027</v>
      </c>
      <c r="B457" s="20">
        <v>-41666.666669999999</v>
      </c>
      <c r="C457" s="21" t="s">
        <v>14</v>
      </c>
      <c r="D457" s="21">
        <v>0</v>
      </c>
      <c r="E457" s="21">
        <v>0</v>
      </c>
      <c r="F457" s="21">
        <v>0</v>
      </c>
      <c r="G457" s="21">
        <v>0</v>
      </c>
      <c r="H457" s="21">
        <v>1</v>
      </c>
      <c r="I457" s="21" t="s">
        <v>15</v>
      </c>
      <c r="J457" s="21">
        <v>1</v>
      </c>
      <c r="K457" s="22">
        <v>1</v>
      </c>
      <c r="O457" s="20">
        <v>-41666.666669999999</v>
      </c>
      <c r="P457" s="21">
        <v>0</v>
      </c>
    </row>
    <row r="458" spans="1:16" x14ac:dyDescent="0.3">
      <c r="A458" s="15">
        <v>1036</v>
      </c>
      <c r="B458" s="16">
        <v>100000</v>
      </c>
      <c r="C458" s="17" t="s">
        <v>14</v>
      </c>
      <c r="D458" s="17">
        <v>0</v>
      </c>
      <c r="E458" s="17">
        <v>0</v>
      </c>
      <c r="F458" s="17">
        <v>0</v>
      </c>
      <c r="G458" s="17">
        <v>0</v>
      </c>
      <c r="H458" s="17">
        <v>1</v>
      </c>
      <c r="I458" s="17" t="s">
        <v>15</v>
      </c>
      <c r="J458" s="17">
        <v>1</v>
      </c>
      <c r="K458" s="18">
        <v>1</v>
      </c>
      <c r="O458" s="16">
        <v>100000</v>
      </c>
      <c r="P458" s="17">
        <v>0</v>
      </c>
    </row>
    <row r="459" spans="1:16" x14ac:dyDescent="0.3">
      <c r="A459" s="19">
        <v>1037</v>
      </c>
      <c r="B459" s="20">
        <v>-45454.545449999998</v>
      </c>
      <c r="C459" s="21" t="s">
        <v>14</v>
      </c>
      <c r="D459" s="21">
        <v>0</v>
      </c>
      <c r="E459" s="21">
        <v>0</v>
      </c>
      <c r="F459" s="21">
        <v>0</v>
      </c>
      <c r="G459" s="21">
        <v>0</v>
      </c>
      <c r="H459" s="21">
        <v>1</v>
      </c>
      <c r="I459" s="21" t="s">
        <v>15</v>
      </c>
      <c r="J459" s="21">
        <v>1</v>
      </c>
      <c r="K459" s="22">
        <v>1</v>
      </c>
      <c r="O459" s="20">
        <v>-45454.545449999998</v>
      </c>
      <c r="P459" s="21">
        <v>0</v>
      </c>
    </row>
    <row r="460" spans="1:16" x14ac:dyDescent="0.3">
      <c r="A460" s="15">
        <v>1041</v>
      </c>
      <c r="B460" s="16">
        <v>45454.545449999998</v>
      </c>
      <c r="C460" s="17" t="s">
        <v>14</v>
      </c>
      <c r="D460" s="17">
        <v>0</v>
      </c>
      <c r="E460" s="17">
        <v>0</v>
      </c>
      <c r="F460" s="17">
        <v>0</v>
      </c>
      <c r="G460" s="17">
        <v>0</v>
      </c>
      <c r="H460" s="17">
        <v>1</v>
      </c>
      <c r="I460" s="17" t="s">
        <v>15</v>
      </c>
      <c r="J460" s="17">
        <v>1</v>
      </c>
      <c r="K460" s="18">
        <v>0</v>
      </c>
      <c r="O460" s="16">
        <v>45454.545449999998</v>
      </c>
      <c r="P460" s="17">
        <v>0</v>
      </c>
    </row>
    <row r="461" spans="1:16" x14ac:dyDescent="0.3">
      <c r="A461" s="19">
        <v>1042</v>
      </c>
      <c r="B461" s="20">
        <v>8333.3333330000005</v>
      </c>
      <c r="C461" s="21" t="s">
        <v>14</v>
      </c>
      <c r="D461" s="21">
        <v>0</v>
      </c>
      <c r="E461" s="21">
        <v>0</v>
      </c>
      <c r="F461" s="21">
        <v>0</v>
      </c>
      <c r="G461" s="21">
        <v>0</v>
      </c>
      <c r="H461" s="21">
        <v>1</v>
      </c>
      <c r="I461" s="21" t="s">
        <v>15</v>
      </c>
      <c r="J461" s="21">
        <v>1</v>
      </c>
      <c r="K461" s="22">
        <v>1</v>
      </c>
      <c r="O461" s="20">
        <v>8333.3333330000005</v>
      </c>
      <c r="P461" s="21">
        <v>0</v>
      </c>
    </row>
    <row r="462" spans="1:16" x14ac:dyDescent="0.3">
      <c r="A462" s="15">
        <v>1043</v>
      </c>
      <c r="B462" s="16">
        <v>0</v>
      </c>
      <c r="C462" s="17" t="s">
        <v>14</v>
      </c>
      <c r="D462" s="17">
        <v>0</v>
      </c>
      <c r="E462" s="17">
        <v>1</v>
      </c>
      <c r="F462" s="17">
        <v>0</v>
      </c>
      <c r="G462" s="17">
        <v>0</v>
      </c>
      <c r="H462" s="17">
        <v>1</v>
      </c>
      <c r="I462" s="17" t="s">
        <v>15</v>
      </c>
      <c r="J462" s="17">
        <v>1</v>
      </c>
      <c r="K462" s="18">
        <v>1</v>
      </c>
      <c r="O462" s="16">
        <v>0</v>
      </c>
      <c r="P462" s="17">
        <v>0</v>
      </c>
    </row>
    <row r="463" spans="1:16" x14ac:dyDescent="0.3">
      <c r="A463" s="19">
        <v>1046</v>
      </c>
      <c r="B463" s="20">
        <v>75000</v>
      </c>
      <c r="C463" s="21" t="s">
        <v>14</v>
      </c>
      <c r="D463" s="21">
        <v>0</v>
      </c>
      <c r="E463" s="21">
        <v>0</v>
      </c>
      <c r="F463" s="21">
        <v>0</v>
      </c>
      <c r="G463" s="21">
        <v>0</v>
      </c>
      <c r="H463" s="21">
        <v>1</v>
      </c>
      <c r="I463" s="21" t="s">
        <v>15</v>
      </c>
      <c r="J463" s="21">
        <v>1</v>
      </c>
      <c r="K463" s="22">
        <v>1</v>
      </c>
      <c r="O463" s="20">
        <v>75000</v>
      </c>
      <c r="P463" s="21">
        <v>0</v>
      </c>
    </row>
    <row r="464" spans="1:16" x14ac:dyDescent="0.3">
      <c r="A464" s="15">
        <v>1047</v>
      </c>
      <c r="B464" s="16">
        <v>20000</v>
      </c>
      <c r="C464" s="17" t="s">
        <v>14</v>
      </c>
      <c r="D464" s="17">
        <v>0</v>
      </c>
      <c r="E464" s="17">
        <v>1</v>
      </c>
      <c r="F464" s="17">
        <v>0</v>
      </c>
      <c r="G464" s="17">
        <v>0</v>
      </c>
      <c r="H464" s="17">
        <v>1</v>
      </c>
      <c r="I464" s="17" t="s">
        <v>15</v>
      </c>
      <c r="J464" s="17">
        <v>1</v>
      </c>
      <c r="K464" s="18">
        <v>1</v>
      </c>
      <c r="O464" s="16">
        <v>20000</v>
      </c>
      <c r="P464" s="17">
        <v>0</v>
      </c>
    </row>
    <row r="465" spans="1:16" x14ac:dyDescent="0.3">
      <c r="A465" s="19">
        <v>1048</v>
      </c>
      <c r="B465" s="20">
        <v>95238.095239999995</v>
      </c>
      <c r="C465" s="21" t="s">
        <v>14</v>
      </c>
      <c r="D465" s="21">
        <v>0</v>
      </c>
      <c r="E465" s="21">
        <v>0</v>
      </c>
      <c r="F465" s="21">
        <v>0</v>
      </c>
      <c r="G465" s="21">
        <v>0</v>
      </c>
      <c r="H465" s="21">
        <v>1</v>
      </c>
      <c r="I465" s="21" t="s">
        <v>15</v>
      </c>
      <c r="J465" s="21">
        <v>1</v>
      </c>
      <c r="K465" s="22">
        <v>1</v>
      </c>
      <c r="O465" s="20">
        <v>95238.095239999995</v>
      </c>
      <c r="P465" s="21">
        <v>0</v>
      </c>
    </row>
    <row r="466" spans="1:16" x14ac:dyDescent="0.3">
      <c r="A466" s="15">
        <v>1049</v>
      </c>
      <c r="B466" s="16">
        <v>100000</v>
      </c>
      <c r="C466" s="17" t="s">
        <v>14</v>
      </c>
      <c r="D466" s="17">
        <v>0</v>
      </c>
      <c r="E466" s="17">
        <v>0</v>
      </c>
      <c r="F466" s="17">
        <v>0</v>
      </c>
      <c r="G466" s="17">
        <v>0</v>
      </c>
      <c r="H466" s="17">
        <v>1</v>
      </c>
      <c r="I466" s="17" t="s">
        <v>15</v>
      </c>
      <c r="J466" s="17">
        <v>1</v>
      </c>
      <c r="K466" s="18">
        <v>1</v>
      </c>
      <c r="O466" s="16">
        <v>100000</v>
      </c>
      <c r="P466" s="17">
        <v>0</v>
      </c>
    </row>
    <row r="467" spans="1:16" x14ac:dyDescent="0.3">
      <c r="A467" s="19">
        <v>1050</v>
      </c>
      <c r="B467" s="20">
        <v>-59333.333330000001</v>
      </c>
      <c r="C467" s="21" t="s">
        <v>14</v>
      </c>
      <c r="D467" s="21">
        <v>0</v>
      </c>
      <c r="E467" s="21">
        <v>0</v>
      </c>
      <c r="F467" s="21">
        <v>0</v>
      </c>
      <c r="G467" s="21">
        <v>0</v>
      </c>
      <c r="H467" s="21">
        <v>1</v>
      </c>
      <c r="I467" s="21" t="s">
        <v>15</v>
      </c>
      <c r="J467" s="21">
        <v>1</v>
      </c>
      <c r="K467" s="22">
        <v>1</v>
      </c>
      <c r="O467" s="20">
        <v>-59333.333330000001</v>
      </c>
      <c r="P467" s="21">
        <v>0</v>
      </c>
    </row>
    <row r="468" spans="1:16" x14ac:dyDescent="0.3">
      <c r="A468" s="15">
        <v>1052</v>
      </c>
      <c r="B468" s="16">
        <v>8333.3333330000005</v>
      </c>
      <c r="C468" s="17" t="s">
        <v>14</v>
      </c>
      <c r="D468" s="17">
        <v>0</v>
      </c>
      <c r="E468" s="17">
        <v>0</v>
      </c>
      <c r="F468" s="17">
        <v>0</v>
      </c>
      <c r="G468" s="17">
        <v>0</v>
      </c>
      <c r="H468" s="17">
        <v>1</v>
      </c>
      <c r="I468" s="17" t="s">
        <v>15</v>
      </c>
      <c r="J468" s="17">
        <v>1</v>
      </c>
      <c r="K468" s="18">
        <v>1</v>
      </c>
      <c r="O468" s="16">
        <v>8333.3333330000005</v>
      </c>
      <c r="P468" s="17">
        <v>0</v>
      </c>
    </row>
    <row r="469" spans="1:16" x14ac:dyDescent="0.3">
      <c r="A469" s="19">
        <v>1053</v>
      </c>
      <c r="B469" s="20">
        <v>-2500</v>
      </c>
      <c r="C469" s="21" t="s">
        <v>14</v>
      </c>
      <c r="D469" s="21">
        <v>0</v>
      </c>
      <c r="E469" s="21">
        <v>0</v>
      </c>
      <c r="F469" s="21">
        <v>0</v>
      </c>
      <c r="G469" s="21">
        <v>0</v>
      </c>
      <c r="H469" s="21">
        <v>1</v>
      </c>
      <c r="I469" s="21" t="s">
        <v>15</v>
      </c>
      <c r="J469" s="21">
        <v>1</v>
      </c>
      <c r="K469" s="22">
        <v>1</v>
      </c>
      <c r="O469" s="20">
        <v>-2500</v>
      </c>
      <c r="P469" s="21">
        <v>0</v>
      </c>
    </row>
    <row r="470" spans="1:16" x14ac:dyDescent="0.3">
      <c r="A470" s="15">
        <v>1054</v>
      </c>
      <c r="B470" s="16">
        <v>-33333.333330000001</v>
      </c>
      <c r="C470" s="17" t="s">
        <v>14</v>
      </c>
      <c r="D470" s="17">
        <v>0</v>
      </c>
      <c r="E470" s="17">
        <v>1</v>
      </c>
      <c r="F470" s="17">
        <v>0</v>
      </c>
      <c r="G470" s="17">
        <v>0</v>
      </c>
      <c r="H470" s="17">
        <v>1</v>
      </c>
      <c r="I470" s="17" t="s">
        <v>15</v>
      </c>
      <c r="J470" s="17">
        <v>1</v>
      </c>
      <c r="K470" s="18">
        <v>1</v>
      </c>
      <c r="O470" s="16">
        <v>-33333.333330000001</v>
      </c>
      <c r="P470" s="17">
        <v>0</v>
      </c>
    </row>
    <row r="471" spans="1:16" x14ac:dyDescent="0.3">
      <c r="A471" s="19">
        <v>1055</v>
      </c>
      <c r="B471" s="20">
        <v>100000</v>
      </c>
      <c r="C471" s="21" t="s">
        <v>14</v>
      </c>
      <c r="D471" s="21">
        <v>0</v>
      </c>
      <c r="E471" s="21">
        <v>0</v>
      </c>
      <c r="F471" s="21">
        <v>0</v>
      </c>
      <c r="G471" s="21">
        <v>0</v>
      </c>
      <c r="H471" s="21">
        <v>1</v>
      </c>
      <c r="I471" s="21" t="s">
        <v>15</v>
      </c>
      <c r="J471" s="21">
        <v>1</v>
      </c>
      <c r="K471" s="22">
        <v>1</v>
      </c>
      <c r="O471" s="20">
        <v>100000</v>
      </c>
      <c r="P471" s="21">
        <v>0</v>
      </c>
    </row>
    <row r="472" spans="1:16" x14ac:dyDescent="0.3">
      <c r="A472" s="15">
        <v>1061</v>
      </c>
      <c r="B472" s="16">
        <v>40000</v>
      </c>
      <c r="C472" s="17" t="s">
        <v>14</v>
      </c>
      <c r="D472" s="17">
        <v>0</v>
      </c>
      <c r="E472" s="17">
        <v>0</v>
      </c>
      <c r="F472" s="17">
        <v>0</v>
      </c>
      <c r="G472" s="17">
        <v>0</v>
      </c>
      <c r="H472" s="17">
        <v>1</v>
      </c>
      <c r="I472" s="17" t="s">
        <v>15</v>
      </c>
      <c r="J472" s="17">
        <v>0</v>
      </c>
      <c r="K472" s="18">
        <v>1</v>
      </c>
      <c r="O472" s="16">
        <v>40000</v>
      </c>
      <c r="P472" s="17">
        <v>0</v>
      </c>
    </row>
    <row r="473" spans="1:16" x14ac:dyDescent="0.3">
      <c r="A473" s="19">
        <v>1064</v>
      </c>
      <c r="B473" s="20">
        <v>20000</v>
      </c>
      <c r="C473" s="21" t="s">
        <v>14</v>
      </c>
      <c r="D473" s="21">
        <v>0</v>
      </c>
      <c r="E473" s="21">
        <v>0</v>
      </c>
      <c r="F473" s="21">
        <v>0</v>
      </c>
      <c r="G473" s="21">
        <v>0</v>
      </c>
      <c r="H473" s="21">
        <v>1</v>
      </c>
      <c r="I473" s="21" t="s">
        <v>15</v>
      </c>
      <c r="J473" s="21">
        <v>0</v>
      </c>
      <c r="K473" s="22">
        <v>1</v>
      </c>
      <c r="O473" s="20">
        <v>20000</v>
      </c>
      <c r="P473" s="21">
        <v>0</v>
      </c>
    </row>
    <row r="474" spans="1:16" x14ac:dyDescent="0.3">
      <c r="A474" s="15">
        <v>1065</v>
      </c>
      <c r="B474" s="16">
        <v>83333.333329999994</v>
      </c>
      <c r="C474" s="17" t="s">
        <v>14</v>
      </c>
      <c r="D474" s="17">
        <v>0</v>
      </c>
      <c r="E474" s="17">
        <v>0</v>
      </c>
      <c r="F474" s="17">
        <v>0</v>
      </c>
      <c r="G474" s="17">
        <v>0</v>
      </c>
      <c r="H474" s="17">
        <v>1</v>
      </c>
      <c r="I474" s="17" t="s">
        <v>15</v>
      </c>
      <c r="J474" s="17">
        <v>1</v>
      </c>
      <c r="K474" s="18">
        <v>0</v>
      </c>
      <c r="O474" s="16">
        <v>83333.333329999994</v>
      </c>
      <c r="P474" s="17">
        <v>0</v>
      </c>
    </row>
    <row r="475" spans="1:16" x14ac:dyDescent="0.3">
      <c r="A475" s="19">
        <v>1067</v>
      </c>
      <c r="B475" s="20">
        <v>75000</v>
      </c>
      <c r="C475" s="21" t="s">
        <v>14</v>
      </c>
      <c r="D475" s="21">
        <v>0</v>
      </c>
      <c r="E475" s="21">
        <v>1</v>
      </c>
      <c r="F475" s="21">
        <v>0</v>
      </c>
      <c r="G475" s="21">
        <v>0</v>
      </c>
      <c r="H475" s="21">
        <v>1</v>
      </c>
      <c r="I475" s="21" t="s">
        <v>15</v>
      </c>
      <c r="J475" s="21">
        <v>0</v>
      </c>
      <c r="K475" s="22">
        <v>1</v>
      </c>
      <c r="O475" s="20">
        <v>75000</v>
      </c>
      <c r="P475" s="21">
        <v>0</v>
      </c>
    </row>
    <row r="476" spans="1:16" x14ac:dyDescent="0.3">
      <c r="A476" s="15">
        <v>1069</v>
      </c>
      <c r="B476" s="16">
        <v>16666.666669999999</v>
      </c>
      <c r="C476" s="17" t="s">
        <v>14</v>
      </c>
      <c r="D476" s="17">
        <v>0</v>
      </c>
      <c r="E476" s="17">
        <v>0</v>
      </c>
      <c r="F476" s="17">
        <v>0</v>
      </c>
      <c r="G476" s="17">
        <v>0</v>
      </c>
      <c r="H476" s="17">
        <v>1</v>
      </c>
      <c r="I476" s="17" t="s">
        <v>15</v>
      </c>
      <c r="J476" s="17">
        <v>1</v>
      </c>
      <c r="K476" s="18">
        <v>1</v>
      </c>
      <c r="O476" s="16">
        <v>16666.666669999999</v>
      </c>
      <c r="P476" s="17">
        <v>0</v>
      </c>
    </row>
    <row r="477" spans="1:16" x14ac:dyDescent="0.3">
      <c r="A477" s="19">
        <v>1070</v>
      </c>
      <c r="B477" s="20">
        <v>-9615.3846150000008</v>
      </c>
      <c r="C477" s="21" t="s">
        <v>14</v>
      </c>
      <c r="D477" s="21">
        <v>0</v>
      </c>
      <c r="E477" s="21">
        <v>1</v>
      </c>
      <c r="F477" s="21">
        <v>0</v>
      </c>
      <c r="G477" s="21">
        <v>0</v>
      </c>
      <c r="H477" s="21">
        <v>1</v>
      </c>
      <c r="I477" s="21" t="s">
        <v>15</v>
      </c>
      <c r="J477" s="21">
        <v>0</v>
      </c>
      <c r="K477" s="22">
        <v>1</v>
      </c>
      <c r="O477" s="20">
        <v>-9615.3846150000008</v>
      </c>
      <c r="P477" s="21">
        <v>0</v>
      </c>
    </row>
    <row r="478" spans="1:16" x14ac:dyDescent="0.3">
      <c r="A478" s="15">
        <v>1071</v>
      </c>
      <c r="B478" s="16">
        <v>12500</v>
      </c>
      <c r="C478" s="17" t="s">
        <v>14</v>
      </c>
      <c r="D478" s="17">
        <v>0</v>
      </c>
      <c r="E478" s="17">
        <v>0</v>
      </c>
      <c r="F478" s="17">
        <v>0</v>
      </c>
      <c r="G478" s="17">
        <v>0</v>
      </c>
      <c r="H478" s="17">
        <v>1</v>
      </c>
      <c r="I478" s="17" t="s">
        <v>15</v>
      </c>
      <c r="J478" s="17">
        <v>0</v>
      </c>
      <c r="K478" s="18">
        <v>1</v>
      </c>
      <c r="O478" s="16">
        <v>12500</v>
      </c>
      <c r="P478" s="17">
        <v>0</v>
      </c>
    </row>
    <row r="479" spans="1:16" x14ac:dyDescent="0.3">
      <c r="A479" s="19">
        <v>1072</v>
      </c>
      <c r="B479" s="20">
        <v>15000</v>
      </c>
      <c r="C479" s="21" t="s">
        <v>14</v>
      </c>
      <c r="D479" s="21">
        <v>0</v>
      </c>
      <c r="E479" s="21">
        <v>0</v>
      </c>
      <c r="F479" s="21">
        <v>0</v>
      </c>
      <c r="G479" s="21">
        <v>0</v>
      </c>
      <c r="H479" s="21">
        <v>1</v>
      </c>
      <c r="I479" s="21" t="s">
        <v>15</v>
      </c>
      <c r="J479" s="21">
        <v>1</v>
      </c>
      <c r="K479" s="22">
        <v>1</v>
      </c>
      <c r="O479" s="20">
        <v>15000</v>
      </c>
      <c r="P479" s="21">
        <v>0</v>
      </c>
    </row>
    <row r="480" spans="1:16" x14ac:dyDescent="0.3">
      <c r="A480" s="15">
        <v>1073</v>
      </c>
      <c r="B480" s="16">
        <v>71428.571429999996</v>
      </c>
      <c r="C480" s="17" t="s">
        <v>14</v>
      </c>
      <c r="D480" s="17">
        <v>0</v>
      </c>
      <c r="E480" s="17">
        <v>1</v>
      </c>
      <c r="F480" s="17">
        <v>0</v>
      </c>
      <c r="G480" s="17">
        <v>0</v>
      </c>
      <c r="H480" s="17">
        <v>1</v>
      </c>
      <c r="I480" s="17" t="s">
        <v>15</v>
      </c>
      <c r="J480" s="17">
        <v>1</v>
      </c>
      <c r="K480" s="18">
        <v>1</v>
      </c>
      <c r="O480" s="16">
        <v>71428.571429999996</v>
      </c>
      <c r="P480" s="17">
        <v>0</v>
      </c>
    </row>
    <row r="481" spans="1:16" x14ac:dyDescent="0.3">
      <c r="A481" s="19">
        <v>1076</v>
      </c>
      <c r="B481" s="20">
        <v>0</v>
      </c>
      <c r="C481" s="21" t="s">
        <v>12</v>
      </c>
      <c r="D481" s="21">
        <v>1</v>
      </c>
      <c r="E481" s="21">
        <v>1</v>
      </c>
      <c r="F481" s="21">
        <v>0</v>
      </c>
      <c r="G481" s="21">
        <v>0</v>
      </c>
      <c r="H481" s="21">
        <v>1</v>
      </c>
      <c r="I481" s="21" t="s">
        <v>15</v>
      </c>
      <c r="J481" s="21">
        <v>1</v>
      </c>
      <c r="K481" s="22">
        <v>1</v>
      </c>
      <c r="O481" s="20">
        <v>0</v>
      </c>
      <c r="P481" s="21">
        <v>0</v>
      </c>
    </row>
    <row r="482" spans="1:16" x14ac:dyDescent="0.3">
      <c r="A482" s="15">
        <v>1077</v>
      </c>
      <c r="B482" s="16">
        <v>60000</v>
      </c>
      <c r="C482" s="17" t="s">
        <v>14</v>
      </c>
      <c r="D482" s="17">
        <v>0</v>
      </c>
      <c r="E482" s="17">
        <v>0</v>
      </c>
      <c r="F482" s="17">
        <v>0</v>
      </c>
      <c r="G482" s="17">
        <v>0</v>
      </c>
      <c r="H482" s="17">
        <v>1</v>
      </c>
      <c r="I482" s="17" t="s">
        <v>15</v>
      </c>
      <c r="J482" s="17">
        <v>1</v>
      </c>
      <c r="K482" s="18">
        <v>1</v>
      </c>
      <c r="O482" s="16">
        <v>60000</v>
      </c>
      <c r="P482" s="17">
        <v>0</v>
      </c>
    </row>
    <row r="483" spans="1:16" x14ac:dyDescent="0.3">
      <c r="A483" s="19">
        <v>1078</v>
      </c>
      <c r="B483" s="20">
        <v>108333.3333</v>
      </c>
      <c r="C483" s="21" t="s">
        <v>14</v>
      </c>
      <c r="D483" s="21">
        <v>0</v>
      </c>
      <c r="E483" s="21">
        <v>0</v>
      </c>
      <c r="F483" s="21">
        <v>0</v>
      </c>
      <c r="G483" s="21">
        <v>0</v>
      </c>
      <c r="H483" s="21">
        <v>1</v>
      </c>
      <c r="I483" s="21" t="s">
        <v>15</v>
      </c>
      <c r="J483" s="21">
        <v>1</v>
      </c>
      <c r="K483" s="22">
        <v>1</v>
      </c>
      <c r="O483" s="20">
        <v>108333.3333</v>
      </c>
      <c r="P483" s="21">
        <v>0</v>
      </c>
    </row>
    <row r="484" spans="1:16" x14ac:dyDescent="0.3">
      <c r="A484" s="15">
        <v>1080</v>
      </c>
      <c r="B484" s="16">
        <v>0</v>
      </c>
      <c r="C484" s="17" t="s">
        <v>14</v>
      </c>
      <c r="D484" s="17">
        <v>0</v>
      </c>
      <c r="E484" s="17">
        <v>0</v>
      </c>
      <c r="F484" s="17">
        <v>0</v>
      </c>
      <c r="G484" s="17">
        <v>0</v>
      </c>
      <c r="H484" s="17">
        <v>1</v>
      </c>
      <c r="I484" s="17" t="s">
        <v>15</v>
      </c>
      <c r="J484" s="17">
        <v>1</v>
      </c>
      <c r="K484" s="18">
        <v>1</v>
      </c>
      <c r="O484" s="16">
        <v>0</v>
      </c>
      <c r="P484" s="17">
        <v>0</v>
      </c>
    </row>
    <row r="485" spans="1:16" x14ac:dyDescent="0.3">
      <c r="A485" s="19">
        <v>1082</v>
      </c>
      <c r="B485" s="20">
        <v>20000</v>
      </c>
      <c r="C485" s="21" t="s">
        <v>14</v>
      </c>
      <c r="D485" s="21">
        <v>0</v>
      </c>
      <c r="E485" s="21">
        <v>0</v>
      </c>
      <c r="F485" s="21">
        <v>0</v>
      </c>
      <c r="G485" s="21">
        <v>0</v>
      </c>
      <c r="H485" s="21">
        <v>1</v>
      </c>
      <c r="I485" s="21" t="s">
        <v>15</v>
      </c>
      <c r="J485" s="21">
        <v>1</v>
      </c>
      <c r="K485" s="22">
        <v>1</v>
      </c>
      <c r="O485" s="20">
        <v>20000</v>
      </c>
      <c r="P485" s="21">
        <v>0</v>
      </c>
    </row>
    <row r="486" spans="1:16" x14ac:dyDescent="0.3">
      <c r="A486" s="15">
        <v>1084</v>
      </c>
      <c r="B486" s="16">
        <v>50000</v>
      </c>
      <c r="C486" s="17" t="s">
        <v>14</v>
      </c>
      <c r="D486" s="17">
        <v>0</v>
      </c>
      <c r="E486" s="17">
        <v>0</v>
      </c>
      <c r="F486" s="17">
        <v>0</v>
      </c>
      <c r="G486" s="17">
        <v>0</v>
      </c>
      <c r="H486" s="17">
        <v>1</v>
      </c>
      <c r="I486" s="17" t="s">
        <v>15</v>
      </c>
      <c r="J486" s="17">
        <v>1</v>
      </c>
      <c r="K486" s="18">
        <v>1</v>
      </c>
      <c r="O486" s="16">
        <v>50000</v>
      </c>
      <c r="P486" s="17">
        <v>0</v>
      </c>
    </row>
    <row r="487" spans="1:16" x14ac:dyDescent="0.3">
      <c r="A487" s="19">
        <v>1087</v>
      </c>
      <c r="B487" s="20">
        <v>40000</v>
      </c>
      <c r="C487" s="21" t="s">
        <v>14</v>
      </c>
      <c r="D487" s="21">
        <v>0</v>
      </c>
      <c r="E487" s="21">
        <v>0</v>
      </c>
      <c r="F487" s="21">
        <v>0</v>
      </c>
      <c r="G487" s="21">
        <v>0</v>
      </c>
      <c r="H487" s="21">
        <v>1</v>
      </c>
      <c r="I487" s="21" t="s">
        <v>15</v>
      </c>
      <c r="J487" s="21">
        <v>1</v>
      </c>
      <c r="K487" s="22">
        <v>1</v>
      </c>
      <c r="O487" s="20">
        <v>40000</v>
      </c>
      <c r="P487" s="21">
        <v>0</v>
      </c>
    </row>
    <row r="488" spans="1:16" x14ac:dyDescent="0.3">
      <c r="A488" s="15">
        <v>1089</v>
      </c>
      <c r="B488" s="16">
        <v>83333.333329999994</v>
      </c>
      <c r="C488" s="17" t="s">
        <v>14</v>
      </c>
      <c r="D488" s="17">
        <v>0</v>
      </c>
      <c r="E488" s="17">
        <v>0</v>
      </c>
      <c r="F488" s="17">
        <v>0</v>
      </c>
      <c r="G488" s="17">
        <v>0</v>
      </c>
      <c r="H488" s="17">
        <v>1</v>
      </c>
      <c r="I488" s="17" t="s">
        <v>15</v>
      </c>
      <c r="J488" s="17">
        <v>1</v>
      </c>
      <c r="K488" s="18">
        <v>1</v>
      </c>
      <c r="O488" s="16">
        <v>83333.333329999994</v>
      </c>
      <c r="P488" s="17">
        <v>0</v>
      </c>
    </row>
    <row r="489" spans="1:16" x14ac:dyDescent="0.3">
      <c r="A489" s="19">
        <v>1095</v>
      </c>
      <c r="B489" s="20">
        <v>20000</v>
      </c>
      <c r="C489" s="21" t="s">
        <v>14</v>
      </c>
      <c r="D489" s="21">
        <v>0</v>
      </c>
      <c r="E489" s="21">
        <v>0</v>
      </c>
      <c r="F489" s="21">
        <v>0</v>
      </c>
      <c r="G489" s="21">
        <v>0</v>
      </c>
      <c r="H489" s="21">
        <v>1</v>
      </c>
      <c r="I489" s="21" t="s">
        <v>15</v>
      </c>
      <c r="J489" s="21">
        <v>0</v>
      </c>
      <c r="K489" s="22">
        <v>1</v>
      </c>
      <c r="O489" s="20">
        <v>20000</v>
      </c>
      <c r="P489" s="21">
        <v>0</v>
      </c>
    </row>
    <row r="490" spans="1:16" x14ac:dyDescent="0.3">
      <c r="A490" s="15">
        <v>1097</v>
      </c>
      <c r="B490" s="16">
        <v>3278.688525</v>
      </c>
      <c r="C490" s="17" t="s">
        <v>14</v>
      </c>
      <c r="D490" s="17">
        <v>0</v>
      </c>
      <c r="E490" s="17">
        <v>0</v>
      </c>
      <c r="F490" s="17">
        <v>0</v>
      </c>
      <c r="G490" s="17">
        <v>0</v>
      </c>
      <c r="H490" s="17">
        <v>1</v>
      </c>
      <c r="I490" s="17" t="s">
        <v>15</v>
      </c>
      <c r="J490" s="17">
        <v>1</v>
      </c>
      <c r="K490" s="18">
        <v>1</v>
      </c>
      <c r="O490" s="16">
        <v>3278.688525</v>
      </c>
      <c r="P490" s="17">
        <v>0</v>
      </c>
    </row>
    <row r="491" spans="1:16" x14ac:dyDescent="0.3">
      <c r="A491" s="19">
        <v>1098</v>
      </c>
      <c r="B491" s="20">
        <v>83333.333329999994</v>
      </c>
      <c r="C491" s="21" t="s">
        <v>14</v>
      </c>
      <c r="D491" s="21">
        <v>0</v>
      </c>
      <c r="E491" s="21">
        <v>1</v>
      </c>
      <c r="F491" s="21">
        <v>0</v>
      </c>
      <c r="G491" s="21">
        <v>0</v>
      </c>
      <c r="H491" s="21">
        <v>1</v>
      </c>
      <c r="I491" s="21" t="s">
        <v>15</v>
      </c>
      <c r="J491" s="21">
        <v>1</v>
      </c>
      <c r="K491" s="22">
        <v>1</v>
      </c>
      <c r="O491" s="20">
        <v>83333.333329999994</v>
      </c>
      <c r="P491" s="21">
        <v>0</v>
      </c>
    </row>
    <row r="492" spans="1:16" x14ac:dyDescent="0.3">
      <c r="A492" s="15">
        <v>1099</v>
      </c>
      <c r="B492" s="16">
        <v>16666.666669999999</v>
      </c>
      <c r="C492" s="17" t="s">
        <v>14</v>
      </c>
      <c r="D492" s="17">
        <v>0</v>
      </c>
      <c r="E492" s="17">
        <v>0</v>
      </c>
      <c r="F492" s="17">
        <v>0</v>
      </c>
      <c r="G492" s="17">
        <v>0</v>
      </c>
      <c r="H492" s="17">
        <v>1</v>
      </c>
      <c r="I492" s="17" t="s">
        <v>15</v>
      </c>
      <c r="J492" s="17">
        <v>0</v>
      </c>
      <c r="K492" s="18">
        <v>1</v>
      </c>
      <c r="O492" s="16">
        <v>16666.666669999999</v>
      </c>
      <c r="P492" s="17">
        <v>0</v>
      </c>
    </row>
    <row r="493" spans="1:16" x14ac:dyDescent="0.3">
      <c r="A493" s="19">
        <v>1100</v>
      </c>
      <c r="B493" s="20">
        <v>66666.666670000006</v>
      </c>
      <c r="C493" s="21" t="s">
        <v>14</v>
      </c>
      <c r="D493" s="21">
        <v>0</v>
      </c>
      <c r="E493" s="21">
        <v>0</v>
      </c>
      <c r="F493" s="21">
        <v>0</v>
      </c>
      <c r="G493" s="21">
        <v>0</v>
      </c>
      <c r="H493" s="21">
        <v>1</v>
      </c>
      <c r="I493" s="21" t="s">
        <v>15</v>
      </c>
      <c r="J493" s="21">
        <v>1</v>
      </c>
      <c r="K493" s="22">
        <v>1</v>
      </c>
      <c r="O493" s="20">
        <v>66666.666670000006</v>
      </c>
      <c r="P493" s="21">
        <v>0</v>
      </c>
    </row>
    <row r="494" spans="1:16" x14ac:dyDescent="0.3">
      <c r="A494" s="15">
        <v>1101</v>
      </c>
      <c r="B494" s="16">
        <v>31250</v>
      </c>
      <c r="C494" s="17" t="s">
        <v>14</v>
      </c>
      <c r="D494" s="17">
        <v>0</v>
      </c>
      <c r="E494" s="17">
        <v>0</v>
      </c>
      <c r="F494" s="17">
        <v>0</v>
      </c>
      <c r="G494" s="17">
        <v>0</v>
      </c>
      <c r="H494" s="17">
        <v>1</v>
      </c>
      <c r="I494" s="17" t="s">
        <v>15</v>
      </c>
      <c r="J494" s="17">
        <v>1</v>
      </c>
      <c r="K494" s="18">
        <v>1</v>
      </c>
      <c r="O494" s="16">
        <v>31250</v>
      </c>
      <c r="P494" s="17">
        <v>0</v>
      </c>
    </row>
    <row r="495" spans="1:16" x14ac:dyDescent="0.3">
      <c r="A495" s="19">
        <v>1104</v>
      </c>
      <c r="B495" s="20">
        <v>97087.378639999995</v>
      </c>
      <c r="C495" s="21" t="s">
        <v>14</v>
      </c>
      <c r="D495" s="21">
        <v>0</v>
      </c>
      <c r="E495" s="21">
        <v>0</v>
      </c>
      <c r="F495" s="21">
        <v>0</v>
      </c>
      <c r="G495" s="21">
        <v>0</v>
      </c>
      <c r="H495" s="21">
        <v>1</v>
      </c>
      <c r="I495" s="21" t="s">
        <v>15</v>
      </c>
      <c r="J495" s="21">
        <v>1</v>
      </c>
      <c r="K495" s="22">
        <v>1</v>
      </c>
      <c r="O495" s="20">
        <v>97087.378639999995</v>
      </c>
      <c r="P495" s="21">
        <v>0</v>
      </c>
    </row>
    <row r="496" spans="1:16" x14ac:dyDescent="0.3">
      <c r="A496" s="15">
        <v>1107</v>
      </c>
      <c r="B496" s="16">
        <v>30000</v>
      </c>
      <c r="C496" s="17" t="s">
        <v>12</v>
      </c>
      <c r="D496" s="17">
        <v>1</v>
      </c>
      <c r="E496" s="17">
        <v>0</v>
      </c>
      <c r="F496" s="17">
        <v>0</v>
      </c>
      <c r="G496" s="17">
        <v>0</v>
      </c>
      <c r="H496" s="17">
        <v>1</v>
      </c>
      <c r="I496" s="17" t="s">
        <v>15</v>
      </c>
      <c r="J496" s="17">
        <v>1</v>
      </c>
      <c r="K496" s="18">
        <v>1</v>
      </c>
      <c r="O496" s="16">
        <v>30000</v>
      </c>
      <c r="P496" s="17">
        <v>0</v>
      </c>
    </row>
    <row r="497" spans="1:16" x14ac:dyDescent="0.3">
      <c r="A497" s="19">
        <v>1108</v>
      </c>
      <c r="B497" s="20">
        <v>38000</v>
      </c>
      <c r="C497" s="21" t="s">
        <v>14</v>
      </c>
      <c r="D497" s="21">
        <v>0</v>
      </c>
      <c r="E497" s="21">
        <v>1</v>
      </c>
      <c r="F497" s="21">
        <v>0</v>
      </c>
      <c r="G497" s="21">
        <v>0</v>
      </c>
      <c r="H497" s="21">
        <v>1</v>
      </c>
      <c r="I497" s="21" t="s">
        <v>15</v>
      </c>
      <c r="J497" s="21">
        <v>1</v>
      </c>
      <c r="K497" s="22">
        <v>1</v>
      </c>
      <c r="O497" s="20">
        <v>38000</v>
      </c>
      <c r="P497" s="21">
        <v>0</v>
      </c>
    </row>
    <row r="498" spans="1:16" x14ac:dyDescent="0.3">
      <c r="A498" s="15">
        <v>1109</v>
      </c>
      <c r="B498" s="16">
        <v>150000</v>
      </c>
      <c r="C498" s="17" t="s">
        <v>14</v>
      </c>
      <c r="D498" s="17">
        <v>0</v>
      </c>
      <c r="E498" s="17">
        <v>0</v>
      </c>
      <c r="F498" s="17">
        <v>0</v>
      </c>
      <c r="G498" s="17">
        <v>0</v>
      </c>
      <c r="H498" s="17">
        <v>1</v>
      </c>
      <c r="I498" s="17" t="s">
        <v>15</v>
      </c>
      <c r="J498" s="17">
        <v>1</v>
      </c>
      <c r="K498" s="18">
        <v>1</v>
      </c>
      <c r="O498" s="16">
        <v>150000</v>
      </c>
      <c r="P498" s="17">
        <v>0</v>
      </c>
    </row>
    <row r="499" spans="1:16" x14ac:dyDescent="0.3">
      <c r="A499" s="19">
        <v>1110</v>
      </c>
      <c r="B499" s="20">
        <v>93750</v>
      </c>
      <c r="C499" s="21" t="s">
        <v>14</v>
      </c>
      <c r="D499" s="21">
        <v>0</v>
      </c>
      <c r="E499" s="21">
        <v>1</v>
      </c>
      <c r="F499" s="21">
        <v>0</v>
      </c>
      <c r="G499" s="21">
        <v>0</v>
      </c>
      <c r="H499" s="21">
        <v>1</v>
      </c>
      <c r="I499" s="21" t="s">
        <v>15</v>
      </c>
      <c r="J499" s="21">
        <v>1</v>
      </c>
      <c r="K499" s="22">
        <v>1</v>
      </c>
      <c r="O499" s="20">
        <v>93750</v>
      </c>
      <c r="P499" s="21">
        <v>0</v>
      </c>
    </row>
    <row r="500" spans="1:16" x14ac:dyDescent="0.3">
      <c r="A500" s="15">
        <v>1113</v>
      </c>
      <c r="B500" s="16">
        <v>150000</v>
      </c>
      <c r="C500" s="17" t="s">
        <v>14</v>
      </c>
      <c r="D500" s="17">
        <v>0</v>
      </c>
      <c r="E500" s="17">
        <v>0</v>
      </c>
      <c r="F500" s="17">
        <v>0</v>
      </c>
      <c r="G500" s="17">
        <v>0</v>
      </c>
      <c r="H500" s="17">
        <v>1</v>
      </c>
      <c r="I500" s="17" t="s">
        <v>15</v>
      </c>
      <c r="J500" s="17">
        <v>1</v>
      </c>
      <c r="K500" s="18">
        <v>1</v>
      </c>
      <c r="O500" s="16">
        <v>150000</v>
      </c>
      <c r="P500" s="17">
        <v>0</v>
      </c>
    </row>
    <row r="501" spans="1:16" x14ac:dyDescent="0.3">
      <c r="A501" s="19">
        <v>1114</v>
      </c>
      <c r="B501" s="20">
        <v>40000</v>
      </c>
      <c r="C501" s="21" t="s">
        <v>14</v>
      </c>
      <c r="D501" s="21">
        <v>0</v>
      </c>
      <c r="E501" s="21">
        <v>0</v>
      </c>
      <c r="F501" s="21">
        <v>0</v>
      </c>
      <c r="G501" s="21">
        <v>0</v>
      </c>
      <c r="H501" s="21">
        <v>1</v>
      </c>
      <c r="I501" s="21" t="s">
        <v>15</v>
      </c>
      <c r="J501" s="21">
        <v>1</v>
      </c>
      <c r="K501" s="22">
        <v>1</v>
      </c>
      <c r="O501" s="20">
        <v>40000</v>
      </c>
      <c r="P501" s="21">
        <v>0</v>
      </c>
    </row>
    <row r="502" spans="1:16" x14ac:dyDescent="0.3">
      <c r="A502" s="15">
        <v>1115</v>
      </c>
      <c r="B502" s="16">
        <v>0</v>
      </c>
      <c r="C502" s="17" t="s">
        <v>14</v>
      </c>
      <c r="D502" s="17">
        <v>0</v>
      </c>
      <c r="E502" s="17">
        <v>0</v>
      </c>
      <c r="F502" s="17">
        <v>0</v>
      </c>
      <c r="G502" s="17">
        <v>0</v>
      </c>
      <c r="H502" s="17">
        <v>1</v>
      </c>
      <c r="I502" s="17" t="s">
        <v>15</v>
      </c>
      <c r="J502" s="17">
        <v>1</v>
      </c>
      <c r="K502" s="18">
        <v>1</v>
      </c>
      <c r="O502" s="16">
        <v>0</v>
      </c>
      <c r="P502" s="17">
        <v>0</v>
      </c>
    </row>
    <row r="503" spans="1:16" x14ac:dyDescent="0.3">
      <c r="A503" s="19">
        <v>1116</v>
      </c>
      <c r="B503" s="20">
        <v>93750</v>
      </c>
      <c r="C503" s="21" t="s">
        <v>14</v>
      </c>
      <c r="D503" s="21">
        <v>0</v>
      </c>
      <c r="E503" s="21">
        <v>0</v>
      </c>
      <c r="F503" s="21">
        <v>0</v>
      </c>
      <c r="G503" s="21">
        <v>0</v>
      </c>
      <c r="H503" s="21">
        <v>1</v>
      </c>
      <c r="I503" s="21" t="s">
        <v>15</v>
      </c>
      <c r="J503" s="21">
        <v>0</v>
      </c>
      <c r="K503" s="22">
        <v>1</v>
      </c>
      <c r="O503" s="20">
        <v>93750</v>
      </c>
      <c r="P503" s="21">
        <v>0</v>
      </c>
    </row>
    <row r="504" spans="1:16" x14ac:dyDescent="0.3">
      <c r="A504" s="15">
        <v>1117</v>
      </c>
      <c r="B504" s="16">
        <v>42857.14286</v>
      </c>
      <c r="C504" s="17" t="s">
        <v>14</v>
      </c>
      <c r="D504" s="17">
        <v>0</v>
      </c>
      <c r="E504" s="17">
        <v>0</v>
      </c>
      <c r="F504" s="17">
        <v>0</v>
      </c>
      <c r="G504" s="17">
        <v>0</v>
      </c>
      <c r="H504" s="17">
        <v>1</v>
      </c>
      <c r="I504" s="17" t="s">
        <v>15</v>
      </c>
      <c r="J504" s="17">
        <v>1</v>
      </c>
      <c r="K504" s="18">
        <v>1</v>
      </c>
      <c r="O504" s="16">
        <v>42857.14286</v>
      </c>
      <c r="P504" s="17">
        <v>0</v>
      </c>
    </row>
    <row r="505" spans="1:16" x14ac:dyDescent="0.3">
      <c r="A505" s="19">
        <v>1120</v>
      </c>
      <c r="B505" s="20">
        <v>5000</v>
      </c>
      <c r="C505" s="21" t="s">
        <v>14</v>
      </c>
      <c r="D505" s="21">
        <v>0</v>
      </c>
      <c r="E505" s="21">
        <v>0</v>
      </c>
      <c r="F505" s="21">
        <v>0</v>
      </c>
      <c r="G505" s="21">
        <v>0</v>
      </c>
      <c r="H505" s="21">
        <v>1</v>
      </c>
      <c r="I505" s="21" t="s">
        <v>15</v>
      </c>
      <c r="J505" s="21">
        <v>1</v>
      </c>
      <c r="K505" s="22">
        <v>0</v>
      </c>
      <c r="O505" s="20">
        <v>5000</v>
      </c>
      <c r="P505" s="21">
        <v>0</v>
      </c>
    </row>
    <row r="506" spans="1:16" x14ac:dyDescent="0.3">
      <c r="A506" s="15">
        <v>1121</v>
      </c>
      <c r="B506" s="16">
        <v>12500</v>
      </c>
      <c r="C506" s="17" t="s">
        <v>14</v>
      </c>
      <c r="D506" s="17">
        <v>0</v>
      </c>
      <c r="E506" s="17">
        <v>0</v>
      </c>
      <c r="F506" s="17">
        <v>0</v>
      </c>
      <c r="G506" s="17">
        <v>0</v>
      </c>
      <c r="H506" s="17">
        <v>1</v>
      </c>
      <c r="I506" s="17" t="s">
        <v>15</v>
      </c>
      <c r="J506" s="17">
        <v>1</v>
      </c>
      <c r="K506" s="18">
        <v>1</v>
      </c>
      <c r="O506" s="16">
        <v>12500</v>
      </c>
      <c r="P506" s="17">
        <v>0</v>
      </c>
    </row>
    <row r="507" spans="1:16" x14ac:dyDescent="0.3">
      <c r="A507" s="19">
        <v>1123</v>
      </c>
      <c r="B507" s="20">
        <v>40000</v>
      </c>
      <c r="C507" s="21" t="s">
        <v>14</v>
      </c>
      <c r="D507" s="21">
        <v>0</v>
      </c>
      <c r="E507" s="21">
        <v>0</v>
      </c>
      <c r="F507" s="21">
        <v>0</v>
      </c>
      <c r="G507" s="21">
        <v>0</v>
      </c>
      <c r="H507" s="21">
        <v>1</v>
      </c>
      <c r="I507" s="21" t="s">
        <v>15</v>
      </c>
      <c r="J507" s="21">
        <v>1</v>
      </c>
      <c r="K507" s="22">
        <v>1</v>
      </c>
      <c r="O507" s="20">
        <v>40000</v>
      </c>
      <c r="P507" s="21">
        <v>0</v>
      </c>
    </row>
    <row r="508" spans="1:16" x14ac:dyDescent="0.3">
      <c r="A508" s="15">
        <v>1129</v>
      </c>
      <c r="B508" s="16">
        <v>12500</v>
      </c>
      <c r="C508" s="17" t="s">
        <v>14</v>
      </c>
      <c r="D508" s="17">
        <v>0</v>
      </c>
      <c r="E508" s="17">
        <v>1</v>
      </c>
      <c r="F508" s="17">
        <v>0</v>
      </c>
      <c r="G508" s="17">
        <v>0</v>
      </c>
      <c r="H508" s="17">
        <v>1</v>
      </c>
      <c r="I508" s="17" t="s">
        <v>15</v>
      </c>
      <c r="J508" s="17">
        <v>1</v>
      </c>
      <c r="K508" s="18">
        <v>1</v>
      </c>
      <c r="O508" s="16">
        <v>12500</v>
      </c>
      <c r="P508" s="17">
        <v>0</v>
      </c>
    </row>
    <row r="509" spans="1:16" x14ac:dyDescent="0.3">
      <c r="A509" s="19">
        <v>1131</v>
      </c>
      <c r="B509" s="20">
        <v>10000</v>
      </c>
      <c r="C509" s="21" t="s">
        <v>14</v>
      </c>
      <c r="D509" s="21">
        <v>0</v>
      </c>
      <c r="E509" s="21">
        <v>1</v>
      </c>
      <c r="F509" s="21">
        <v>0</v>
      </c>
      <c r="G509" s="21">
        <v>0</v>
      </c>
      <c r="H509" s="21">
        <v>1</v>
      </c>
      <c r="I509" s="21" t="s">
        <v>15</v>
      </c>
      <c r="J509" s="21">
        <v>0</v>
      </c>
      <c r="K509" s="22">
        <v>1</v>
      </c>
      <c r="O509" s="20">
        <v>10000</v>
      </c>
      <c r="P509" s="21">
        <v>0</v>
      </c>
    </row>
    <row r="510" spans="1:16" x14ac:dyDescent="0.3">
      <c r="A510" s="15">
        <v>1132</v>
      </c>
      <c r="B510" s="16">
        <v>40909.090909999999</v>
      </c>
      <c r="C510" s="17" t="s">
        <v>14</v>
      </c>
      <c r="D510" s="17">
        <v>0</v>
      </c>
      <c r="E510" s="17">
        <v>0</v>
      </c>
      <c r="F510" s="17">
        <v>0</v>
      </c>
      <c r="G510" s="17">
        <v>0</v>
      </c>
      <c r="H510" s="17">
        <v>1</v>
      </c>
      <c r="I510" s="17" t="s">
        <v>15</v>
      </c>
      <c r="J510" s="17">
        <v>1</v>
      </c>
      <c r="K510" s="18">
        <v>1</v>
      </c>
      <c r="O510" s="16">
        <v>40909.090909999999</v>
      </c>
      <c r="P510" s="17">
        <v>0</v>
      </c>
    </row>
    <row r="511" spans="1:16" x14ac:dyDescent="0.3">
      <c r="A511" s="19">
        <v>1133</v>
      </c>
      <c r="B511" s="20">
        <v>2500</v>
      </c>
      <c r="C511" s="21" t="s">
        <v>14</v>
      </c>
      <c r="D511" s="21">
        <v>0</v>
      </c>
      <c r="E511" s="21">
        <v>0</v>
      </c>
      <c r="F511" s="21">
        <v>0</v>
      </c>
      <c r="G511" s="21">
        <v>0</v>
      </c>
      <c r="H511" s="21">
        <v>1</v>
      </c>
      <c r="I511" s="21" t="s">
        <v>15</v>
      </c>
      <c r="J511" s="21">
        <v>1</v>
      </c>
      <c r="K511" s="22">
        <v>1</v>
      </c>
      <c r="O511" s="20">
        <v>2500</v>
      </c>
      <c r="P511" s="21">
        <v>0</v>
      </c>
    </row>
    <row r="512" spans="1:16" x14ac:dyDescent="0.3">
      <c r="A512" s="15">
        <v>1134</v>
      </c>
      <c r="B512" s="16">
        <v>-16666.666669999999</v>
      </c>
      <c r="C512" s="17" t="s">
        <v>14</v>
      </c>
      <c r="D512" s="17">
        <v>0</v>
      </c>
      <c r="E512" s="17">
        <v>0</v>
      </c>
      <c r="F512" s="17">
        <v>0</v>
      </c>
      <c r="G512" s="17">
        <v>0</v>
      </c>
      <c r="H512" s="17">
        <v>1</v>
      </c>
      <c r="I512" s="17" t="s">
        <v>15</v>
      </c>
      <c r="J512" s="17">
        <v>1</v>
      </c>
      <c r="K512" s="18">
        <v>1</v>
      </c>
      <c r="O512" s="16">
        <v>-16666.666669999999</v>
      </c>
      <c r="P512" s="17">
        <v>0</v>
      </c>
    </row>
    <row r="513" spans="1:16" x14ac:dyDescent="0.3">
      <c r="A513" s="19">
        <v>1136</v>
      </c>
      <c r="B513" s="20">
        <v>70000</v>
      </c>
      <c r="C513" s="21" t="s">
        <v>14</v>
      </c>
      <c r="D513" s="21">
        <v>0</v>
      </c>
      <c r="E513" s="21">
        <v>0</v>
      </c>
      <c r="F513" s="21">
        <v>0</v>
      </c>
      <c r="G513" s="21">
        <v>0</v>
      </c>
      <c r="H513" s="21">
        <v>1</v>
      </c>
      <c r="I513" s="21" t="s">
        <v>15</v>
      </c>
      <c r="J513" s="21">
        <v>1</v>
      </c>
      <c r="K513" s="22">
        <v>1</v>
      </c>
      <c r="O513" s="20">
        <v>70000</v>
      </c>
      <c r="P513" s="21">
        <v>0</v>
      </c>
    </row>
    <row r="514" spans="1:16" x14ac:dyDescent="0.3">
      <c r="A514" s="15">
        <v>1137</v>
      </c>
      <c r="B514" s="16">
        <v>60096.153850000002</v>
      </c>
      <c r="C514" s="17" t="s">
        <v>14</v>
      </c>
      <c r="D514" s="17">
        <v>0</v>
      </c>
      <c r="E514" s="17">
        <v>0</v>
      </c>
      <c r="F514" s="17">
        <v>0</v>
      </c>
      <c r="G514" s="17">
        <v>0</v>
      </c>
      <c r="H514" s="17">
        <v>1</v>
      </c>
      <c r="I514" s="17" t="s">
        <v>15</v>
      </c>
      <c r="J514" s="17">
        <v>1</v>
      </c>
      <c r="K514" s="18">
        <v>1</v>
      </c>
      <c r="O514" s="16">
        <v>60096.153850000002</v>
      </c>
      <c r="P514" s="17">
        <v>0</v>
      </c>
    </row>
    <row r="515" spans="1:16" x14ac:dyDescent="0.3">
      <c r="A515" s="19">
        <v>1138</v>
      </c>
      <c r="B515" s="20">
        <v>-4166.6666670000004</v>
      </c>
      <c r="C515" s="21" t="s">
        <v>14</v>
      </c>
      <c r="D515" s="21">
        <v>0</v>
      </c>
      <c r="E515" s="21">
        <v>0</v>
      </c>
      <c r="F515" s="21">
        <v>0</v>
      </c>
      <c r="G515" s="21">
        <v>0</v>
      </c>
      <c r="H515" s="21">
        <v>1</v>
      </c>
      <c r="I515" s="21" t="s">
        <v>15</v>
      </c>
      <c r="J515" s="21">
        <v>1</v>
      </c>
      <c r="K515" s="22">
        <v>1</v>
      </c>
      <c r="O515" s="20">
        <v>-4166.6666670000004</v>
      </c>
      <c r="P515" s="21">
        <v>0</v>
      </c>
    </row>
    <row r="516" spans="1:16" x14ac:dyDescent="0.3">
      <c r="A516" s="15">
        <v>1141</v>
      </c>
      <c r="B516" s="16">
        <v>75000</v>
      </c>
      <c r="C516" s="17" t="s">
        <v>14</v>
      </c>
      <c r="D516" s="17">
        <v>0</v>
      </c>
      <c r="E516" s="17">
        <v>0</v>
      </c>
      <c r="F516" s="17">
        <v>0</v>
      </c>
      <c r="G516" s="17">
        <v>0</v>
      </c>
      <c r="H516" s="17">
        <v>1</v>
      </c>
      <c r="I516" s="17" t="s">
        <v>15</v>
      </c>
      <c r="J516" s="17">
        <v>1</v>
      </c>
      <c r="K516" s="18">
        <v>0</v>
      </c>
      <c r="O516" s="16">
        <v>75000</v>
      </c>
      <c r="P516" s="17">
        <v>0</v>
      </c>
    </row>
    <row r="517" spans="1:16" x14ac:dyDescent="0.3">
      <c r="A517" s="19">
        <v>1143</v>
      </c>
      <c r="B517" s="20">
        <v>100000</v>
      </c>
      <c r="C517" s="21" t="s">
        <v>14</v>
      </c>
      <c r="D517" s="21">
        <v>0</v>
      </c>
      <c r="E517" s="21">
        <v>0</v>
      </c>
      <c r="F517" s="21">
        <v>0</v>
      </c>
      <c r="G517" s="21">
        <v>0</v>
      </c>
      <c r="H517" s="21">
        <v>1</v>
      </c>
      <c r="I517" s="21" t="s">
        <v>15</v>
      </c>
      <c r="J517" s="21">
        <v>1</v>
      </c>
      <c r="K517" s="22">
        <v>1</v>
      </c>
      <c r="O517" s="20">
        <v>100000</v>
      </c>
      <c r="P517" s="21">
        <v>0</v>
      </c>
    </row>
    <row r="518" spans="1:16" x14ac:dyDescent="0.3">
      <c r="A518" s="15">
        <v>1144</v>
      </c>
      <c r="B518" s="16">
        <v>31250</v>
      </c>
      <c r="C518" s="17" t="s">
        <v>14</v>
      </c>
      <c r="D518" s="17">
        <v>0</v>
      </c>
      <c r="E518" s="17">
        <v>1</v>
      </c>
      <c r="F518" s="17">
        <v>0</v>
      </c>
      <c r="G518" s="17">
        <v>0</v>
      </c>
      <c r="H518" s="17">
        <v>1</v>
      </c>
      <c r="I518" s="17" t="s">
        <v>15</v>
      </c>
      <c r="J518" s="17">
        <v>1</v>
      </c>
      <c r="K518" s="18">
        <v>1</v>
      </c>
      <c r="O518" s="16">
        <v>31250</v>
      </c>
      <c r="P518" s="17">
        <v>0</v>
      </c>
    </row>
    <row r="519" spans="1:16" x14ac:dyDescent="0.3">
      <c r="A519" s="19">
        <v>1145</v>
      </c>
      <c r="B519" s="20">
        <v>20000</v>
      </c>
      <c r="C519" s="21" t="s">
        <v>14</v>
      </c>
      <c r="D519" s="21">
        <v>0</v>
      </c>
      <c r="E519" s="21">
        <v>0</v>
      </c>
      <c r="F519" s="21">
        <v>0</v>
      </c>
      <c r="G519" s="21">
        <v>0</v>
      </c>
      <c r="H519" s="21">
        <v>1</v>
      </c>
      <c r="I519" s="21" t="s">
        <v>15</v>
      </c>
      <c r="J519" s="21">
        <v>1</v>
      </c>
      <c r="K519" s="22">
        <v>1</v>
      </c>
      <c r="O519" s="20">
        <v>20000</v>
      </c>
      <c r="P519" s="21">
        <v>0</v>
      </c>
    </row>
    <row r="520" spans="1:16" x14ac:dyDescent="0.3">
      <c r="A520" s="15">
        <v>1148</v>
      </c>
      <c r="B520" s="16">
        <v>90909.090909999999</v>
      </c>
      <c r="C520" s="17" t="s">
        <v>14</v>
      </c>
      <c r="D520" s="17">
        <v>0</v>
      </c>
      <c r="E520" s="17">
        <v>1</v>
      </c>
      <c r="F520" s="17">
        <v>0</v>
      </c>
      <c r="G520" s="17">
        <v>0</v>
      </c>
      <c r="H520" s="17">
        <v>1</v>
      </c>
      <c r="I520" s="17" t="s">
        <v>15</v>
      </c>
      <c r="J520" s="17">
        <v>1</v>
      </c>
      <c r="K520" s="18">
        <v>1</v>
      </c>
      <c r="O520" s="16">
        <v>90909.090909999999</v>
      </c>
      <c r="P520" s="17">
        <v>0</v>
      </c>
    </row>
    <row r="521" spans="1:16" x14ac:dyDescent="0.3">
      <c r="A521" s="19">
        <v>1152</v>
      </c>
      <c r="B521" s="20">
        <v>25000</v>
      </c>
      <c r="C521" s="21" t="s">
        <v>14</v>
      </c>
      <c r="D521" s="21">
        <v>0</v>
      </c>
      <c r="E521" s="21">
        <v>0</v>
      </c>
      <c r="F521" s="21">
        <v>0</v>
      </c>
      <c r="G521" s="21">
        <v>0</v>
      </c>
      <c r="H521" s="21">
        <v>1</v>
      </c>
      <c r="I521" s="21" t="s">
        <v>15</v>
      </c>
      <c r="J521" s="21">
        <v>0</v>
      </c>
      <c r="K521" s="22">
        <v>1</v>
      </c>
      <c r="O521" s="20">
        <v>25000</v>
      </c>
      <c r="P521" s="21">
        <v>0</v>
      </c>
    </row>
    <row r="522" spans="1:16" x14ac:dyDescent="0.3">
      <c r="A522" s="15">
        <v>1154</v>
      </c>
      <c r="B522" s="16">
        <v>40000</v>
      </c>
      <c r="C522" s="17" t="s">
        <v>14</v>
      </c>
      <c r="D522" s="17">
        <v>0</v>
      </c>
      <c r="E522" s="17">
        <v>1</v>
      </c>
      <c r="F522" s="17">
        <v>0</v>
      </c>
      <c r="G522" s="17">
        <v>0</v>
      </c>
      <c r="H522" s="17">
        <v>1</v>
      </c>
      <c r="I522" s="17" t="s">
        <v>15</v>
      </c>
      <c r="J522" s="17">
        <v>1</v>
      </c>
      <c r="K522" s="18">
        <v>1</v>
      </c>
      <c r="O522" s="16">
        <v>40000</v>
      </c>
      <c r="P522" s="17">
        <v>0</v>
      </c>
    </row>
    <row r="523" spans="1:16" x14ac:dyDescent="0.3">
      <c r="A523" s="19">
        <v>1155</v>
      </c>
      <c r="B523" s="20">
        <v>40000</v>
      </c>
      <c r="C523" s="21" t="s">
        <v>14</v>
      </c>
      <c r="D523" s="21">
        <v>0</v>
      </c>
      <c r="E523" s="21">
        <v>0</v>
      </c>
      <c r="F523" s="21">
        <v>0</v>
      </c>
      <c r="G523" s="21">
        <v>0</v>
      </c>
      <c r="H523" s="21">
        <v>1</v>
      </c>
      <c r="I523" s="21" t="s">
        <v>15</v>
      </c>
      <c r="J523" s="21">
        <v>1</v>
      </c>
      <c r="K523" s="22">
        <v>1</v>
      </c>
      <c r="O523" s="20">
        <v>40000</v>
      </c>
      <c r="P523" s="21">
        <v>0</v>
      </c>
    </row>
    <row r="524" spans="1:16" x14ac:dyDescent="0.3">
      <c r="A524" s="15">
        <v>1163</v>
      </c>
      <c r="B524" s="16">
        <v>32573.2899</v>
      </c>
      <c r="C524" s="17" t="s">
        <v>14</v>
      </c>
      <c r="D524" s="17">
        <v>0</v>
      </c>
      <c r="E524" s="17">
        <v>0</v>
      </c>
      <c r="F524" s="17">
        <v>0</v>
      </c>
      <c r="G524" s="17">
        <v>1</v>
      </c>
      <c r="H524" s="17">
        <v>0</v>
      </c>
      <c r="I524" s="17" t="s">
        <v>16</v>
      </c>
      <c r="J524" s="17">
        <v>0</v>
      </c>
      <c r="K524" s="18">
        <v>1</v>
      </c>
      <c r="O524" s="16">
        <v>32573.2899</v>
      </c>
      <c r="P524" s="17">
        <v>0</v>
      </c>
    </row>
    <row r="525" spans="1:16" x14ac:dyDescent="0.3">
      <c r="A525" s="19">
        <v>1165</v>
      </c>
      <c r="B525" s="20">
        <v>100000</v>
      </c>
      <c r="C525" s="21" t="s">
        <v>14</v>
      </c>
      <c r="D525" s="21">
        <v>0</v>
      </c>
      <c r="E525" s="21">
        <v>0</v>
      </c>
      <c r="F525" s="21">
        <v>0</v>
      </c>
      <c r="G525" s="21">
        <v>1</v>
      </c>
      <c r="H525" s="21">
        <v>0</v>
      </c>
      <c r="I525" s="21" t="s">
        <v>16</v>
      </c>
      <c r="J525" s="21">
        <v>1</v>
      </c>
      <c r="K525" s="22">
        <v>0</v>
      </c>
      <c r="O525" s="20">
        <v>100000</v>
      </c>
      <c r="P525" s="21">
        <v>0</v>
      </c>
    </row>
    <row r="526" spans="1:16" x14ac:dyDescent="0.3">
      <c r="A526" s="15">
        <v>1170</v>
      </c>
      <c r="B526" s="16">
        <v>45731.707320000001</v>
      </c>
      <c r="C526" s="17" t="s">
        <v>14</v>
      </c>
      <c r="D526" s="17">
        <v>0</v>
      </c>
      <c r="E526" s="17">
        <v>1</v>
      </c>
      <c r="F526" s="17">
        <v>0</v>
      </c>
      <c r="G526" s="17">
        <v>1</v>
      </c>
      <c r="H526" s="17">
        <v>0</v>
      </c>
      <c r="I526" s="17" t="s">
        <v>16</v>
      </c>
      <c r="J526" s="17">
        <v>0</v>
      </c>
      <c r="K526" s="18">
        <v>1</v>
      </c>
      <c r="O526" s="16">
        <v>45731.707320000001</v>
      </c>
      <c r="P526" s="17">
        <v>0</v>
      </c>
    </row>
    <row r="527" spans="1:16" x14ac:dyDescent="0.3">
      <c r="A527" s="19">
        <v>1173</v>
      </c>
      <c r="B527" s="20">
        <v>0</v>
      </c>
      <c r="C527" s="21" t="s">
        <v>14</v>
      </c>
      <c r="D527" s="21">
        <v>0</v>
      </c>
      <c r="E527" s="21">
        <v>0</v>
      </c>
      <c r="F527" s="21">
        <v>0</v>
      </c>
      <c r="G527" s="21">
        <v>1</v>
      </c>
      <c r="H527" s="21">
        <v>0</v>
      </c>
      <c r="I527" s="21" t="s">
        <v>16</v>
      </c>
      <c r="J527" s="21">
        <v>0</v>
      </c>
      <c r="K527" s="22">
        <v>1</v>
      </c>
      <c r="O527" s="20">
        <v>0</v>
      </c>
      <c r="P527" s="21">
        <v>0</v>
      </c>
    </row>
    <row r="528" spans="1:16" x14ac:dyDescent="0.3">
      <c r="A528" s="15">
        <v>1175</v>
      </c>
      <c r="B528" s="16">
        <v>5000</v>
      </c>
      <c r="C528" s="17" t="s">
        <v>14</v>
      </c>
      <c r="D528" s="17">
        <v>0</v>
      </c>
      <c r="E528" s="17">
        <v>0</v>
      </c>
      <c r="F528" s="17">
        <v>0</v>
      </c>
      <c r="G528" s="17">
        <v>0</v>
      </c>
      <c r="H528" s="17">
        <v>1</v>
      </c>
      <c r="I528" s="17" t="s">
        <v>16</v>
      </c>
      <c r="J528" s="17">
        <v>0</v>
      </c>
      <c r="K528" s="18">
        <v>1</v>
      </c>
      <c r="O528" s="16">
        <v>5000</v>
      </c>
      <c r="P528" s="17">
        <v>0</v>
      </c>
    </row>
    <row r="529" spans="1:16" x14ac:dyDescent="0.3">
      <c r="A529" s="19">
        <v>1177</v>
      </c>
      <c r="B529" s="20">
        <v>17857.14286</v>
      </c>
      <c r="C529" s="21" t="s">
        <v>14</v>
      </c>
      <c r="D529" s="21">
        <v>0</v>
      </c>
      <c r="E529" s="21">
        <v>1</v>
      </c>
      <c r="F529" s="21">
        <v>0</v>
      </c>
      <c r="G529" s="21">
        <v>1</v>
      </c>
      <c r="H529" s="21">
        <v>0</v>
      </c>
      <c r="I529" s="21" t="s">
        <v>16</v>
      </c>
      <c r="J529" s="21">
        <v>1</v>
      </c>
      <c r="K529" s="22">
        <v>1</v>
      </c>
      <c r="O529" s="20">
        <v>17857.14286</v>
      </c>
      <c r="P529" s="21">
        <v>0</v>
      </c>
    </row>
    <row r="530" spans="1:16" x14ac:dyDescent="0.3">
      <c r="A530" s="15">
        <v>1183</v>
      </c>
      <c r="B530" s="16">
        <v>6250</v>
      </c>
      <c r="C530" s="17" t="s">
        <v>14</v>
      </c>
      <c r="D530" s="17">
        <v>0</v>
      </c>
      <c r="E530" s="17">
        <v>0</v>
      </c>
      <c r="F530" s="17">
        <v>0</v>
      </c>
      <c r="G530" s="17">
        <v>0</v>
      </c>
      <c r="H530" s="17">
        <v>1</v>
      </c>
      <c r="I530" s="17" t="s">
        <v>16</v>
      </c>
      <c r="J530" s="17">
        <v>1</v>
      </c>
      <c r="K530" s="18">
        <v>1</v>
      </c>
      <c r="O530" s="16">
        <v>6250</v>
      </c>
      <c r="P530" s="17">
        <v>0</v>
      </c>
    </row>
    <row r="531" spans="1:16" x14ac:dyDescent="0.3">
      <c r="A531" s="19">
        <v>1184</v>
      </c>
      <c r="B531" s="20">
        <v>25000</v>
      </c>
      <c r="C531" s="21" t="s">
        <v>14</v>
      </c>
      <c r="D531" s="21">
        <v>0</v>
      </c>
      <c r="E531" s="21">
        <v>0</v>
      </c>
      <c r="F531" s="21">
        <v>0</v>
      </c>
      <c r="G531" s="21">
        <v>1</v>
      </c>
      <c r="H531" s="21">
        <v>0</v>
      </c>
      <c r="I531" s="21" t="s">
        <v>16</v>
      </c>
      <c r="J531" s="21">
        <v>0</v>
      </c>
      <c r="K531" s="22">
        <v>0</v>
      </c>
      <c r="O531" s="20">
        <v>25000</v>
      </c>
      <c r="P531" s="21">
        <v>0</v>
      </c>
    </row>
    <row r="532" spans="1:16" x14ac:dyDescent="0.3">
      <c r="A532" s="15">
        <v>1185</v>
      </c>
      <c r="B532" s="16">
        <v>1000</v>
      </c>
      <c r="C532" s="17" t="s">
        <v>12</v>
      </c>
      <c r="D532" s="17">
        <v>1</v>
      </c>
      <c r="E532" s="17">
        <v>0</v>
      </c>
      <c r="F532" s="17">
        <v>0</v>
      </c>
      <c r="G532" s="17">
        <v>1</v>
      </c>
      <c r="H532" s="17">
        <v>0</v>
      </c>
      <c r="I532" s="17" t="s">
        <v>16</v>
      </c>
      <c r="J532" s="17">
        <v>1</v>
      </c>
      <c r="K532" s="18">
        <v>0</v>
      </c>
      <c r="O532" s="16">
        <v>1000</v>
      </c>
      <c r="P532" s="17">
        <v>0</v>
      </c>
    </row>
    <row r="533" spans="1:16" x14ac:dyDescent="0.3">
      <c r="A533" s="19">
        <v>1186</v>
      </c>
      <c r="B533" s="20">
        <v>16666.666669999999</v>
      </c>
      <c r="C533" s="21" t="s">
        <v>14</v>
      </c>
      <c r="D533" s="21">
        <v>0</v>
      </c>
      <c r="E533" s="21">
        <v>0</v>
      </c>
      <c r="F533" s="21">
        <v>0</v>
      </c>
      <c r="G533" s="21">
        <v>1</v>
      </c>
      <c r="H533" s="21">
        <v>0</v>
      </c>
      <c r="I533" s="21" t="s">
        <v>16</v>
      </c>
      <c r="J533" s="21">
        <v>0</v>
      </c>
      <c r="K533" s="22">
        <v>0</v>
      </c>
      <c r="O533" s="20">
        <v>16666.666669999999</v>
      </c>
      <c r="P533" s="21">
        <v>0</v>
      </c>
    </row>
    <row r="534" spans="1:16" x14ac:dyDescent="0.3">
      <c r="A534" s="15">
        <v>1187</v>
      </c>
      <c r="B534" s="16">
        <v>2500</v>
      </c>
      <c r="C534" s="17" t="s">
        <v>14</v>
      </c>
      <c r="D534" s="17">
        <v>0</v>
      </c>
      <c r="E534" s="17">
        <v>0</v>
      </c>
      <c r="F534" s="17">
        <v>0</v>
      </c>
      <c r="G534" s="17">
        <v>1</v>
      </c>
      <c r="H534" s="17">
        <v>0</v>
      </c>
      <c r="I534" s="17" t="s">
        <v>16</v>
      </c>
      <c r="J534" s="17">
        <v>1</v>
      </c>
      <c r="K534" s="18">
        <v>0</v>
      </c>
      <c r="O534" s="16">
        <v>2500</v>
      </c>
      <c r="P534" s="17">
        <v>0</v>
      </c>
    </row>
    <row r="535" spans="1:16" x14ac:dyDescent="0.3">
      <c r="A535" s="19">
        <v>1188</v>
      </c>
      <c r="B535" s="20">
        <v>5000</v>
      </c>
      <c r="C535" s="21" t="s">
        <v>14</v>
      </c>
      <c r="D535" s="21">
        <v>0</v>
      </c>
      <c r="E535" s="21">
        <v>0</v>
      </c>
      <c r="F535" s="21">
        <v>0</v>
      </c>
      <c r="G535" s="21">
        <v>0</v>
      </c>
      <c r="H535" s="21">
        <v>1</v>
      </c>
      <c r="I535" s="21" t="s">
        <v>16</v>
      </c>
      <c r="J535" s="21">
        <v>1</v>
      </c>
      <c r="K535" s="22">
        <v>0</v>
      </c>
      <c r="O535" s="20">
        <v>5000</v>
      </c>
      <c r="P535" s="21">
        <v>0</v>
      </c>
    </row>
    <row r="536" spans="1:16" x14ac:dyDescent="0.3">
      <c r="A536" s="15">
        <v>1189</v>
      </c>
      <c r="B536" s="16">
        <v>6000</v>
      </c>
      <c r="C536" s="17" t="s">
        <v>14</v>
      </c>
      <c r="D536" s="17">
        <v>0</v>
      </c>
      <c r="E536" s="17">
        <v>0</v>
      </c>
      <c r="F536" s="17">
        <v>0</v>
      </c>
      <c r="G536" s="17">
        <v>1</v>
      </c>
      <c r="H536" s="17">
        <v>0</v>
      </c>
      <c r="I536" s="17" t="s">
        <v>16</v>
      </c>
      <c r="J536" s="17">
        <v>0</v>
      </c>
      <c r="K536" s="18">
        <v>0</v>
      </c>
      <c r="O536" s="16">
        <v>6000</v>
      </c>
      <c r="P536" s="17">
        <v>0</v>
      </c>
    </row>
    <row r="537" spans="1:16" x14ac:dyDescent="0.3">
      <c r="A537" s="19">
        <v>1190</v>
      </c>
      <c r="B537" s="20">
        <v>5000</v>
      </c>
      <c r="C537" s="21" t="s">
        <v>14</v>
      </c>
      <c r="D537" s="21">
        <v>0</v>
      </c>
      <c r="E537" s="21">
        <v>0</v>
      </c>
      <c r="F537" s="21">
        <v>0</v>
      </c>
      <c r="G537" s="21">
        <v>0</v>
      </c>
      <c r="H537" s="21">
        <v>1</v>
      </c>
      <c r="I537" s="21" t="s">
        <v>16</v>
      </c>
      <c r="J537" s="21">
        <v>1</v>
      </c>
      <c r="K537" s="22">
        <v>0</v>
      </c>
      <c r="O537" s="20">
        <v>5000</v>
      </c>
      <c r="P537" s="21">
        <v>0</v>
      </c>
    </row>
    <row r="538" spans="1:16" x14ac:dyDescent="0.3">
      <c r="A538" s="15">
        <v>1191</v>
      </c>
      <c r="B538" s="16">
        <v>10000</v>
      </c>
      <c r="C538" s="17" t="s">
        <v>14</v>
      </c>
      <c r="D538" s="17">
        <v>0</v>
      </c>
      <c r="E538" s="17">
        <v>0</v>
      </c>
      <c r="F538" s="17">
        <v>0</v>
      </c>
      <c r="G538" s="17">
        <v>0</v>
      </c>
      <c r="H538" s="17">
        <v>1</v>
      </c>
      <c r="I538" s="17" t="s">
        <v>16</v>
      </c>
      <c r="J538" s="17">
        <v>1</v>
      </c>
      <c r="K538" s="18">
        <v>0</v>
      </c>
      <c r="O538" s="16">
        <v>10000</v>
      </c>
      <c r="P538" s="17">
        <v>0</v>
      </c>
    </row>
    <row r="539" spans="1:16" x14ac:dyDescent="0.3">
      <c r="A539" s="19">
        <v>1192</v>
      </c>
      <c r="B539" s="20">
        <v>0</v>
      </c>
      <c r="C539" s="21" t="s">
        <v>12</v>
      </c>
      <c r="D539" s="21">
        <v>1</v>
      </c>
      <c r="E539" s="21">
        <v>0</v>
      </c>
      <c r="F539" s="21">
        <v>0</v>
      </c>
      <c r="G539" s="21">
        <v>1</v>
      </c>
      <c r="H539" s="21">
        <v>0</v>
      </c>
      <c r="I539" s="21" t="s">
        <v>16</v>
      </c>
      <c r="J539" s="21">
        <v>0</v>
      </c>
      <c r="K539" s="22">
        <v>1</v>
      </c>
      <c r="O539" s="20">
        <v>0</v>
      </c>
      <c r="P539" s="21">
        <v>0</v>
      </c>
    </row>
    <row r="540" spans="1:16" x14ac:dyDescent="0.3">
      <c r="A540" s="15">
        <v>1195</v>
      </c>
      <c r="B540" s="16">
        <v>20000</v>
      </c>
      <c r="C540" s="17" t="s">
        <v>14</v>
      </c>
      <c r="D540" s="17">
        <v>0</v>
      </c>
      <c r="E540" s="17">
        <v>0</v>
      </c>
      <c r="F540" s="17">
        <v>0</v>
      </c>
      <c r="G540" s="17">
        <v>1</v>
      </c>
      <c r="H540" s="17">
        <v>0</v>
      </c>
      <c r="I540" s="17" t="s">
        <v>16</v>
      </c>
      <c r="J540" s="17">
        <v>1</v>
      </c>
      <c r="K540" s="18">
        <v>1</v>
      </c>
      <c r="O540" s="16">
        <v>20000</v>
      </c>
      <c r="P540" s="17">
        <v>0</v>
      </c>
    </row>
    <row r="541" spans="1:16" x14ac:dyDescent="0.3">
      <c r="A541" s="19">
        <v>1198</v>
      </c>
      <c r="B541" s="20">
        <v>41666.666669999999</v>
      </c>
      <c r="C541" s="21" t="s">
        <v>14</v>
      </c>
      <c r="D541" s="21">
        <v>0</v>
      </c>
      <c r="E541" s="21">
        <v>0</v>
      </c>
      <c r="F541" s="21">
        <v>0</v>
      </c>
      <c r="G541" s="21">
        <v>0</v>
      </c>
      <c r="H541" s="21">
        <v>1</v>
      </c>
      <c r="I541" s="21" t="s">
        <v>16</v>
      </c>
      <c r="J541" s="21">
        <v>0</v>
      </c>
      <c r="K541" s="22">
        <v>0</v>
      </c>
      <c r="O541" s="20">
        <v>41666.666669999999</v>
      </c>
      <c r="P541" s="21">
        <v>0</v>
      </c>
    </row>
    <row r="542" spans="1:16" x14ac:dyDescent="0.3">
      <c r="A542" s="15">
        <v>1199</v>
      </c>
      <c r="B542" s="16">
        <v>41666.666669999999</v>
      </c>
      <c r="C542" s="17" t="s">
        <v>12</v>
      </c>
      <c r="D542" s="17">
        <v>1</v>
      </c>
      <c r="E542" s="17">
        <v>0</v>
      </c>
      <c r="F542" s="17">
        <v>1</v>
      </c>
      <c r="G542" s="17">
        <v>0</v>
      </c>
      <c r="H542" s="17">
        <v>1</v>
      </c>
      <c r="I542" s="17" t="s">
        <v>16</v>
      </c>
      <c r="J542" s="17">
        <v>0</v>
      </c>
      <c r="K542" s="18">
        <v>1</v>
      </c>
      <c r="O542" s="16">
        <v>41666.666669999999</v>
      </c>
      <c r="P542" s="17">
        <v>1</v>
      </c>
    </row>
    <row r="543" spans="1:16" x14ac:dyDescent="0.3">
      <c r="A543" s="19">
        <v>1200</v>
      </c>
      <c r="B543" s="20">
        <v>8426.9662919999992</v>
      </c>
      <c r="C543" s="21" t="s">
        <v>14</v>
      </c>
      <c r="D543" s="21">
        <v>0</v>
      </c>
      <c r="E543" s="21">
        <v>1</v>
      </c>
      <c r="F543" s="21">
        <v>1</v>
      </c>
      <c r="G543" s="21">
        <v>0</v>
      </c>
      <c r="H543" s="21">
        <v>1</v>
      </c>
      <c r="I543" s="21" t="s">
        <v>16</v>
      </c>
      <c r="J543" s="21">
        <v>0</v>
      </c>
      <c r="K543" s="22">
        <v>1</v>
      </c>
      <c r="O543" s="20">
        <v>8426.9662919999992</v>
      </c>
      <c r="P543" s="21">
        <v>1</v>
      </c>
    </row>
    <row r="544" spans="1:16" x14ac:dyDescent="0.3">
      <c r="A544" s="15">
        <v>1201</v>
      </c>
      <c r="B544" s="16">
        <v>9090.9090909999995</v>
      </c>
      <c r="C544" s="17" t="s">
        <v>14</v>
      </c>
      <c r="D544" s="17">
        <v>0</v>
      </c>
      <c r="E544" s="17">
        <v>1</v>
      </c>
      <c r="F544" s="17">
        <v>1</v>
      </c>
      <c r="G544" s="17">
        <v>0</v>
      </c>
      <c r="H544" s="17">
        <v>1</v>
      </c>
      <c r="I544" s="17" t="s">
        <v>16</v>
      </c>
      <c r="J544" s="17">
        <v>0</v>
      </c>
      <c r="K544" s="18">
        <v>1</v>
      </c>
      <c r="O544" s="16">
        <v>9090.9090909999995</v>
      </c>
      <c r="P544" s="17">
        <v>1</v>
      </c>
    </row>
    <row r="545" spans="1:16" x14ac:dyDescent="0.3">
      <c r="A545" s="19">
        <v>1202</v>
      </c>
      <c r="B545" s="20">
        <v>5000</v>
      </c>
      <c r="C545" s="21" t="s">
        <v>14</v>
      </c>
      <c r="D545" s="21">
        <v>0</v>
      </c>
      <c r="E545" s="21">
        <v>0</v>
      </c>
      <c r="F545" s="21">
        <v>0</v>
      </c>
      <c r="G545" s="21">
        <v>0</v>
      </c>
      <c r="H545" s="21">
        <v>1</v>
      </c>
      <c r="I545" s="21" t="s">
        <v>16</v>
      </c>
      <c r="J545" s="21">
        <v>1</v>
      </c>
      <c r="K545" s="22">
        <v>1</v>
      </c>
      <c r="O545" s="20">
        <v>5000</v>
      </c>
      <c r="P545" s="21">
        <v>0</v>
      </c>
    </row>
    <row r="546" spans="1:16" x14ac:dyDescent="0.3">
      <c r="A546" s="15">
        <v>1206</v>
      </c>
      <c r="B546" s="16">
        <v>4000</v>
      </c>
      <c r="C546" s="17" t="s">
        <v>14</v>
      </c>
      <c r="D546" s="17">
        <v>0</v>
      </c>
      <c r="E546" s="17">
        <v>0</v>
      </c>
      <c r="F546" s="17">
        <v>0</v>
      </c>
      <c r="G546" s="17">
        <v>1</v>
      </c>
      <c r="H546" s="17">
        <v>0</v>
      </c>
      <c r="I546" s="17" t="s">
        <v>16</v>
      </c>
      <c r="J546" s="17">
        <v>0</v>
      </c>
      <c r="K546" s="18">
        <v>0</v>
      </c>
      <c r="O546" s="16">
        <v>4000</v>
      </c>
      <c r="P546" s="17">
        <v>0</v>
      </c>
    </row>
    <row r="547" spans="1:16" x14ac:dyDescent="0.3">
      <c r="A547" s="19">
        <v>1207</v>
      </c>
      <c r="B547" s="20">
        <v>20000</v>
      </c>
      <c r="C547" s="21" t="s">
        <v>14</v>
      </c>
      <c r="D547" s="21">
        <v>0</v>
      </c>
      <c r="E547" s="21">
        <v>0</v>
      </c>
      <c r="F547" s="21">
        <v>0</v>
      </c>
      <c r="G547" s="21">
        <v>1</v>
      </c>
      <c r="H547" s="21">
        <v>0</v>
      </c>
      <c r="I547" s="21" t="s">
        <v>16</v>
      </c>
      <c r="J547" s="21">
        <v>0</v>
      </c>
      <c r="K547" s="22">
        <v>1</v>
      </c>
      <c r="O547" s="20">
        <v>20000</v>
      </c>
      <c r="P547" s="21">
        <v>0</v>
      </c>
    </row>
    <row r="548" spans="1:16" x14ac:dyDescent="0.3">
      <c r="A548" s="15">
        <v>1209</v>
      </c>
      <c r="B548" s="16">
        <v>18181.818179999998</v>
      </c>
      <c r="C548" s="17" t="s">
        <v>14</v>
      </c>
      <c r="D548" s="17">
        <v>0</v>
      </c>
      <c r="E548" s="17">
        <v>0</v>
      </c>
      <c r="F548" s="17">
        <v>0</v>
      </c>
      <c r="G548" s="17">
        <v>0</v>
      </c>
      <c r="H548" s="17">
        <v>1</v>
      </c>
      <c r="I548" s="17" t="s">
        <v>16</v>
      </c>
      <c r="J548" s="17">
        <v>0</v>
      </c>
      <c r="K548" s="18">
        <v>1</v>
      </c>
      <c r="O548" s="16">
        <v>18181.818179999998</v>
      </c>
      <c r="P548" s="17">
        <v>0</v>
      </c>
    </row>
    <row r="549" spans="1:16" x14ac:dyDescent="0.3">
      <c r="A549" s="19">
        <v>1215</v>
      </c>
      <c r="B549" s="20">
        <v>3333.333333</v>
      </c>
      <c r="C549" s="21" t="s">
        <v>12</v>
      </c>
      <c r="D549" s="21">
        <v>1</v>
      </c>
      <c r="E549" s="21">
        <v>0</v>
      </c>
      <c r="F549" s="21">
        <v>1</v>
      </c>
      <c r="G549" s="21">
        <v>0</v>
      </c>
      <c r="H549" s="21">
        <v>1</v>
      </c>
      <c r="I549" s="21" t="s">
        <v>16</v>
      </c>
      <c r="J549" s="21">
        <v>0</v>
      </c>
      <c r="K549" s="22">
        <v>1</v>
      </c>
      <c r="O549" s="20">
        <v>3333.333333</v>
      </c>
      <c r="P549" s="21">
        <v>1</v>
      </c>
    </row>
    <row r="550" spans="1:16" x14ac:dyDescent="0.3">
      <c r="A550" s="15">
        <v>1217</v>
      </c>
      <c r="B550" s="16">
        <v>3636.363636</v>
      </c>
      <c r="C550" s="17" t="s">
        <v>14</v>
      </c>
      <c r="D550" s="17">
        <v>0</v>
      </c>
      <c r="E550" s="17">
        <v>0</v>
      </c>
      <c r="F550" s="17">
        <v>1</v>
      </c>
      <c r="G550" s="17">
        <v>0</v>
      </c>
      <c r="H550" s="17">
        <v>1</v>
      </c>
      <c r="I550" s="17" t="s">
        <v>16</v>
      </c>
      <c r="J550" s="17">
        <v>0</v>
      </c>
      <c r="K550" s="18">
        <v>0</v>
      </c>
      <c r="O550" s="16">
        <v>3636.363636</v>
      </c>
      <c r="P550" s="17">
        <v>1</v>
      </c>
    </row>
    <row r="551" spans="1:16" x14ac:dyDescent="0.3">
      <c r="A551" s="19">
        <v>1219</v>
      </c>
      <c r="B551" s="20">
        <v>23364.485980000001</v>
      </c>
      <c r="C551" s="21" t="s">
        <v>14</v>
      </c>
      <c r="D551" s="21">
        <v>0</v>
      </c>
      <c r="E551" s="21">
        <v>0</v>
      </c>
      <c r="F551" s="21">
        <v>0</v>
      </c>
      <c r="G551" s="21">
        <v>1</v>
      </c>
      <c r="H551" s="21">
        <v>0</v>
      </c>
      <c r="I551" s="21" t="s">
        <v>16</v>
      </c>
      <c r="J551" s="21">
        <v>1</v>
      </c>
      <c r="K551" s="22">
        <v>1</v>
      </c>
      <c r="O551" s="20">
        <v>23364.485980000001</v>
      </c>
      <c r="P551" s="21">
        <v>0</v>
      </c>
    </row>
    <row r="552" spans="1:16" x14ac:dyDescent="0.3">
      <c r="A552" s="15">
        <v>1220</v>
      </c>
      <c r="B552" s="16">
        <v>6887.052342</v>
      </c>
      <c r="C552" s="17" t="s">
        <v>14</v>
      </c>
      <c r="D552" s="17">
        <v>0</v>
      </c>
      <c r="E552" s="17">
        <v>1</v>
      </c>
      <c r="F552" s="17">
        <v>0</v>
      </c>
      <c r="G552" s="17">
        <v>1</v>
      </c>
      <c r="H552" s="17">
        <v>0</v>
      </c>
      <c r="I552" s="17" t="s">
        <v>16</v>
      </c>
      <c r="J552" s="17">
        <v>0</v>
      </c>
      <c r="K552" s="18">
        <v>1</v>
      </c>
      <c r="O552" s="16">
        <v>6887.052342</v>
      </c>
      <c r="P552" s="17">
        <v>0</v>
      </c>
    </row>
    <row r="553" spans="1:16" x14ac:dyDescent="0.3">
      <c r="A553" s="19">
        <v>1222</v>
      </c>
      <c r="B553" s="20">
        <v>8888.8888889999998</v>
      </c>
      <c r="C553" s="21" t="s">
        <v>14</v>
      </c>
      <c r="D553" s="21">
        <v>0</v>
      </c>
      <c r="E553" s="21">
        <v>1</v>
      </c>
      <c r="F553" s="21">
        <v>1</v>
      </c>
      <c r="G553" s="21">
        <v>1</v>
      </c>
      <c r="H553" s="21">
        <v>0</v>
      </c>
      <c r="I553" s="21" t="s">
        <v>16</v>
      </c>
      <c r="J553" s="21">
        <v>0</v>
      </c>
      <c r="K553" s="22">
        <v>1</v>
      </c>
      <c r="O553" s="20">
        <v>8888.8888889999998</v>
      </c>
      <c r="P553" s="21">
        <v>1</v>
      </c>
    </row>
    <row r="554" spans="1:16" x14ac:dyDescent="0.3">
      <c r="A554" s="15">
        <v>1223</v>
      </c>
      <c r="B554" s="16">
        <v>-3571.4285709999999</v>
      </c>
      <c r="C554" s="17" t="s">
        <v>14</v>
      </c>
      <c r="D554" s="17">
        <v>0</v>
      </c>
      <c r="E554" s="17">
        <v>0</v>
      </c>
      <c r="F554" s="17">
        <v>0</v>
      </c>
      <c r="G554" s="17">
        <v>0</v>
      </c>
      <c r="H554" s="17">
        <v>1</v>
      </c>
      <c r="I554" s="17" t="s">
        <v>16</v>
      </c>
      <c r="J554" s="17">
        <v>0</v>
      </c>
      <c r="K554" s="18">
        <v>0</v>
      </c>
      <c r="O554" s="16">
        <v>-3571.4285709999999</v>
      </c>
      <c r="P554" s="17">
        <v>0</v>
      </c>
    </row>
    <row r="555" spans="1:16" x14ac:dyDescent="0.3">
      <c r="A555" s="19">
        <v>1224</v>
      </c>
      <c r="B555" s="20">
        <v>34825.870649999997</v>
      </c>
      <c r="C555" s="21" t="s">
        <v>12</v>
      </c>
      <c r="D555" s="21">
        <v>1</v>
      </c>
      <c r="E555" s="21">
        <v>0</v>
      </c>
      <c r="F555" s="21">
        <v>1</v>
      </c>
      <c r="G555" s="21">
        <v>1</v>
      </c>
      <c r="H555" s="21">
        <v>0</v>
      </c>
      <c r="I555" s="21" t="s">
        <v>16</v>
      </c>
      <c r="J555" s="21">
        <v>0</v>
      </c>
      <c r="K555" s="22">
        <v>1</v>
      </c>
      <c r="O555" s="20">
        <v>34825.870649999997</v>
      </c>
      <c r="P555" s="21">
        <v>1</v>
      </c>
    </row>
    <row r="556" spans="1:16" x14ac:dyDescent="0.3">
      <c r="A556" s="15">
        <v>1226</v>
      </c>
      <c r="B556" s="16">
        <v>7142.8571430000002</v>
      </c>
      <c r="C556" s="17" t="s">
        <v>14</v>
      </c>
      <c r="D556" s="17">
        <v>0</v>
      </c>
      <c r="E556" s="17">
        <v>0</v>
      </c>
      <c r="F556" s="17">
        <v>0</v>
      </c>
      <c r="G556" s="17">
        <v>0</v>
      </c>
      <c r="H556" s="17">
        <v>1</v>
      </c>
      <c r="I556" s="17" t="s">
        <v>16</v>
      </c>
      <c r="J556" s="17">
        <v>0</v>
      </c>
      <c r="K556" s="18">
        <v>0</v>
      </c>
      <c r="O556" s="16">
        <v>7142.8571430000002</v>
      </c>
      <c r="P556" s="17">
        <v>0</v>
      </c>
    </row>
    <row r="557" spans="1:16" x14ac:dyDescent="0.3">
      <c r="A557" s="19">
        <v>1227</v>
      </c>
      <c r="B557" s="20">
        <v>45714.285709999996</v>
      </c>
      <c r="C557" s="21" t="s">
        <v>14</v>
      </c>
      <c r="D557" s="21">
        <v>0</v>
      </c>
      <c r="E557" s="21">
        <v>0</v>
      </c>
      <c r="F557" s="21">
        <v>1</v>
      </c>
      <c r="G557" s="21">
        <v>0</v>
      </c>
      <c r="H557" s="21">
        <v>1</v>
      </c>
      <c r="I557" s="21" t="s">
        <v>16</v>
      </c>
      <c r="J557" s="21">
        <v>0</v>
      </c>
      <c r="K557" s="22">
        <v>1</v>
      </c>
      <c r="O557" s="20">
        <v>45714.285709999996</v>
      </c>
      <c r="P557" s="21">
        <v>1</v>
      </c>
    </row>
    <row r="558" spans="1:16" x14ac:dyDescent="0.3">
      <c r="A558" s="15">
        <v>1229</v>
      </c>
      <c r="B558" s="16">
        <v>11363.63636</v>
      </c>
      <c r="C558" s="17" t="s">
        <v>14</v>
      </c>
      <c r="D558" s="17">
        <v>0</v>
      </c>
      <c r="E558" s="17">
        <v>0</v>
      </c>
      <c r="F558" s="17">
        <v>0</v>
      </c>
      <c r="G558" s="17">
        <v>0</v>
      </c>
      <c r="H558" s="17">
        <v>1</v>
      </c>
      <c r="I558" s="17" t="s">
        <v>16</v>
      </c>
      <c r="J558" s="17">
        <v>0</v>
      </c>
      <c r="K558" s="18">
        <v>1</v>
      </c>
      <c r="O558" s="16">
        <v>11363.63636</v>
      </c>
      <c r="P558" s="17">
        <v>0</v>
      </c>
    </row>
    <row r="559" spans="1:16" x14ac:dyDescent="0.3">
      <c r="A559" s="19">
        <v>1231</v>
      </c>
      <c r="B559" s="20">
        <v>55000</v>
      </c>
      <c r="C559" s="21" t="s">
        <v>14</v>
      </c>
      <c r="D559" s="21">
        <v>0</v>
      </c>
      <c r="E559" s="21">
        <v>0</v>
      </c>
      <c r="F559" s="21">
        <v>0</v>
      </c>
      <c r="G559" s="21">
        <v>0</v>
      </c>
      <c r="H559" s="21">
        <v>1</v>
      </c>
      <c r="I559" s="21" t="s">
        <v>16</v>
      </c>
      <c r="J559" s="21">
        <v>1</v>
      </c>
      <c r="K559" s="22">
        <v>0</v>
      </c>
      <c r="O559" s="20">
        <v>55000</v>
      </c>
      <c r="P559" s="21">
        <v>0</v>
      </c>
    </row>
    <row r="560" spans="1:16" x14ac:dyDescent="0.3">
      <c r="A560" s="15">
        <v>1232</v>
      </c>
      <c r="B560" s="16">
        <v>4000</v>
      </c>
      <c r="C560" s="17" t="s">
        <v>14</v>
      </c>
      <c r="D560" s="17">
        <v>0</v>
      </c>
      <c r="E560" s="17">
        <v>0</v>
      </c>
      <c r="F560" s="17">
        <v>0</v>
      </c>
      <c r="G560" s="17">
        <v>0</v>
      </c>
      <c r="H560" s="17">
        <v>1</v>
      </c>
      <c r="I560" s="17" t="s">
        <v>16</v>
      </c>
      <c r="J560" s="17">
        <v>0</v>
      </c>
      <c r="K560" s="18">
        <v>0</v>
      </c>
      <c r="O560" s="16">
        <v>4000</v>
      </c>
      <c r="P560" s="17">
        <v>0</v>
      </c>
    </row>
    <row r="561" spans="1:16" x14ac:dyDescent="0.3">
      <c r="A561" s="19">
        <v>1234</v>
      </c>
      <c r="B561" s="20">
        <v>10000</v>
      </c>
      <c r="C561" s="21" t="s">
        <v>14</v>
      </c>
      <c r="D561" s="21">
        <v>0</v>
      </c>
      <c r="E561" s="21">
        <v>0</v>
      </c>
      <c r="F561" s="21">
        <v>0</v>
      </c>
      <c r="G561" s="21">
        <v>0</v>
      </c>
      <c r="H561" s="21">
        <v>1</v>
      </c>
      <c r="I561" s="21" t="s">
        <v>16</v>
      </c>
      <c r="J561" s="21">
        <v>0</v>
      </c>
      <c r="K561" s="22">
        <v>1</v>
      </c>
      <c r="O561" s="20">
        <v>10000</v>
      </c>
      <c r="P561" s="21">
        <v>0</v>
      </c>
    </row>
    <row r="562" spans="1:16" x14ac:dyDescent="0.3">
      <c r="A562" s="15">
        <v>1235</v>
      </c>
      <c r="B562" s="16">
        <v>11904.7619</v>
      </c>
      <c r="C562" s="17" t="s">
        <v>14</v>
      </c>
      <c r="D562" s="17">
        <v>0</v>
      </c>
      <c r="E562" s="17">
        <v>1</v>
      </c>
      <c r="F562" s="17">
        <v>0</v>
      </c>
      <c r="G562" s="17">
        <v>0</v>
      </c>
      <c r="H562" s="17">
        <v>1</v>
      </c>
      <c r="I562" s="17" t="s">
        <v>16</v>
      </c>
      <c r="J562" s="17">
        <v>0</v>
      </c>
      <c r="K562" s="18">
        <v>1</v>
      </c>
      <c r="O562" s="16">
        <v>11904.7619</v>
      </c>
      <c r="P562" s="17">
        <v>0</v>
      </c>
    </row>
    <row r="563" spans="1:16" x14ac:dyDescent="0.3">
      <c r="A563" s="19">
        <v>1236</v>
      </c>
      <c r="B563" s="20">
        <v>9302.3255809999991</v>
      </c>
      <c r="C563" s="21" t="s">
        <v>14</v>
      </c>
      <c r="D563" s="21">
        <v>0</v>
      </c>
      <c r="E563" s="21">
        <v>0</v>
      </c>
      <c r="F563" s="21">
        <v>1</v>
      </c>
      <c r="G563" s="21">
        <v>0</v>
      </c>
      <c r="H563" s="21">
        <v>1</v>
      </c>
      <c r="I563" s="21" t="s">
        <v>16</v>
      </c>
      <c r="J563" s="21">
        <v>0</v>
      </c>
      <c r="K563" s="22">
        <v>1</v>
      </c>
      <c r="O563" s="20">
        <v>9302.3255809999991</v>
      </c>
      <c r="P563" s="21">
        <v>1</v>
      </c>
    </row>
    <row r="564" spans="1:16" x14ac:dyDescent="0.3">
      <c r="A564" s="15">
        <v>1237</v>
      </c>
      <c r="B564" s="16">
        <v>3125</v>
      </c>
      <c r="C564" s="17" t="s">
        <v>14</v>
      </c>
      <c r="D564" s="17">
        <v>0</v>
      </c>
      <c r="E564" s="17">
        <v>0</v>
      </c>
      <c r="F564" s="17">
        <v>1</v>
      </c>
      <c r="G564" s="17">
        <v>0</v>
      </c>
      <c r="H564" s="17">
        <v>1</v>
      </c>
      <c r="I564" s="17" t="s">
        <v>16</v>
      </c>
      <c r="J564" s="17">
        <v>0</v>
      </c>
      <c r="K564" s="18">
        <v>1</v>
      </c>
      <c r="O564" s="16">
        <v>3125</v>
      </c>
      <c r="P564" s="17">
        <v>1</v>
      </c>
    </row>
    <row r="565" spans="1:16" x14ac:dyDescent="0.3">
      <c r="A565" s="19">
        <v>1240</v>
      </c>
      <c r="B565" s="20">
        <v>7662.8352489999997</v>
      </c>
      <c r="C565" s="21" t="s">
        <v>14</v>
      </c>
      <c r="D565" s="21">
        <v>0</v>
      </c>
      <c r="E565" s="21">
        <v>0</v>
      </c>
      <c r="F565" s="21">
        <v>1</v>
      </c>
      <c r="G565" s="21">
        <v>0</v>
      </c>
      <c r="H565" s="21">
        <v>1</v>
      </c>
      <c r="I565" s="21" t="s">
        <v>16</v>
      </c>
      <c r="J565" s="21">
        <v>0</v>
      </c>
      <c r="K565" s="22">
        <v>1</v>
      </c>
      <c r="O565" s="20">
        <v>7662.8352489999997</v>
      </c>
      <c r="P565" s="21">
        <v>1</v>
      </c>
    </row>
    <row r="566" spans="1:16" x14ac:dyDescent="0.3">
      <c r="A566" s="15">
        <v>1241</v>
      </c>
      <c r="B566" s="16">
        <v>2500</v>
      </c>
      <c r="C566" s="17" t="s">
        <v>14</v>
      </c>
      <c r="D566" s="17">
        <v>0</v>
      </c>
      <c r="E566" s="17">
        <v>0</v>
      </c>
      <c r="F566" s="17">
        <v>1</v>
      </c>
      <c r="G566" s="17">
        <v>0</v>
      </c>
      <c r="H566" s="17">
        <v>1</v>
      </c>
      <c r="I566" s="17" t="s">
        <v>16</v>
      </c>
      <c r="J566" s="17">
        <v>0</v>
      </c>
      <c r="K566" s="18">
        <v>1</v>
      </c>
      <c r="O566" s="16">
        <v>2500</v>
      </c>
      <c r="P566" s="17">
        <v>1</v>
      </c>
    </row>
    <row r="567" spans="1:16" x14ac:dyDescent="0.3">
      <c r="A567" s="19">
        <v>1244</v>
      </c>
      <c r="B567" s="20">
        <v>4687.5</v>
      </c>
      <c r="C567" s="21" t="s">
        <v>14</v>
      </c>
      <c r="D567" s="21">
        <v>0</v>
      </c>
      <c r="E567" s="21">
        <v>0</v>
      </c>
      <c r="F567" s="21">
        <v>1</v>
      </c>
      <c r="G567" s="21">
        <v>0</v>
      </c>
      <c r="H567" s="21">
        <v>1</v>
      </c>
      <c r="I567" s="21" t="s">
        <v>16</v>
      </c>
      <c r="J567" s="21">
        <v>0</v>
      </c>
      <c r="K567" s="22">
        <v>0</v>
      </c>
      <c r="O567" s="20">
        <v>4687.5</v>
      </c>
      <c r="P567" s="21">
        <v>1</v>
      </c>
    </row>
    <row r="568" spans="1:16" x14ac:dyDescent="0.3">
      <c r="A568" s="15">
        <v>1245</v>
      </c>
      <c r="B568" s="16">
        <v>4285.7142860000004</v>
      </c>
      <c r="C568" s="17" t="s">
        <v>14</v>
      </c>
      <c r="D568" s="17">
        <v>0</v>
      </c>
      <c r="E568" s="17">
        <v>0</v>
      </c>
      <c r="F568" s="17">
        <v>0</v>
      </c>
      <c r="G568" s="17">
        <v>0</v>
      </c>
      <c r="H568" s="17">
        <v>1</v>
      </c>
      <c r="I568" s="17" t="s">
        <v>16</v>
      </c>
      <c r="J568" s="17">
        <v>1</v>
      </c>
      <c r="K568" s="18">
        <v>1</v>
      </c>
      <c r="O568" s="16">
        <v>4285.7142860000004</v>
      </c>
      <c r="P568" s="17">
        <v>0</v>
      </c>
    </row>
    <row r="569" spans="1:16" x14ac:dyDescent="0.3">
      <c r="A569" s="19">
        <v>1246</v>
      </c>
      <c r="B569" s="20">
        <v>-25000</v>
      </c>
      <c r="C569" s="21" t="s">
        <v>14</v>
      </c>
      <c r="D569" s="21">
        <v>0</v>
      </c>
      <c r="E569" s="21">
        <v>0</v>
      </c>
      <c r="F569" s="21">
        <v>0</v>
      </c>
      <c r="G569" s="21">
        <v>0</v>
      </c>
      <c r="H569" s="21">
        <v>1</v>
      </c>
      <c r="I569" s="21" t="s">
        <v>16</v>
      </c>
      <c r="J569" s="21">
        <v>1</v>
      </c>
      <c r="K569" s="22">
        <v>1</v>
      </c>
      <c r="O569" s="20">
        <v>-25000</v>
      </c>
      <c r="P569" s="21">
        <v>0</v>
      </c>
    </row>
    <row r="570" spans="1:16" x14ac:dyDescent="0.3">
      <c r="A570" s="15">
        <v>1247</v>
      </c>
      <c r="B570" s="16">
        <v>6818.181818</v>
      </c>
      <c r="C570" s="17" t="s">
        <v>14</v>
      </c>
      <c r="D570" s="17">
        <v>0</v>
      </c>
      <c r="E570" s="17">
        <v>0</v>
      </c>
      <c r="F570" s="17">
        <v>0</v>
      </c>
      <c r="G570" s="17">
        <v>0</v>
      </c>
      <c r="H570" s="17">
        <v>1</v>
      </c>
      <c r="I570" s="17" t="s">
        <v>16</v>
      </c>
      <c r="J570" s="17">
        <v>1</v>
      </c>
      <c r="K570" s="18">
        <v>1</v>
      </c>
      <c r="O570" s="16">
        <v>6818.181818</v>
      </c>
      <c r="P570" s="17">
        <v>0</v>
      </c>
    </row>
    <row r="571" spans="1:16" x14ac:dyDescent="0.3">
      <c r="A571" s="19">
        <v>1249</v>
      </c>
      <c r="B571" s="20">
        <v>4716.9811319999999</v>
      </c>
      <c r="C571" s="21" t="s">
        <v>14</v>
      </c>
      <c r="D571" s="21">
        <v>0</v>
      </c>
      <c r="E571" s="21">
        <v>1</v>
      </c>
      <c r="F571" s="21">
        <v>0</v>
      </c>
      <c r="G571" s="21">
        <v>0</v>
      </c>
      <c r="H571" s="21">
        <v>1</v>
      </c>
      <c r="I571" s="21" t="s">
        <v>16</v>
      </c>
      <c r="J571" s="21">
        <v>1</v>
      </c>
      <c r="K571" s="22">
        <v>1</v>
      </c>
      <c r="O571" s="20">
        <v>4716.9811319999999</v>
      </c>
      <c r="P571" s="21">
        <v>0</v>
      </c>
    </row>
    <row r="572" spans="1:16" x14ac:dyDescent="0.3">
      <c r="A572" s="15">
        <v>1252</v>
      </c>
      <c r="B572" s="16">
        <v>-43478.260869999998</v>
      </c>
      <c r="C572" s="17" t="s">
        <v>14</v>
      </c>
      <c r="D572" s="17">
        <v>0</v>
      </c>
      <c r="E572" s="17">
        <v>0</v>
      </c>
      <c r="F572" s="17">
        <v>0</v>
      </c>
      <c r="G572" s="17">
        <v>1</v>
      </c>
      <c r="H572" s="17">
        <v>0</v>
      </c>
      <c r="I572" s="17" t="s">
        <v>16</v>
      </c>
      <c r="J572" s="17">
        <v>1</v>
      </c>
      <c r="K572" s="18">
        <v>0</v>
      </c>
      <c r="O572" s="16">
        <v>-43478.260869999998</v>
      </c>
      <c r="P572" s="17">
        <v>0</v>
      </c>
    </row>
    <row r="573" spans="1:16" x14ac:dyDescent="0.3">
      <c r="A573" s="19">
        <v>1253</v>
      </c>
      <c r="B573" s="20">
        <v>12500</v>
      </c>
      <c r="C573" s="21" t="s">
        <v>14</v>
      </c>
      <c r="D573" s="21">
        <v>0</v>
      </c>
      <c r="E573" s="21">
        <v>0</v>
      </c>
      <c r="F573" s="21">
        <v>0</v>
      </c>
      <c r="G573" s="21">
        <v>1</v>
      </c>
      <c r="H573" s="21">
        <v>0</v>
      </c>
      <c r="I573" s="21" t="s">
        <v>16</v>
      </c>
      <c r="J573" s="21">
        <v>1</v>
      </c>
      <c r="K573" s="22">
        <v>0</v>
      </c>
      <c r="O573" s="20">
        <v>12500</v>
      </c>
      <c r="P573" s="21">
        <v>0</v>
      </c>
    </row>
    <row r="574" spans="1:16" x14ac:dyDescent="0.3">
      <c r="A574" s="15">
        <v>1256</v>
      </c>
      <c r="B574" s="16">
        <v>1886.792453</v>
      </c>
      <c r="C574" s="17" t="s">
        <v>14</v>
      </c>
      <c r="D574" s="17">
        <v>0</v>
      </c>
      <c r="E574" s="17">
        <v>0</v>
      </c>
      <c r="F574" s="17">
        <v>0</v>
      </c>
      <c r="G574" s="17">
        <v>1</v>
      </c>
      <c r="H574" s="17">
        <v>0</v>
      </c>
      <c r="I574" s="17" t="s">
        <v>16</v>
      </c>
      <c r="J574" s="17">
        <v>0</v>
      </c>
      <c r="K574" s="18">
        <v>0</v>
      </c>
      <c r="O574" s="16">
        <v>1886.792453</v>
      </c>
      <c r="P574" s="17">
        <v>0</v>
      </c>
    </row>
    <row r="575" spans="1:16" x14ac:dyDescent="0.3">
      <c r="A575" s="19">
        <v>1258</v>
      </c>
      <c r="B575" s="20">
        <v>-30000</v>
      </c>
      <c r="C575" s="21" t="s">
        <v>14</v>
      </c>
      <c r="D575" s="21">
        <v>0</v>
      </c>
      <c r="E575" s="21">
        <v>0</v>
      </c>
      <c r="F575" s="21">
        <v>0</v>
      </c>
      <c r="G575" s="21">
        <v>1</v>
      </c>
      <c r="H575" s="21">
        <v>0</v>
      </c>
      <c r="I575" s="21" t="s">
        <v>16</v>
      </c>
      <c r="J575" s="21">
        <v>0</v>
      </c>
      <c r="K575" s="22">
        <v>0</v>
      </c>
      <c r="O575" s="20">
        <v>-30000</v>
      </c>
      <c r="P575" s="21">
        <v>0</v>
      </c>
    </row>
    <row r="576" spans="1:16" x14ac:dyDescent="0.3">
      <c r="A576" s="15">
        <v>1261</v>
      </c>
      <c r="B576" s="16">
        <v>31818.181820000002</v>
      </c>
      <c r="C576" s="17" t="s">
        <v>14</v>
      </c>
      <c r="D576" s="17">
        <v>0</v>
      </c>
      <c r="E576" s="17">
        <v>0</v>
      </c>
      <c r="F576" s="17">
        <v>0</v>
      </c>
      <c r="G576" s="17">
        <v>0</v>
      </c>
      <c r="H576" s="17">
        <v>1</v>
      </c>
      <c r="I576" s="17" t="s">
        <v>16</v>
      </c>
      <c r="J576" s="17">
        <v>0</v>
      </c>
      <c r="K576" s="18">
        <v>1</v>
      </c>
      <c r="O576" s="16">
        <v>31818.181820000002</v>
      </c>
      <c r="P576" s="17">
        <v>0</v>
      </c>
    </row>
    <row r="577" spans="1:16" x14ac:dyDescent="0.3">
      <c r="A577" s="19">
        <v>1262</v>
      </c>
      <c r="B577" s="20">
        <v>10000</v>
      </c>
      <c r="C577" s="21" t="s">
        <v>14</v>
      </c>
      <c r="D577" s="21">
        <v>0</v>
      </c>
      <c r="E577" s="21">
        <v>0</v>
      </c>
      <c r="F577" s="21">
        <v>0</v>
      </c>
      <c r="G577" s="21">
        <v>1</v>
      </c>
      <c r="H577" s="21">
        <v>0</v>
      </c>
      <c r="I577" s="21" t="s">
        <v>16</v>
      </c>
      <c r="J577" s="21">
        <v>0</v>
      </c>
      <c r="K577" s="22">
        <v>0</v>
      </c>
      <c r="O577" s="20">
        <v>10000</v>
      </c>
      <c r="P577" s="21">
        <v>0</v>
      </c>
    </row>
    <row r="578" spans="1:16" x14ac:dyDescent="0.3">
      <c r="A578" s="15">
        <v>1268</v>
      </c>
      <c r="B578" s="16">
        <v>45454.545449999998</v>
      </c>
      <c r="C578" s="17" t="s">
        <v>14</v>
      </c>
      <c r="D578" s="17">
        <v>0</v>
      </c>
      <c r="E578" s="17">
        <v>0</v>
      </c>
      <c r="F578" s="17">
        <v>0</v>
      </c>
      <c r="G578" s="17">
        <v>0</v>
      </c>
      <c r="H578" s="17">
        <v>1</v>
      </c>
      <c r="I578" s="17" t="s">
        <v>16</v>
      </c>
      <c r="J578" s="17">
        <v>0</v>
      </c>
      <c r="K578" s="18">
        <v>1</v>
      </c>
      <c r="O578" s="16">
        <v>45454.545449999998</v>
      </c>
      <c r="P578" s="17">
        <v>0</v>
      </c>
    </row>
    <row r="579" spans="1:16" x14ac:dyDescent="0.3">
      <c r="A579" s="19">
        <v>1272</v>
      </c>
      <c r="B579" s="20">
        <v>18181.818179999998</v>
      </c>
      <c r="C579" s="21" t="s">
        <v>14</v>
      </c>
      <c r="D579" s="21">
        <v>0</v>
      </c>
      <c r="E579" s="21">
        <v>0</v>
      </c>
      <c r="F579" s="21">
        <v>0</v>
      </c>
      <c r="G579" s="21">
        <v>0</v>
      </c>
      <c r="H579" s="21">
        <v>1</v>
      </c>
      <c r="I579" s="21" t="s">
        <v>16</v>
      </c>
      <c r="J579" s="21">
        <v>0</v>
      </c>
      <c r="K579" s="22">
        <v>0</v>
      </c>
      <c r="O579" s="20">
        <v>18181.818179999998</v>
      </c>
      <c r="P579" s="21">
        <v>0</v>
      </c>
    </row>
    <row r="580" spans="1:16" x14ac:dyDescent="0.3">
      <c r="A580" s="15">
        <v>1273</v>
      </c>
      <c r="B580" s="16">
        <v>9375</v>
      </c>
      <c r="C580" s="17" t="s">
        <v>14</v>
      </c>
      <c r="D580" s="17">
        <v>0</v>
      </c>
      <c r="E580" s="17">
        <v>0</v>
      </c>
      <c r="F580" s="17">
        <v>0</v>
      </c>
      <c r="G580" s="17">
        <v>0</v>
      </c>
      <c r="H580" s="17">
        <v>1</v>
      </c>
      <c r="I580" s="17" t="s">
        <v>16</v>
      </c>
      <c r="J580" s="17">
        <v>0</v>
      </c>
      <c r="K580" s="18">
        <v>0</v>
      </c>
      <c r="O580" s="16">
        <v>9375</v>
      </c>
      <c r="P580" s="17">
        <v>0</v>
      </c>
    </row>
    <row r="581" spans="1:16" x14ac:dyDescent="0.3">
      <c r="A581" s="19">
        <v>1276</v>
      </c>
      <c r="B581" s="20">
        <v>5000</v>
      </c>
      <c r="C581" s="21" t="s">
        <v>14</v>
      </c>
      <c r="D581" s="21">
        <v>0</v>
      </c>
      <c r="E581" s="21">
        <v>0</v>
      </c>
      <c r="F581" s="21">
        <v>0</v>
      </c>
      <c r="G581" s="21">
        <v>0</v>
      </c>
      <c r="H581" s="21">
        <v>1</v>
      </c>
      <c r="I581" s="21" t="s">
        <v>16</v>
      </c>
      <c r="J581" s="21">
        <v>0</v>
      </c>
      <c r="K581" s="22">
        <v>0</v>
      </c>
      <c r="O581" s="20">
        <v>5000</v>
      </c>
      <c r="P581" s="21">
        <v>0</v>
      </c>
    </row>
    <row r="582" spans="1:16" x14ac:dyDescent="0.3">
      <c r="A582" s="15">
        <v>1277</v>
      </c>
      <c r="B582" s="16">
        <v>36496.350359999997</v>
      </c>
      <c r="C582" s="17" t="s">
        <v>14</v>
      </c>
      <c r="D582" s="17">
        <v>0</v>
      </c>
      <c r="E582" s="17">
        <v>0</v>
      </c>
      <c r="F582" s="17">
        <v>0</v>
      </c>
      <c r="G582" s="17">
        <v>1</v>
      </c>
      <c r="H582" s="17">
        <v>0</v>
      </c>
      <c r="I582" s="17" t="s">
        <v>16</v>
      </c>
      <c r="J582" s="17">
        <v>0</v>
      </c>
      <c r="K582" s="18">
        <v>1</v>
      </c>
      <c r="O582" s="16">
        <v>36496.350359999997</v>
      </c>
      <c r="P582" s="17">
        <v>0</v>
      </c>
    </row>
    <row r="583" spans="1:16" x14ac:dyDescent="0.3">
      <c r="A583" s="19">
        <v>1278</v>
      </c>
      <c r="B583" s="20">
        <v>21645.021649999999</v>
      </c>
      <c r="C583" s="21" t="s">
        <v>12</v>
      </c>
      <c r="D583" s="21">
        <v>1</v>
      </c>
      <c r="E583" s="21">
        <v>0</v>
      </c>
      <c r="F583" s="21">
        <v>0</v>
      </c>
      <c r="G583" s="21">
        <v>1</v>
      </c>
      <c r="H583" s="21">
        <v>0</v>
      </c>
      <c r="I583" s="21" t="s">
        <v>16</v>
      </c>
      <c r="J583" s="21">
        <v>0</v>
      </c>
      <c r="K583" s="22">
        <v>0</v>
      </c>
      <c r="O583" s="20">
        <v>21645.021649999999</v>
      </c>
      <c r="P583" s="21">
        <v>0</v>
      </c>
    </row>
    <row r="584" spans="1:16" x14ac:dyDescent="0.3">
      <c r="A584" s="15">
        <v>1279</v>
      </c>
      <c r="B584" s="16">
        <v>10000</v>
      </c>
      <c r="C584" s="17" t="s">
        <v>12</v>
      </c>
      <c r="D584" s="17">
        <v>1</v>
      </c>
      <c r="E584" s="17">
        <v>1</v>
      </c>
      <c r="F584" s="17">
        <v>0</v>
      </c>
      <c r="G584" s="17">
        <v>1</v>
      </c>
      <c r="H584" s="17">
        <v>0</v>
      </c>
      <c r="I584" s="17" t="s">
        <v>16</v>
      </c>
      <c r="J584" s="17">
        <v>0</v>
      </c>
      <c r="K584" s="18">
        <v>0</v>
      </c>
      <c r="O584" s="16">
        <v>10000</v>
      </c>
      <c r="P584" s="17">
        <v>0</v>
      </c>
    </row>
    <row r="585" spans="1:16" x14ac:dyDescent="0.3">
      <c r="A585" s="19">
        <v>1280</v>
      </c>
      <c r="B585" s="20">
        <v>11627.90698</v>
      </c>
      <c r="C585" s="21" t="s">
        <v>12</v>
      </c>
      <c r="D585" s="21">
        <v>1</v>
      </c>
      <c r="E585" s="21">
        <v>0</v>
      </c>
      <c r="F585" s="21">
        <v>0</v>
      </c>
      <c r="G585" s="21">
        <v>1</v>
      </c>
      <c r="H585" s="21">
        <v>0</v>
      </c>
      <c r="I585" s="21" t="s">
        <v>16</v>
      </c>
      <c r="J585" s="21">
        <v>0</v>
      </c>
      <c r="K585" s="22">
        <v>0</v>
      </c>
      <c r="O585" s="20">
        <v>11627.90698</v>
      </c>
      <c r="P585" s="21">
        <v>0</v>
      </c>
    </row>
    <row r="586" spans="1:16" x14ac:dyDescent="0.3">
      <c r="A586" s="15">
        <v>1282</v>
      </c>
      <c r="B586" s="16">
        <v>45454.545449999998</v>
      </c>
      <c r="C586" s="17" t="s">
        <v>14</v>
      </c>
      <c r="D586" s="17">
        <v>0</v>
      </c>
      <c r="E586" s="17">
        <v>0</v>
      </c>
      <c r="F586" s="17">
        <v>0</v>
      </c>
      <c r="G586" s="17">
        <v>1</v>
      </c>
      <c r="H586" s="17">
        <v>0</v>
      </c>
      <c r="I586" s="17" t="s">
        <v>16</v>
      </c>
      <c r="J586" s="17">
        <v>0</v>
      </c>
      <c r="K586" s="18">
        <v>0</v>
      </c>
      <c r="O586" s="16">
        <v>45454.545449999998</v>
      </c>
      <c r="P586" s="17">
        <v>0</v>
      </c>
    </row>
    <row r="587" spans="1:16" x14ac:dyDescent="0.3">
      <c r="A587" s="19">
        <v>1283</v>
      </c>
      <c r="B587" s="20">
        <v>16129.03226</v>
      </c>
      <c r="C587" s="21" t="s">
        <v>14</v>
      </c>
      <c r="D587" s="21">
        <v>0</v>
      </c>
      <c r="E587" s="21">
        <v>0</v>
      </c>
      <c r="F587" s="21">
        <v>0</v>
      </c>
      <c r="G587" s="21">
        <v>1</v>
      </c>
      <c r="H587" s="21">
        <v>0</v>
      </c>
      <c r="I587" s="21" t="s">
        <v>16</v>
      </c>
      <c r="J587" s="21">
        <v>0</v>
      </c>
      <c r="K587" s="22">
        <v>0</v>
      </c>
      <c r="O587" s="20">
        <v>16129.03226</v>
      </c>
      <c r="P587" s="21">
        <v>0</v>
      </c>
    </row>
    <row r="588" spans="1:16" x14ac:dyDescent="0.3">
      <c r="A588" s="15">
        <v>1284</v>
      </c>
      <c r="B588" s="16">
        <v>11904.7619</v>
      </c>
      <c r="C588" s="17" t="s">
        <v>12</v>
      </c>
      <c r="D588" s="17">
        <v>1</v>
      </c>
      <c r="E588" s="17">
        <v>0</v>
      </c>
      <c r="F588" s="17">
        <v>0</v>
      </c>
      <c r="G588" s="17">
        <v>1</v>
      </c>
      <c r="H588" s="17">
        <v>0</v>
      </c>
      <c r="I588" s="17" t="s">
        <v>16</v>
      </c>
      <c r="J588" s="17">
        <v>0</v>
      </c>
      <c r="K588" s="18">
        <v>0</v>
      </c>
      <c r="O588" s="16">
        <v>11904.7619</v>
      </c>
      <c r="P588" s="17">
        <v>0</v>
      </c>
    </row>
    <row r="589" spans="1:16" x14ac:dyDescent="0.3">
      <c r="A589" s="19">
        <v>1285</v>
      </c>
      <c r="B589" s="20">
        <v>16129.03226</v>
      </c>
      <c r="C589" s="21" t="s">
        <v>14</v>
      </c>
      <c r="D589" s="21">
        <v>0</v>
      </c>
      <c r="E589" s="21">
        <v>0</v>
      </c>
      <c r="F589" s="21">
        <v>0</v>
      </c>
      <c r="G589" s="21">
        <v>1</v>
      </c>
      <c r="H589" s="21">
        <v>0</v>
      </c>
      <c r="I589" s="21" t="s">
        <v>16</v>
      </c>
      <c r="J589" s="21">
        <v>0</v>
      </c>
      <c r="K589" s="22">
        <v>0</v>
      </c>
      <c r="O589" s="20">
        <v>16129.03226</v>
      </c>
      <c r="P589" s="21">
        <v>0</v>
      </c>
    </row>
    <row r="590" spans="1:16" x14ac:dyDescent="0.3">
      <c r="A590" s="15">
        <v>1287</v>
      </c>
      <c r="B590" s="16">
        <v>6666.6666670000004</v>
      </c>
      <c r="C590" s="17" t="s">
        <v>14</v>
      </c>
      <c r="D590" s="17">
        <v>0</v>
      </c>
      <c r="E590" s="17">
        <v>0</v>
      </c>
      <c r="F590" s="17">
        <v>0</v>
      </c>
      <c r="G590" s="17">
        <v>1</v>
      </c>
      <c r="H590" s="17">
        <v>0</v>
      </c>
      <c r="I590" s="17" t="s">
        <v>16</v>
      </c>
      <c r="J590" s="17">
        <v>0</v>
      </c>
      <c r="K590" s="18">
        <v>0</v>
      </c>
      <c r="O590" s="16">
        <v>6666.6666670000004</v>
      </c>
      <c r="P590" s="17">
        <v>0</v>
      </c>
    </row>
    <row r="591" spans="1:16" x14ac:dyDescent="0.3">
      <c r="A591" s="19">
        <v>1289</v>
      </c>
      <c r="B591" s="20">
        <v>10000</v>
      </c>
      <c r="C591" s="21" t="s">
        <v>14</v>
      </c>
      <c r="D591" s="21">
        <v>0</v>
      </c>
      <c r="E591" s="21">
        <v>0</v>
      </c>
      <c r="F591" s="21">
        <v>0</v>
      </c>
      <c r="G591" s="21">
        <v>1</v>
      </c>
      <c r="H591" s="21">
        <v>0</v>
      </c>
      <c r="I591" s="21" t="s">
        <v>16</v>
      </c>
      <c r="J591" s="21">
        <v>0</v>
      </c>
      <c r="K591" s="22">
        <v>0</v>
      </c>
      <c r="O591" s="20">
        <v>10000</v>
      </c>
      <c r="P591" s="21">
        <v>0</v>
      </c>
    </row>
    <row r="592" spans="1:16" x14ac:dyDescent="0.3">
      <c r="A592" s="15">
        <v>1290</v>
      </c>
      <c r="B592" s="16">
        <v>39682.539680000002</v>
      </c>
      <c r="C592" s="17" t="s">
        <v>14</v>
      </c>
      <c r="D592" s="17">
        <v>0</v>
      </c>
      <c r="E592" s="17">
        <v>0</v>
      </c>
      <c r="F592" s="17">
        <v>0</v>
      </c>
      <c r="G592" s="17">
        <v>1</v>
      </c>
      <c r="H592" s="17">
        <v>0</v>
      </c>
      <c r="I592" s="17" t="s">
        <v>16</v>
      </c>
      <c r="J592" s="17">
        <v>0</v>
      </c>
      <c r="K592" s="18">
        <v>0</v>
      </c>
      <c r="O592" s="16">
        <v>39682.539680000002</v>
      </c>
      <c r="P592" s="17">
        <v>0</v>
      </c>
    </row>
    <row r="593" spans="1:16" x14ac:dyDescent="0.3">
      <c r="A593" s="19">
        <v>1293</v>
      </c>
      <c r="B593" s="20">
        <v>15151.515149999999</v>
      </c>
      <c r="C593" s="21" t="s">
        <v>14</v>
      </c>
      <c r="D593" s="21">
        <v>0</v>
      </c>
      <c r="E593" s="21">
        <v>0</v>
      </c>
      <c r="F593" s="21">
        <v>0</v>
      </c>
      <c r="G593" s="21">
        <v>1</v>
      </c>
      <c r="H593" s="21">
        <v>0</v>
      </c>
      <c r="I593" s="21" t="s">
        <v>16</v>
      </c>
      <c r="J593" s="21">
        <v>0</v>
      </c>
      <c r="K593" s="22">
        <v>0</v>
      </c>
      <c r="O593" s="20">
        <v>15151.515149999999</v>
      </c>
      <c r="P593" s="21">
        <v>0</v>
      </c>
    </row>
    <row r="594" spans="1:16" x14ac:dyDescent="0.3">
      <c r="A594" s="15">
        <v>1295</v>
      </c>
      <c r="B594" s="16">
        <v>50000</v>
      </c>
      <c r="C594" s="17" t="s">
        <v>14</v>
      </c>
      <c r="D594" s="17">
        <v>0</v>
      </c>
      <c r="E594" s="17">
        <v>0</v>
      </c>
      <c r="F594" s="17">
        <v>0</v>
      </c>
      <c r="G594" s="17">
        <v>1</v>
      </c>
      <c r="H594" s="17">
        <v>0</v>
      </c>
      <c r="I594" s="17" t="s">
        <v>16</v>
      </c>
      <c r="J594" s="17">
        <v>0</v>
      </c>
      <c r="K594" s="18">
        <v>0</v>
      </c>
      <c r="O594" s="16">
        <v>50000</v>
      </c>
      <c r="P594" s="17">
        <v>0</v>
      </c>
    </row>
    <row r="595" spans="1:16" x14ac:dyDescent="0.3">
      <c r="A595" s="19">
        <v>1300</v>
      </c>
      <c r="B595" s="20">
        <v>6250</v>
      </c>
      <c r="C595" s="21" t="s">
        <v>14</v>
      </c>
      <c r="D595" s="21">
        <v>0</v>
      </c>
      <c r="E595" s="21">
        <v>1</v>
      </c>
      <c r="F595" s="21">
        <v>0</v>
      </c>
      <c r="G595" s="21">
        <v>1</v>
      </c>
      <c r="H595" s="21">
        <v>0</v>
      </c>
      <c r="I595" s="21" t="s">
        <v>16</v>
      </c>
      <c r="J595" s="21">
        <v>1</v>
      </c>
      <c r="K595" s="22">
        <v>0</v>
      </c>
      <c r="O595" s="20">
        <v>6250</v>
      </c>
      <c r="P595" s="21">
        <v>0</v>
      </c>
    </row>
    <row r="596" spans="1:16" x14ac:dyDescent="0.3">
      <c r="A596" s="15">
        <v>1304</v>
      </c>
      <c r="B596" s="16">
        <v>16666.666669999999</v>
      </c>
      <c r="C596" s="17" t="s">
        <v>14</v>
      </c>
      <c r="D596" s="17">
        <v>0</v>
      </c>
      <c r="E596" s="17">
        <v>0</v>
      </c>
      <c r="F596" s="17">
        <v>0</v>
      </c>
      <c r="G596" s="17">
        <v>1</v>
      </c>
      <c r="H596" s="17">
        <v>0</v>
      </c>
      <c r="I596" s="17" t="s">
        <v>16</v>
      </c>
      <c r="J596" s="17">
        <v>0</v>
      </c>
      <c r="K596" s="18">
        <v>0</v>
      </c>
      <c r="O596" s="16">
        <v>16666.666669999999</v>
      </c>
      <c r="P596" s="17">
        <v>0</v>
      </c>
    </row>
    <row r="597" spans="1:16" x14ac:dyDescent="0.3">
      <c r="A597" s="19">
        <v>1306</v>
      </c>
      <c r="B597" s="20">
        <v>22727.272730000001</v>
      </c>
      <c r="C597" s="21" t="s">
        <v>14</v>
      </c>
      <c r="D597" s="21">
        <v>0</v>
      </c>
      <c r="E597" s="21">
        <v>0</v>
      </c>
      <c r="F597" s="21">
        <v>1</v>
      </c>
      <c r="G597" s="21">
        <v>1</v>
      </c>
      <c r="H597" s="21">
        <v>0</v>
      </c>
      <c r="I597" s="21" t="s">
        <v>16</v>
      </c>
      <c r="J597" s="21">
        <v>0</v>
      </c>
      <c r="K597" s="22">
        <v>1</v>
      </c>
      <c r="O597" s="20">
        <v>22727.272730000001</v>
      </c>
      <c r="P597" s="21">
        <v>1</v>
      </c>
    </row>
    <row r="598" spans="1:16" x14ac:dyDescent="0.3">
      <c r="A598" s="15">
        <v>1307</v>
      </c>
      <c r="B598" s="16">
        <v>9416.1958570000006</v>
      </c>
      <c r="C598" s="17" t="s">
        <v>14</v>
      </c>
      <c r="D598" s="17">
        <v>0</v>
      </c>
      <c r="E598" s="17">
        <v>0</v>
      </c>
      <c r="F598" s="17">
        <v>0</v>
      </c>
      <c r="G598" s="17">
        <v>1</v>
      </c>
      <c r="H598" s="17">
        <v>0</v>
      </c>
      <c r="I598" s="17" t="s">
        <v>16</v>
      </c>
      <c r="J598" s="17">
        <v>0</v>
      </c>
      <c r="K598" s="18">
        <v>0</v>
      </c>
      <c r="O598" s="16">
        <v>9416.1958570000006</v>
      </c>
      <c r="P598" s="17">
        <v>0</v>
      </c>
    </row>
    <row r="599" spans="1:16" x14ac:dyDescent="0.3">
      <c r="A599" s="19">
        <v>1310</v>
      </c>
      <c r="B599" s="20">
        <v>12500</v>
      </c>
      <c r="C599" s="21" t="s">
        <v>14</v>
      </c>
      <c r="D599" s="21">
        <v>0</v>
      </c>
      <c r="E599" s="21">
        <v>0</v>
      </c>
      <c r="F599" s="21">
        <v>0</v>
      </c>
      <c r="G599" s="21">
        <v>0</v>
      </c>
      <c r="H599" s="21">
        <v>1</v>
      </c>
      <c r="I599" s="21" t="s">
        <v>16</v>
      </c>
      <c r="J599" s="21">
        <v>0</v>
      </c>
      <c r="K599" s="22">
        <v>0</v>
      </c>
      <c r="O599" s="20">
        <v>12500</v>
      </c>
      <c r="P599" s="21">
        <v>0</v>
      </c>
    </row>
    <row r="600" spans="1:16" x14ac:dyDescent="0.3">
      <c r="A600" s="15">
        <v>1311</v>
      </c>
      <c r="B600" s="16">
        <v>8333.3333330000005</v>
      </c>
      <c r="C600" s="17" t="s">
        <v>14</v>
      </c>
      <c r="D600" s="17">
        <v>0</v>
      </c>
      <c r="E600" s="17">
        <v>1</v>
      </c>
      <c r="F600" s="17">
        <v>0</v>
      </c>
      <c r="G600" s="17">
        <v>1</v>
      </c>
      <c r="H600" s="17">
        <v>0</v>
      </c>
      <c r="I600" s="17" t="s">
        <v>16</v>
      </c>
      <c r="J600" s="17">
        <v>0</v>
      </c>
      <c r="K600" s="18">
        <v>0</v>
      </c>
      <c r="O600" s="16">
        <v>8333.3333330000005</v>
      </c>
      <c r="P600" s="17">
        <v>0</v>
      </c>
    </row>
    <row r="601" spans="1:16" x14ac:dyDescent="0.3">
      <c r="A601" s="19">
        <v>1312</v>
      </c>
      <c r="B601" s="20">
        <v>38461.538460000003</v>
      </c>
      <c r="C601" s="21" t="s">
        <v>14</v>
      </c>
      <c r="D601" s="21">
        <v>0</v>
      </c>
      <c r="E601" s="21">
        <v>0</v>
      </c>
      <c r="F601" s="21">
        <v>0</v>
      </c>
      <c r="G601" s="21">
        <v>1</v>
      </c>
      <c r="H601" s="21">
        <v>0</v>
      </c>
      <c r="I601" s="21" t="s">
        <v>16</v>
      </c>
      <c r="J601" s="21">
        <v>0</v>
      </c>
      <c r="K601" s="22">
        <v>1</v>
      </c>
      <c r="O601" s="20">
        <v>38461.538460000003</v>
      </c>
      <c r="P601" s="21">
        <v>0</v>
      </c>
    </row>
    <row r="602" spans="1:16" x14ac:dyDescent="0.3">
      <c r="A602" s="15">
        <v>1313</v>
      </c>
      <c r="B602" s="16">
        <v>15000</v>
      </c>
      <c r="C602" s="17" t="s">
        <v>14</v>
      </c>
      <c r="D602" s="17">
        <v>0</v>
      </c>
      <c r="E602" s="17">
        <v>1</v>
      </c>
      <c r="F602" s="17">
        <v>0</v>
      </c>
      <c r="G602" s="17">
        <v>0</v>
      </c>
      <c r="H602" s="17">
        <v>1</v>
      </c>
      <c r="I602" s="17" t="s">
        <v>16</v>
      </c>
      <c r="J602" s="17">
        <v>1</v>
      </c>
      <c r="K602" s="18">
        <v>1</v>
      </c>
      <c r="O602" s="16">
        <v>15000</v>
      </c>
      <c r="P602" s="17">
        <v>0</v>
      </c>
    </row>
    <row r="603" spans="1:16" x14ac:dyDescent="0.3">
      <c r="A603" s="19">
        <v>1314</v>
      </c>
      <c r="B603" s="20">
        <v>16129.03226</v>
      </c>
      <c r="C603" s="21" t="s">
        <v>14</v>
      </c>
      <c r="D603" s="21">
        <v>0</v>
      </c>
      <c r="E603" s="21">
        <v>1</v>
      </c>
      <c r="F603" s="21">
        <v>0</v>
      </c>
      <c r="G603" s="21">
        <v>0</v>
      </c>
      <c r="H603" s="21">
        <v>1</v>
      </c>
      <c r="I603" s="21" t="s">
        <v>16</v>
      </c>
      <c r="J603" s="21">
        <v>1</v>
      </c>
      <c r="K603" s="22">
        <v>1</v>
      </c>
      <c r="O603" s="20">
        <v>16129.03226</v>
      </c>
      <c r="P603" s="21">
        <v>0</v>
      </c>
    </row>
    <row r="604" spans="1:16" x14ac:dyDescent="0.3">
      <c r="A604" s="15">
        <v>1315</v>
      </c>
      <c r="B604" s="16">
        <v>6000</v>
      </c>
      <c r="C604" s="17" t="s">
        <v>14</v>
      </c>
      <c r="D604" s="17">
        <v>0</v>
      </c>
      <c r="E604" s="17">
        <v>1</v>
      </c>
      <c r="F604" s="17">
        <v>0</v>
      </c>
      <c r="G604" s="17">
        <v>1</v>
      </c>
      <c r="H604" s="17">
        <v>0</v>
      </c>
      <c r="I604" s="17" t="s">
        <v>16</v>
      </c>
      <c r="J604" s="17">
        <v>1</v>
      </c>
      <c r="K604" s="18">
        <v>0</v>
      </c>
      <c r="O604" s="16">
        <v>6000</v>
      </c>
      <c r="P604" s="17">
        <v>0</v>
      </c>
    </row>
    <row r="605" spans="1:16" x14ac:dyDescent="0.3">
      <c r="A605" s="19">
        <v>1316</v>
      </c>
      <c r="B605" s="20">
        <v>9803.9215690000001</v>
      </c>
      <c r="C605" s="21" t="s">
        <v>14</v>
      </c>
      <c r="D605" s="21">
        <v>0</v>
      </c>
      <c r="E605" s="21">
        <v>1</v>
      </c>
      <c r="F605" s="21">
        <v>0</v>
      </c>
      <c r="G605" s="21">
        <v>1</v>
      </c>
      <c r="H605" s="21">
        <v>0</v>
      </c>
      <c r="I605" s="21" t="s">
        <v>16</v>
      </c>
      <c r="J605" s="21">
        <v>0</v>
      </c>
      <c r="K605" s="22">
        <v>0</v>
      </c>
      <c r="O605" s="20">
        <v>9803.9215690000001</v>
      </c>
      <c r="P605" s="21">
        <v>0</v>
      </c>
    </row>
    <row r="606" spans="1:16" x14ac:dyDescent="0.3">
      <c r="A606" s="15">
        <v>1317</v>
      </c>
      <c r="B606" s="16">
        <v>6451.6129030000002</v>
      </c>
      <c r="C606" s="17" t="s">
        <v>12</v>
      </c>
      <c r="D606" s="17">
        <v>1</v>
      </c>
      <c r="E606" s="17">
        <v>0</v>
      </c>
      <c r="F606" s="17">
        <v>0</v>
      </c>
      <c r="G606" s="17">
        <v>1</v>
      </c>
      <c r="H606" s="17">
        <v>0</v>
      </c>
      <c r="I606" s="17" t="s">
        <v>16</v>
      </c>
      <c r="J606" s="17">
        <v>0</v>
      </c>
      <c r="K606" s="18">
        <v>0</v>
      </c>
      <c r="O606" s="16">
        <v>6451.6129030000002</v>
      </c>
      <c r="P606" s="17">
        <v>0</v>
      </c>
    </row>
    <row r="607" spans="1:16" x14ac:dyDescent="0.3">
      <c r="A607" s="19">
        <v>1323</v>
      </c>
      <c r="B607" s="20">
        <v>9118.5410329999995</v>
      </c>
      <c r="C607" s="21" t="s">
        <v>14</v>
      </c>
      <c r="D607" s="21">
        <v>0</v>
      </c>
      <c r="E607" s="21">
        <v>0</v>
      </c>
      <c r="F607" s="21">
        <v>0</v>
      </c>
      <c r="G607" s="21">
        <v>1</v>
      </c>
      <c r="H607" s="21">
        <v>0</v>
      </c>
      <c r="I607" s="21" t="s">
        <v>16</v>
      </c>
      <c r="J607" s="21">
        <v>0</v>
      </c>
      <c r="K607" s="22">
        <v>1</v>
      </c>
      <c r="O607" s="20">
        <v>9118.5410329999995</v>
      </c>
      <c r="P607" s="21">
        <v>0</v>
      </c>
    </row>
    <row r="608" spans="1:16" x14ac:dyDescent="0.3">
      <c r="A608" s="15">
        <v>1329</v>
      </c>
      <c r="B608" s="16">
        <v>4178.2729810000001</v>
      </c>
      <c r="C608" s="17" t="s">
        <v>14</v>
      </c>
      <c r="D608" s="17">
        <v>0</v>
      </c>
      <c r="E608" s="17">
        <v>0</v>
      </c>
      <c r="F608" s="17">
        <v>0</v>
      </c>
      <c r="G608" s="17">
        <v>1</v>
      </c>
      <c r="H608" s="17">
        <v>0</v>
      </c>
      <c r="I608" s="17" t="s">
        <v>16</v>
      </c>
      <c r="J608" s="17">
        <v>0</v>
      </c>
      <c r="K608" s="18">
        <v>0</v>
      </c>
      <c r="O608" s="16">
        <v>4178.2729810000001</v>
      </c>
      <c r="P608" s="17">
        <v>0</v>
      </c>
    </row>
    <row r="609" spans="1:16" x14ac:dyDescent="0.3">
      <c r="A609" s="19">
        <v>1330</v>
      </c>
      <c r="B609" s="20">
        <v>12500</v>
      </c>
      <c r="C609" s="21" t="s">
        <v>14</v>
      </c>
      <c r="D609" s="21">
        <v>0</v>
      </c>
      <c r="E609" s="21">
        <v>0</v>
      </c>
      <c r="F609" s="21">
        <v>0</v>
      </c>
      <c r="G609" s="21">
        <v>1</v>
      </c>
      <c r="H609" s="21">
        <v>0</v>
      </c>
      <c r="I609" s="21" t="s">
        <v>16</v>
      </c>
      <c r="J609" s="21">
        <v>0</v>
      </c>
      <c r="K609" s="22">
        <v>1</v>
      </c>
      <c r="O609" s="20">
        <v>12500</v>
      </c>
      <c r="P609" s="21">
        <v>0</v>
      </c>
    </row>
    <row r="610" spans="1:16" x14ac:dyDescent="0.3">
      <c r="A610" s="15">
        <v>1331</v>
      </c>
      <c r="B610" s="16">
        <v>7849.2935639999996</v>
      </c>
      <c r="C610" s="17" t="s">
        <v>14</v>
      </c>
      <c r="D610" s="17">
        <v>0</v>
      </c>
      <c r="E610" s="17">
        <v>0</v>
      </c>
      <c r="F610" s="17">
        <v>1</v>
      </c>
      <c r="G610" s="17">
        <v>1</v>
      </c>
      <c r="H610" s="17">
        <v>0</v>
      </c>
      <c r="I610" s="17" t="s">
        <v>16</v>
      </c>
      <c r="J610" s="17">
        <v>0</v>
      </c>
      <c r="K610" s="18">
        <v>1</v>
      </c>
      <c r="O610" s="16">
        <v>7849.2935639999996</v>
      </c>
      <c r="P610" s="17">
        <v>1</v>
      </c>
    </row>
    <row r="611" spans="1:16" x14ac:dyDescent="0.3">
      <c r="A611" s="19">
        <v>1333</v>
      </c>
      <c r="B611" s="20">
        <v>41666.666669999999</v>
      </c>
      <c r="C611" s="21" t="s">
        <v>14</v>
      </c>
      <c r="D611" s="21">
        <v>0</v>
      </c>
      <c r="E611" s="21">
        <v>0</v>
      </c>
      <c r="F611" s="21">
        <v>0</v>
      </c>
      <c r="G611" s="21">
        <v>1</v>
      </c>
      <c r="H611" s="21">
        <v>0</v>
      </c>
      <c r="I611" s="21" t="s">
        <v>16</v>
      </c>
      <c r="J611" s="21">
        <v>0</v>
      </c>
      <c r="K611" s="22">
        <v>0</v>
      </c>
      <c r="O611" s="20">
        <v>41666.666669999999</v>
      </c>
      <c r="P611" s="21">
        <v>0</v>
      </c>
    </row>
    <row r="612" spans="1:16" x14ac:dyDescent="0.3">
      <c r="A612" s="15">
        <v>1337</v>
      </c>
      <c r="B612" s="16">
        <v>33333.333330000001</v>
      </c>
      <c r="C612" s="17" t="s">
        <v>14</v>
      </c>
      <c r="D612" s="17">
        <v>0</v>
      </c>
      <c r="E612" s="17">
        <v>1</v>
      </c>
      <c r="F612" s="17">
        <v>0</v>
      </c>
      <c r="G612" s="17">
        <v>1</v>
      </c>
      <c r="H612" s="17">
        <v>0</v>
      </c>
      <c r="I612" s="17" t="s">
        <v>16</v>
      </c>
      <c r="J612" s="17">
        <v>0</v>
      </c>
      <c r="K612" s="18">
        <v>0</v>
      </c>
      <c r="O612" s="16">
        <v>33333.333330000001</v>
      </c>
      <c r="P612" s="17">
        <v>0</v>
      </c>
    </row>
    <row r="613" spans="1:16" x14ac:dyDescent="0.3">
      <c r="A613" s="19">
        <v>1338</v>
      </c>
      <c r="B613" s="20">
        <v>22727.272730000001</v>
      </c>
      <c r="C613" s="21" t="s">
        <v>14</v>
      </c>
      <c r="D613" s="21">
        <v>0</v>
      </c>
      <c r="E613" s="21">
        <v>0</v>
      </c>
      <c r="F613" s="21">
        <v>0</v>
      </c>
      <c r="G613" s="21">
        <v>1</v>
      </c>
      <c r="H613" s="21">
        <v>0</v>
      </c>
      <c r="I613" s="21" t="s">
        <v>16</v>
      </c>
      <c r="J613" s="21">
        <v>0</v>
      </c>
      <c r="K613" s="22">
        <v>0</v>
      </c>
      <c r="O613" s="20">
        <v>22727.272730000001</v>
      </c>
      <c r="P613" s="21">
        <v>0</v>
      </c>
    </row>
    <row r="614" spans="1:16" x14ac:dyDescent="0.3">
      <c r="A614" s="15">
        <v>1340</v>
      </c>
      <c r="B614" s="16">
        <v>-11904.7619</v>
      </c>
      <c r="C614" s="17" t="s">
        <v>14</v>
      </c>
      <c r="D614" s="17">
        <v>0</v>
      </c>
      <c r="E614" s="17">
        <v>0</v>
      </c>
      <c r="F614" s="17">
        <v>0</v>
      </c>
      <c r="G614" s="17">
        <v>1</v>
      </c>
      <c r="H614" s="17">
        <v>0</v>
      </c>
      <c r="I614" s="17" t="s">
        <v>16</v>
      </c>
      <c r="J614" s="17">
        <v>0</v>
      </c>
      <c r="K614" s="18">
        <v>0</v>
      </c>
      <c r="O614" s="16">
        <v>-11904.7619</v>
      </c>
      <c r="P614" s="17">
        <v>0</v>
      </c>
    </row>
    <row r="615" spans="1:16" x14ac:dyDescent="0.3">
      <c r="A615" s="19">
        <v>1344</v>
      </c>
      <c r="B615" s="20">
        <v>41666.666669999999</v>
      </c>
      <c r="C615" s="21" t="s">
        <v>14</v>
      </c>
      <c r="D615" s="21">
        <v>0</v>
      </c>
      <c r="E615" s="21">
        <v>0</v>
      </c>
      <c r="F615" s="21">
        <v>0</v>
      </c>
      <c r="G615" s="21">
        <v>1</v>
      </c>
      <c r="H615" s="21">
        <v>0</v>
      </c>
      <c r="I615" s="21" t="s">
        <v>16</v>
      </c>
      <c r="J615" s="21">
        <v>0</v>
      </c>
      <c r="K615" s="22">
        <v>0</v>
      </c>
      <c r="O615" s="20">
        <v>41666.666669999999</v>
      </c>
      <c r="P615" s="21">
        <v>0</v>
      </c>
    </row>
    <row r="616" spans="1:16" x14ac:dyDescent="0.3">
      <c r="A616" s="15">
        <v>1345</v>
      </c>
      <c r="B616" s="16">
        <v>10869.56522</v>
      </c>
      <c r="C616" s="17" t="s">
        <v>14</v>
      </c>
      <c r="D616" s="17">
        <v>0</v>
      </c>
      <c r="E616" s="17">
        <v>0</v>
      </c>
      <c r="F616" s="17">
        <v>0</v>
      </c>
      <c r="G616" s="17">
        <v>1</v>
      </c>
      <c r="H616" s="17">
        <v>0</v>
      </c>
      <c r="I616" s="17" t="s">
        <v>16</v>
      </c>
      <c r="J616" s="17">
        <v>0</v>
      </c>
      <c r="K616" s="18">
        <v>0</v>
      </c>
      <c r="O616" s="16">
        <v>10869.56522</v>
      </c>
      <c r="P616" s="17">
        <v>0</v>
      </c>
    </row>
    <row r="617" spans="1:16" x14ac:dyDescent="0.3">
      <c r="A617" s="19">
        <v>1347</v>
      </c>
      <c r="B617" s="20">
        <v>6250</v>
      </c>
      <c r="C617" s="21" t="s">
        <v>14</v>
      </c>
      <c r="D617" s="21">
        <v>0</v>
      </c>
      <c r="E617" s="21">
        <v>0</v>
      </c>
      <c r="F617" s="21">
        <v>0</v>
      </c>
      <c r="G617" s="21">
        <v>0</v>
      </c>
      <c r="H617" s="21">
        <v>1</v>
      </c>
      <c r="I617" s="21" t="s">
        <v>16</v>
      </c>
      <c r="J617" s="21">
        <v>0</v>
      </c>
      <c r="K617" s="22">
        <v>1</v>
      </c>
      <c r="O617" s="20">
        <v>6250</v>
      </c>
      <c r="P617" s="21">
        <v>0</v>
      </c>
    </row>
    <row r="618" spans="1:16" x14ac:dyDescent="0.3">
      <c r="A618" s="15">
        <v>1348</v>
      </c>
      <c r="B618" s="16">
        <v>22727.272730000001</v>
      </c>
      <c r="C618" s="17" t="s">
        <v>14</v>
      </c>
      <c r="D618" s="17">
        <v>0</v>
      </c>
      <c r="E618" s="17">
        <v>1</v>
      </c>
      <c r="F618" s="17">
        <v>0</v>
      </c>
      <c r="G618" s="17">
        <v>1</v>
      </c>
      <c r="H618" s="17">
        <v>0</v>
      </c>
      <c r="I618" s="17" t="s">
        <v>16</v>
      </c>
      <c r="J618" s="17">
        <v>0</v>
      </c>
      <c r="K618" s="18">
        <v>0</v>
      </c>
      <c r="O618" s="16">
        <v>22727.272730000001</v>
      </c>
      <c r="P618" s="17">
        <v>0</v>
      </c>
    </row>
    <row r="619" spans="1:16" x14ac:dyDescent="0.3">
      <c r="A619" s="19">
        <v>1349</v>
      </c>
      <c r="B619" s="20">
        <v>15625</v>
      </c>
      <c r="C619" s="21" t="s">
        <v>14</v>
      </c>
      <c r="D619" s="21">
        <v>0</v>
      </c>
      <c r="E619" s="21">
        <v>0</v>
      </c>
      <c r="F619" s="21">
        <v>0</v>
      </c>
      <c r="G619" s="21">
        <v>1</v>
      </c>
      <c r="H619" s="21">
        <v>0</v>
      </c>
      <c r="I619" s="21" t="s">
        <v>16</v>
      </c>
      <c r="J619" s="21">
        <v>0</v>
      </c>
      <c r="K619" s="22">
        <v>1</v>
      </c>
      <c r="O619" s="20">
        <v>15625</v>
      </c>
      <c r="P619" s="21">
        <v>0</v>
      </c>
    </row>
    <row r="620" spans="1:16" x14ac:dyDescent="0.3">
      <c r="A620" s="15">
        <v>1352</v>
      </c>
      <c r="B620" s="16">
        <v>6666.6666670000004</v>
      </c>
      <c r="C620" s="17" t="s">
        <v>14</v>
      </c>
      <c r="D620" s="17">
        <v>0</v>
      </c>
      <c r="E620" s="17">
        <v>0</v>
      </c>
      <c r="F620" s="17">
        <v>0</v>
      </c>
      <c r="G620" s="17">
        <v>1</v>
      </c>
      <c r="H620" s="17">
        <v>0</v>
      </c>
      <c r="I620" s="17" t="s">
        <v>16</v>
      </c>
      <c r="J620" s="17">
        <v>1</v>
      </c>
      <c r="K620" s="18">
        <v>1</v>
      </c>
      <c r="O620" s="16">
        <v>6666.6666670000004</v>
      </c>
      <c r="P620" s="17">
        <v>0</v>
      </c>
    </row>
    <row r="621" spans="1:16" x14ac:dyDescent="0.3">
      <c r="A621" s="19">
        <v>1356</v>
      </c>
      <c r="B621" s="20">
        <v>14285.71429</v>
      </c>
      <c r="C621" s="21" t="s">
        <v>12</v>
      </c>
      <c r="D621" s="21">
        <v>1</v>
      </c>
      <c r="E621" s="21">
        <v>0</v>
      </c>
      <c r="F621" s="21">
        <v>0</v>
      </c>
      <c r="G621" s="21">
        <v>1</v>
      </c>
      <c r="H621" s="21">
        <v>0</v>
      </c>
      <c r="I621" s="21" t="s">
        <v>16</v>
      </c>
      <c r="J621" s="21">
        <v>0</v>
      </c>
      <c r="K621" s="22">
        <v>1</v>
      </c>
      <c r="O621" s="20">
        <v>14285.71429</v>
      </c>
      <c r="P621" s="21">
        <v>0</v>
      </c>
    </row>
    <row r="622" spans="1:16" x14ac:dyDescent="0.3">
      <c r="A622" s="15">
        <v>1357</v>
      </c>
      <c r="B622" s="16">
        <v>50000</v>
      </c>
      <c r="C622" s="17" t="s">
        <v>14</v>
      </c>
      <c r="D622" s="17">
        <v>0</v>
      </c>
      <c r="E622" s="17">
        <v>0</v>
      </c>
      <c r="F622" s="17">
        <v>0</v>
      </c>
      <c r="G622" s="17">
        <v>1</v>
      </c>
      <c r="H622" s="17">
        <v>0</v>
      </c>
      <c r="I622" s="17" t="s">
        <v>16</v>
      </c>
      <c r="J622" s="17">
        <v>0</v>
      </c>
      <c r="K622" s="18">
        <v>0</v>
      </c>
      <c r="O622" s="16">
        <v>50000</v>
      </c>
      <c r="P622" s="17">
        <v>0</v>
      </c>
    </row>
    <row r="623" spans="1:16" x14ac:dyDescent="0.3">
      <c r="A623" s="19">
        <v>1360</v>
      </c>
      <c r="B623" s="20">
        <v>18181.818179999998</v>
      </c>
      <c r="C623" s="21" t="s">
        <v>14</v>
      </c>
      <c r="D623" s="21">
        <v>0</v>
      </c>
      <c r="E623" s="21">
        <v>0</v>
      </c>
      <c r="F623" s="21">
        <v>1</v>
      </c>
      <c r="G623" s="21">
        <v>1</v>
      </c>
      <c r="H623" s="21">
        <v>0</v>
      </c>
      <c r="I623" s="21" t="s">
        <v>16</v>
      </c>
      <c r="J623" s="21">
        <v>0</v>
      </c>
      <c r="K623" s="22">
        <v>1</v>
      </c>
      <c r="O623" s="20">
        <v>18181.818179999998</v>
      </c>
      <c r="P623" s="21">
        <v>1</v>
      </c>
    </row>
    <row r="624" spans="1:16" x14ac:dyDescent="0.3">
      <c r="A624" s="15">
        <v>1362</v>
      </c>
      <c r="B624" s="16">
        <v>6993.006993</v>
      </c>
      <c r="C624" s="17" t="s">
        <v>14</v>
      </c>
      <c r="D624" s="17">
        <v>0</v>
      </c>
      <c r="E624" s="17">
        <v>0</v>
      </c>
      <c r="F624" s="17">
        <v>0</v>
      </c>
      <c r="G624" s="17">
        <v>1</v>
      </c>
      <c r="H624" s="17">
        <v>0</v>
      </c>
      <c r="I624" s="17" t="s">
        <v>16</v>
      </c>
      <c r="J624" s="17">
        <v>0</v>
      </c>
      <c r="K624" s="18">
        <v>0</v>
      </c>
      <c r="O624" s="16">
        <v>6993.006993</v>
      </c>
      <c r="P624" s="17">
        <v>0</v>
      </c>
    </row>
    <row r="625" spans="1:16" x14ac:dyDescent="0.3">
      <c r="A625" s="19">
        <v>1364</v>
      </c>
      <c r="B625" s="20">
        <v>4878.0487800000001</v>
      </c>
      <c r="C625" s="21" t="s">
        <v>14</v>
      </c>
      <c r="D625" s="21">
        <v>0</v>
      </c>
      <c r="E625" s="21">
        <v>0</v>
      </c>
      <c r="F625" s="21">
        <v>0</v>
      </c>
      <c r="G625" s="21">
        <v>1</v>
      </c>
      <c r="H625" s="21">
        <v>0</v>
      </c>
      <c r="I625" s="21" t="s">
        <v>16</v>
      </c>
      <c r="J625" s="21">
        <v>0</v>
      </c>
      <c r="K625" s="22">
        <v>0</v>
      </c>
      <c r="O625" s="20">
        <v>4878.0487800000001</v>
      </c>
      <c r="P625" s="21">
        <v>0</v>
      </c>
    </row>
    <row r="626" spans="1:16" x14ac:dyDescent="0.3">
      <c r="A626" s="15">
        <v>1365</v>
      </c>
      <c r="B626" s="16">
        <v>16666.666669999999</v>
      </c>
      <c r="C626" s="17" t="s">
        <v>14</v>
      </c>
      <c r="D626" s="17">
        <v>0</v>
      </c>
      <c r="E626" s="17">
        <v>0</v>
      </c>
      <c r="F626" s="17">
        <v>0</v>
      </c>
      <c r="G626" s="17">
        <v>1</v>
      </c>
      <c r="H626" s="17">
        <v>0</v>
      </c>
      <c r="I626" s="17" t="s">
        <v>16</v>
      </c>
      <c r="J626" s="17">
        <v>0</v>
      </c>
      <c r="K626" s="18">
        <v>0</v>
      </c>
      <c r="O626" s="16">
        <v>16666.666669999999</v>
      </c>
      <c r="P626" s="17">
        <v>0</v>
      </c>
    </row>
    <row r="627" spans="1:16" x14ac:dyDescent="0.3">
      <c r="A627" s="19">
        <v>1366</v>
      </c>
      <c r="B627" s="20">
        <v>5952.3809520000004</v>
      </c>
      <c r="C627" s="21" t="s">
        <v>14</v>
      </c>
      <c r="D627" s="21">
        <v>0</v>
      </c>
      <c r="E627" s="21">
        <v>1</v>
      </c>
      <c r="F627" s="21">
        <v>0</v>
      </c>
      <c r="G627" s="21">
        <v>1</v>
      </c>
      <c r="H627" s="21">
        <v>0</v>
      </c>
      <c r="I627" s="21" t="s">
        <v>16</v>
      </c>
      <c r="J627" s="21">
        <v>0</v>
      </c>
      <c r="K627" s="22">
        <v>0</v>
      </c>
      <c r="O627" s="20">
        <v>5952.3809520000004</v>
      </c>
      <c r="P627" s="21">
        <v>0</v>
      </c>
    </row>
    <row r="628" spans="1:16" x14ac:dyDescent="0.3">
      <c r="A628" s="15">
        <v>1369</v>
      </c>
      <c r="B628" s="16">
        <v>4166.6666670000004</v>
      </c>
      <c r="C628" s="17" t="s">
        <v>14</v>
      </c>
      <c r="D628" s="17">
        <v>0</v>
      </c>
      <c r="E628" s="17">
        <v>0</v>
      </c>
      <c r="F628" s="17">
        <v>0</v>
      </c>
      <c r="G628" s="17">
        <v>1</v>
      </c>
      <c r="H628" s="17">
        <v>0</v>
      </c>
      <c r="I628" s="17" t="s">
        <v>16</v>
      </c>
      <c r="J628" s="17">
        <v>0</v>
      </c>
      <c r="K628" s="18">
        <v>0</v>
      </c>
      <c r="O628" s="16">
        <v>4166.6666670000004</v>
      </c>
      <c r="P628" s="17">
        <v>0</v>
      </c>
    </row>
    <row r="629" spans="1:16" x14ac:dyDescent="0.3">
      <c r="A629" s="19">
        <v>1382</v>
      </c>
      <c r="B629" s="20">
        <v>5970.1492539999999</v>
      </c>
      <c r="C629" s="21" t="s">
        <v>12</v>
      </c>
      <c r="D629" s="21">
        <v>1</v>
      </c>
      <c r="E629" s="21">
        <v>1</v>
      </c>
      <c r="F629" s="21">
        <v>0</v>
      </c>
      <c r="G629" s="21">
        <v>0</v>
      </c>
      <c r="H629" s="21">
        <v>1</v>
      </c>
      <c r="I629" s="21" t="s">
        <v>16</v>
      </c>
      <c r="J629" s="21">
        <v>0</v>
      </c>
      <c r="K629" s="22">
        <v>0</v>
      </c>
      <c r="O629" s="20">
        <v>5970.1492539999999</v>
      </c>
      <c r="P629" s="21">
        <v>0</v>
      </c>
    </row>
    <row r="630" spans="1:16" x14ac:dyDescent="0.3">
      <c r="A630" s="15">
        <v>1386</v>
      </c>
      <c r="B630" s="16">
        <v>40000</v>
      </c>
      <c r="C630" s="17" t="s">
        <v>14</v>
      </c>
      <c r="D630" s="17">
        <v>0</v>
      </c>
      <c r="E630" s="17">
        <v>1</v>
      </c>
      <c r="F630" s="17">
        <v>0</v>
      </c>
      <c r="G630" s="17">
        <v>0</v>
      </c>
      <c r="H630" s="17">
        <v>1</v>
      </c>
      <c r="I630" s="17" t="s">
        <v>16</v>
      </c>
      <c r="J630" s="17">
        <v>0</v>
      </c>
      <c r="K630" s="18">
        <v>0</v>
      </c>
      <c r="O630" s="16">
        <v>40000</v>
      </c>
      <c r="P630" s="17">
        <v>0</v>
      </c>
    </row>
    <row r="631" spans="1:16" x14ac:dyDescent="0.3">
      <c r="A631" s="19">
        <v>1387</v>
      </c>
      <c r="B631" s="20">
        <v>25000</v>
      </c>
      <c r="C631" s="21" t="s">
        <v>14</v>
      </c>
      <c r="D631" s="21">
        <v>0</v>
      </c>
      <c r="E631" s="21">
        <v>0</v>
      </c>
      <c r="F631" s="21">
        <v>0</v>
      </c>
      <c r="G631" s="21">
        <v>0</v>
      </c>
      <c r="H631" s="21">
        <v>1</v>
      </c>
      <c r="I631" s="21" t="s">
        <v>16</v>
      </c>
      <c r="J631" s="21">
        <v>0</v>
      </c>
      <c r="K631" s="22">
        <v>0</v>
      </c>
      <c r="O631" s="20">
        <v>25000</v>
      </c>
      <c r="P631" s="21">
        <v>0</v>
      </c>
    </row>
    <row r="632" spans="1:16" x14ac:dyDescent="0.3">
      <c r="A632" s="15">
        <v>1388</v>
      </c>
      <c r="B632" s="16">
        <v>30000</v>
      </c>
      <c r="C632" s="17" t="s">
        <v>14</v>
      </c>
      <c r="D632" s="17">
        <v>0</v>
      </c>
      <c r="E632" s="17">
        <v>0</v>
      </c>
      <c r="F632" s="17">
        <v>0</v>
      </c>
      <c r="G632" s="17">
        <v>1</v>
      </c>
      <c r="H632" s="17">
        <v>0</v>
      </c>
      <c r="I632" s="17" t="s">
        <v>16</v>
      </c>
      <c r="J632" s="17">
        <v>1</v>
      </c>
      <c r="K632" s="18">
        <v>1</v>
      </c>
      <c r="O632" s="16">
        <v>30000</v>
      </c>
      <c r="P632" s="17">
        <v>0</v>
      </c>
    </row>
    <row r="633" spans="1:16" x14ac:dyDescent="0.3">
      <c r="A633" s="19">
        <v>1389</v>
      </c>
      <c r="B633" s="20">
        <v>5714.2857139999996</v>
      </c>
      <c r="C633" s="21" t="s">
        <v>14</v>
      </c>
      <c r="D633" s="21">
        <v>0</v>
      </c>
      <c r="E633" s="21">
        <v>0</v>
      </c>
      <c r="F633" s="21">
        <v>0</v>
      </c>
      <c r="G633" s="21">
        <v>1</v>
      </c>
      <c r="H633" s="21">
        <v>0</v>
      </c>
      <c r="I633" s="21" t="s">
        <v>16</v>
      </c>
      <c r="J633" s="21">
        <v>0</v>
      </c>
      <c r="K633" s="22">
        <v>1</v>
      </c>
      <c r="O633" s="20">
        <v>5714.2857139999996</v>
      </c>
      <c r="P633" s="21">
        <v>0</v>
      </c>
    </row>
    <row r="634" spans="1:16" x14ac:dyDescent="0.3">
      <c r="A634" s="15">
        <v>1390</v>
      </c>
      <c r="B634" s="16">
        <v>7936.5079370000003</v>
      </c>
      <c r="C634" s="17" t="s">
        <v>14</v>
      </c>
      <c r="D634" s="17">
        <v>0</v>
      </c>
      <c r="E634" s="17">
        <v>0</v>
      </c>
      <c r="F634" s="17">
        <v>1</v>
      </c>
      <c r="G634" s="17">
        <v>0</v>
      </c>
      <c r="H634" s="17">
        <v>1</v>
      </c>
      <c r="I634" s="17" t="s">
        <v>16</v>
      </c>
      <c r="J634" s="17">
        <v>0</v>
      </c>
      <c r="K634" s="18">
        <v>0</v>
      </c>
      <c r="O634" s="16">
        <v>7936.5079370000003</v>
      </c>
      <c r="P634" s="17">
        <v>1</v>
      </c>
    </row>
    <row r="635" spans="1:16" x14ac:dyDescent="0.3">
      <c r="A635" s="19">
        <v>1391</v>
      </c>
      <c r="B635" s="20">
        <v>12121.21212</v>
      </c>
      <c r="C635" s="21" t="s">
        <v>14</v>
      </c>
      <c r="D635" s="21">
        <v>0</v>
      </c>
      <c r="E635" s="21">
        <v>0</v>
      </c>
      <c r="F635" s="21">
        <v>0</v>
      </c>
      <c r="G635" s="21">
        <v>1</v>
      </c>
      <c r="H635" s="21">
        <v>0</v>
      </c>
      <c r="I635" s="21" t="s">
        <v>16</v>
      </c>
      <c r="J635" s="21">
        <v>0</v>
      </c>
      <c r="K635" s="22">
        <v>1</v>
      </c>
      <c r="O635" s="20">
        <v>12121.21212</v>
      </c>
      <c r="P635" s="21">
        <v>0</v>
      </c>
    </row>
    <row r="636" spans="1:16" x14ac:dyDescent="0.3">
      <c r="A636" s="15">
        <v>1392</v>
      </c>
      <c r="B636" s="16">
        <v>10000</v>
      </c>
      <c r="C636" s="17" t="s">
        <v>14</v>
      </c>
      <c r="D636" s="17">
        <v>0</v>
      </c>
      <c r="E636" s="17">
        <v>0</v>
      </c>
      <c r="F636" s="17">
        <v>0</v>
      </c>
      <c r="G636" s="17">
        <v>1</v>
      </c>
      <c r="H636" s="17">
        <v>0</v>
      </c>
      <c r="I636" s="17" t="s">
        <v>16</v>
      </c>
      <c r="J636" s="17">
        <v>1</v>
      </c>
      <c r="K636" s="18">
        <v>1</v>
      </c>
      <c r="O636" s="16">
        <v>10000</v>
      </c>
      <c r="P636" s="17">
        <v>0</v>
      </c>
    </row>
    <row r="637" spans="1:16" x14ac:dyDescent="0.3">
      <c r="A637" s="19">
        <v>1396</v>
      </c>
      <c r="B637" s="20">
        <v>4000</v>
      </c>
      <c r="C637" s="21" t="s">
        <v>14</v>
      </c>
      <c r="D637" s="21">
        <v>0</v>
      </c>
      <c r="E637" s="21">
        <v>0</v>
      </c>
      <c r="F637" s="21">
        <v>0</v>
      </c>
      <c r="G637" s="21">
        <v>0</v>
      </c>
      <c r="H637" s="21">
        <v>1</v>
      </c>
      <c r="I637" s="21" t="s">
        <v>16</v>
      </c>
      <c r="J637" s="21">
        <v>0</v>
      </c>
      <c r="K637" s="22">
        <v>0</v>
      </c>
      <c r="O637" s="20">
        <v>4000</v>
      </c>
      <c r="P637" s="21">
        <v>0</v>
      </c>
    </row>
    <row r="638" spans="1:16" x14ac:dyDescent="0.3">
      <c r="A638" s="15">
        <v>1399</v>
      </c>
      <c r="B638" s="16">
        <v>-15000</v>
      </c>
      <c r="C638" s="17" t="s">
        <v>14</v>
      </c>
      <c r="D638" s="17">
        <v>0</v>
      </c>
      <c r="E638" s="17">
        <v>0</v>
      </c>
      <c r="F638" s="17">
        <v>0</v>
      </c>
      <c r="G638" s="17">
        <v>0</v>
      </c>
      <c r="H638" s="17">
        <v>1</v>
      </c>
      <c r="I638" s="17" t="s">
        <v>16</v>
      </c>
      <c r="J638" s="17">
        <v>0</v>
      </c>
      <c r="K638" s="18">
        <v>0</v>
      </c>
      <c r="O638" s="16">
        <v>-15000</v>
      </c>
      <c r="P638" s="17">
        <v>0</v>
      </c>
    </row>
    <row r="639" spans="1:16" x14ac:dyDescent="0.3">
      <c r="A639" s="19">
        <v>1401</v>
      </c>
      <c r="B639" s="20">
        <v>9090.9090909999995</v>
      </c>
      <c r="C639" s="21" t="s">
        <v>14</v>
      </c>
      <c r="D639" s="21">
        <v>0</v>
      </c>
      <c r="E639" s="21">
        <v>0</v>
      </c>
      <c r="F639" s="21">
        <v>0</v>
      </c>
      <c r="G639" s="21">
        <v>0</v>
      </c>
      <c r="H639" s="21">
        <v>1</v>
      </c>
      <c r="I639" s="21" t="s">
        <v>16</v>
      </c>
      <c r="J639" s="21">
        <v>0</v>
      </c>
      <c r="K639" s="22">
        <v>0</v>
      </c>
      <c r="O639" s="20">
        <v>9090.9090909999995</v>
      </c>
      <c r="P639" s="21">
        <v>0</v>
      </c>
    </row>
    <row r="640" spans="1:16" x14ac:dyDescent="0.3">
      <c r="A640" s="15">
        <v>1404</v>
      </c>
      <c r="B640" s="16">
        <v>4761.9047620000001</v>
      </c>
      <c r="C640" s="17" t="s">
        <v>14</v>
      </c>
      <c r="D640" s="17">
        <v>0</v>
      </c>
      <c r="E640" s="17">
        <v>0</v>
      </c>
      <c r="F640" s="17">
        <v>0</v>
      </c>
      <c r="G640" s="17">
        <v>0</v>
      </c>
      <c r="H640" s="17">
        <v>1</v>
      </c>
      <c r="I640" s="17" t="s">
        <v>16</v>
      </c>
      <c r="J640" s="17">
        <v>0</v>
      </c>
      <c r="K640" s="18">
        <v>0</v>
      </c>
      <c r="O640" s="16">
        <v>4761.9047620000001</v>
      </c>
      <c r="P640" s="17">
        <v>0</v>
      </c>
    </row>
    <row r="641" spans="1:16" x14ac:dyDescent="0.3">
      <c r="A641" s="19">
        <v>1410</v>
      </c>
      <c r="B641" s="20">
        <v>20000</v>
      </c>
      <c r="C641" s="21" t="s">
        <v>14</v>
      </c>
      <c r="D641" s="21">
        <v>0</v>
      </c>
      <c r="E641" s="21">
        <v>0</v>
      </c>
      <c r="F641" s="21">
        <v>0</v>
      </c>
      <c r="G641" s="21">
        <v>0</v>
      </c>
      <c r="H641" s="21">
        <v>1</v>
      </c>
      <c r="I641" s="21" t="s">
        <v>16</v>
      </c>
      <c r="J641" s="21">
        <v>0</v>
      </c>
      <c r="K641" s="22">
        <v>0</v>
      </c>
      <c r="O641" s="20">
        <v>20000</v>
      </c>
      <c r="P641" s="21">
        <v>0</v>
      </c>
    </row>
    <row r="642" spans="1:16" x14ac:dyDescent="0.3">
      <c r="A642" s="15">
        <v>1418</v>
      </c>
      <c r="B642" s="16">
        <v>100000</v>
      </c>
      <c r="C642" s="17" t="s">
        <v>14</v>
      </c>
      <c r="D642" s="17">
        <v>0</v>
      </c>
      <c r="E642" s="17">
        <v>0</v>
      </c>
      <c r="F642" s="17">
        <v>1</v>
      </c>
      <c r="G642" s="17">
        <v>0</v>
      </c>
      <c r="H642" s="17">
        <v>1</v>
      </c>
      <c r="I642" s="17" t="s">
        <v>16</v>
      </c>
      <c r="J642" s="17">
        <v>0</v>
      </c>
      <c r="K642" s="18">
        <v>0</v>
      </c>
      <c r="O642" s="16">
        <v>100000</v>
      </c>
      <c r="P642" s="17">
        <v>1</v>
      </c>
    </row>
    <row r="643" spans="1:16" x14ac:dyDescent="0.3">
      <c r="A643" s="19">
        <v>1421</v>
      </c>
      <c r="B643" s="20">
        <v>12500</v>
      </c>
      <c r="C643" s="21" t="s">
        <v>14</v>
      </c>
      <c r="D643" s="21">
        <v>0</v>
      </c>
      <c r="E643" s="21">
        <v>0</v>
      </c>
      <c r="F643" s="21">
        <v>0</v>
      </c>
      <c r="G643" s="21">
        <v>1</v>
      </c>
      <c r="H643" s="21">
        <v>0</v>
      </c>
      <c r="I643" s="21" t="s">
        <v>16</v>
      </c>
      <c r="J643" s="21">
        <v>0</v>
      </c>
      <c r="K643" s="22">
        <v>0</v>
      </c>
      <c r="O643" s="20">
        <v>12500</v>
      </c>
      <c r="P643" s="21">
        <v>0</v>
      </c>
    </row>
    <row r="644" spans="1:16" x14ac:dyDescent="0.3">
      <c r="A644" s="15">
        <v>1423</v>
      </c>
      <c r="B644" s="16">
        <v>4375</v>
      </c>
      <c r="C644" s="17" t="s">
        <v>14</v>
      </c>
      <c r="D644" s="17">
        <v>0</v>
      </c>
      <c r="E644" s="17">
        <v>0</v>
      </c>
      <c r="F644" s="17">
        <v>0</v>
      </c>
      <c r="G644" s="17">
        <v>1</v>
      </c>
      <c r="H644" s="17">
        <v>0</v>
      </c>
      <c r="I644" s="17" t="s">
        <v>16</v>
      </c>
      <c r="J644" s="17">
        <v>0</v>
      </c>
      <c r="K644" s="18">
        <v>0</v>
      </c>
      <c r="O644" s="16">
        <v>4375</v>
      </c>
      <c r="P644" s="17">
        <v>0</v>
      </c>
    </row>
    <row r="645" spans="1:16" x14ac:dyDescent="0.3">
      <c r="A645" s="19">
        <v>1424</v>
      </c>
      <c r="B645" s="20">
        <v>20000</v>
      </c>
      <c r="C645" s="21" t="s">
        <v>12</v>
      </c>
      <c r="D645" s="21">
        <v>1</v>
      </c>
      <c r="E645" s="21">
        <v>0</v>
      </c>
      <c r="F645" s="21">
        <v>0</v>
      </c>
      <c r="G645" s="21">
        <v>0</v>
      </c>
      <c r="H645" s="21">
        <v>1</v>
      </c>
      <c r="I645" s="21" t="s">
        <v>16</v>
      </c>
      <c r="J645" s="21">
        <v>0</v>
      </c>
      <c r="K645" s="22">
        <v>0</v>
      </c>
      <c r="O645" s="20">
        <v>20000</v>
      </c>
      <c r="P645" s="21">
        <v>0</v>
      </c>
    </row>
    <row r="646" spans="1:16" x14ac:dyDescent="0.3">
      <c r="A646" s="15">
        <v>1429</v>
      </c>
      <c r="B646" s="16">
        <v>-13636.36364</v>
      </c>
      <c r="C646" s="17" t="s">
        <v>14</v>
      </c>
      <c r="D646" s="17">
        <v>0</v>
      </c>
      <c r="E646" s="17">
        <v>0</v>
      </c>
      <c r="F646" s="17">
        <v>0</v>
      </c>
      <c r="G646" s="17">
        <v>1</v>
      </c>
      <c r="H646" s="17">
        <v>0</v>
      </c>
      <c r="I646" s="17" t="s">
        <v>16</v>
      </c>
      <c r="J646" s="17">
        <v>0</v>
      </c>
      <c r="K646" s="18">
        <v>0</v>
      </c>
      <c r="O646" s="16">
        <v>-13636.36364</v>
      </c>
      <c r="P646" s="17">
        <v>0</v>
      </c>
    </row>
    <row r="647" spans="1:16" x14ac:dyDescent="0.3">
      <c r="A647" s="19">
        <v>1430</v>
      </c>
      <c r="B647" s="20">
        <v>15625</v>
      </c>
      <c r="C647" s="21" t="s">
        <v>14</v>
      </c>
      <c r="D647" s="21">
        <v>0</v>
      </c>
      <c r="E647" s="21">
        <v>0</v>
      </c>
      <c r="F647" s="21">
        <v>0</v>
      </c>
      <c r="G647" s="21">
        <v>1</v>
      </c>
      <c r="H647" s="21">
        <v>0</v>
      </c>
      <c r="I647" s="21" t="s">
        <v>16</v>
      </c>
      <c r="J647" s="21">
        <v>0</v>
      </c>
      <c r="K647" s="22">
        <v>0</v>
      </c>
      <c r="O647" s="20">
        <v>15625</v>
      </c>
      <c r="P647" s="21">
        <v>0</v>
      </c>
    </row>
    <row r="648" spans="1:16" x14ac:dyDescent="0.3">
      <c r="A648" s="15">
        <v>1431</v>
      </c>
      <c r="B648" s="16">
        <v>33333.333330000001</v>
      </c>
      <c r="C648" s="17" t="s">
        <v>14</v>
      </c>
      <c r="D648" s="17">
        <v>0</v>
      </c>
      <c r="E648" s="17">
        <v>0</v>
      </c>
      <c r="F648" s="17">
        <v>0</v>
      </c>
      <c r="G648" s="17">
        <v>1</v>
      </c>
      <c r="H648" s="17">
        <v>0</v>
      </c>
      <c r="I648" s="17" t="s">
        <v>16</v>
      </c>
      <c r="J648" s="17">
        <v>0</v>
      </c>
      <c r="K648" s="18">
        <v>0</v>
      </c>
      <c r="O648" s="16">
        <v>33333.333330000001</v>
      </c>
      <c r="P648" s="17">
        <v>0</v>
      </c>
    </row>
    <row r="649" spans="1:16" x14ac:dyDescent="0.3">
      <c r="A649" s="19">
        <v>1436</v>
      </c>
      <c r="B649" s="20">
        <v>8333.3333330000005</v>
      </c>
      <c r="C649" s="21" t="s">
        <v>14</v>
      </c>
      <c r="D649" s="21">
        <v>0</v>
      </c>
      <c r="E649" s="21">
        <v>0</v>
      </c>
      <c r="F649" s="21">
        <v>0</v>
      </c>
      <c r="G649" s="21">
        <v>0</v>
      </c>
      <c r="H649" s="21">
        <v>1</v>
      </c>
      <c r="I649" s="21" t="s">
        <v>16</v>
      </c>
      <c r="J649" s="21">
        <v>1</v>
      </c>
      <c r="K649" s="22">
        <v>1</v>
      </c>
      <c r="O649" s="20">
        <v>8333.3333330000005</v>
      </c>
      <c r="P649" s="21">
        <v>0</v>
      </c>
    </row>
    <row r="650" spans="1:16" x14ac:dyDescent="0.3">
      <c r="A650" s="15">
        <v>1437</v>
      </c>
      <c r="B650" s="16">
        <v>12500</v>
      </c>
      <c r="C650" s="17" t="s">
        <v>14</v>
      </c>
      <c r="D650" s="17">
        <v>0</v>
      </c>
      <c r="E650" s="17">
        <v>0</v>
      </c>
      <c r="F650" s="17">
        <v>0</v>
      </c>
      <c r="G650" s="17">
        <v>0</v>
      </c>
      <c r="H650" s="17">
        <v>1</v>
      </c>
      <c r="I650" s="17" t="s">
        <v>16</v>
      </c>
      <c r="J650" s="17">
        <v>0</v>
      </c>
      <c r="K650" s="18">
        <v>1</v>
      </c>
      <c r="O650" s="16">
        <v>12500</v>
      </c>
      <c r="P650" s="17">
        <v>0</v>
      </c>
    </row>
    <row r="651" spans="1:16" x14ac:dyDescent="0.3">
      <c r="A651" s="19">
        <v>1438</v>
      </c>
      <c r="B651" s="20">
        <v>33333.333330000001</v>
      </c>
      <c r="C651" s="21" t="s">
        <v>14</v>
      </c>
      <c r="D651" s="21">
        <v>0</v>
      </c>
      <c r="E651" s="21">
        <v>0</v>
      </c>
      <c r="F651" s="21">
        <v>0</v>
      </c>
      <c r="G651" s="21">
        <v>0</v>
      </c>
      <c r="H651" s="21">
        <v>1</v>
      </c>
      <c r="I651" s="21" t="s">
        <v>16</v>
      </c>
      <c r="J651" s="21">
        <v>1</v>
      </c>
      <c r="K651" s="22">
        <v>0</v>
      </c>
      <c r="O651" s="20">
        <v>33333.333330000001</v>
      </c>
      <c r="P651" s="21">
        <v>0</v>
      </c>
    </row>
    <row r="652" spans="1:16" x14ac:dyDescent="0.3">
      <c r="A652" s="15">
        <v>1439</v>
      </c>
      <c r="B652" s="16">
        <v>6666.6666670000004</v>
      </c>
      <c r="C652" s="17" t="s">
        <v>14</v>
      </c>
      <c r="D652" s="17">
        <v>0</v>
      </c>
      <c r="E652" s="17">
        <v>0</v>
      </c>
      <c r="F652" s="17">
        <v>0</v>
      </c>
      <c r="G652" s="17">
        <v>0</v>
      </c>
      <c r="H652" s="17">
        <v>1</v>
      </c>
      <c r="I652" s="17" t="s">
        <v>16</v>
      </c>
      <c r="J652" s="17">
        <v>0</v>
      </c>
      <c r="K652" s="18">
        <v>0</v>
      </c>
      <c r="O652" s="16">
        <v>6666.6666670000004</v>
      </c>
      <c r="P652" s="17">
        <v>0</v>
      </c>
    </row>
    <row r="653" spans="1:16" x14ac:dyDescent="0.3">
      <c r="A653" s="19">
        <v>1440</v>
      </c>
      <c r="B653" s="20">
        <v>50000</v>
      </c>
      <c r="C653" s="21" t="s">
        <v>14</v>
      </c>
      <c r="D653" s="21">
        <v>0</v>
      </c>
      <c r="E653" s="21">
        <v>0</v>
      </c>
      <c r="F653" s="21">
        <v>0</v>
      </c>
      <c r="G653" s="21">
        <v>0</v>
      </c>
      <c r="H653" s="21">
        <v>1</v>
      </c>
      <c r="I653" s="21" t="s">
        <v>16</v>
      </c>
      <c r="J653" s="21">
        <v>1</v>
      </c>
      <c r="K653" s="22">
        <v>0</v>
      </c>
      <c r="O653" s="20">
        <v>50000</v>
      </c>
      <c r="P653" s="21">
        <v>0</v>
      </c>
    </row>
    <row r="654" spans="1:16" x14ac:dyDescent="0.3">
      <c r="A654" s="15">
        <v>1443</v>
      </c>
      <c r="B654" s="16">
        <v>5000</v>
      </c>
      <c r="C654" s="17" t="s">
        <v>14</v>
      </c>
      <c r="D654" s="17">
        <v>0</v>
      </c>
      <c r="E654" s="17">
        <v>0</v>
      </c>
      <c r="F654" s="17">
        <v>0</v>
      </c>
      <c r="G654" s="17">
        <v>0</v>
      </c>
      <c r="H654" s="17">
        <v>1</v>
      </c>
      <c r="I654" s="17" t="s">
        <v>16</v>
      </c>
      <c r="J654" s="17">
        <v>1</v>
      </c>
      <c r="K654" s="18">
        <v>1</v>
      </c>
      <c r="O654" s="16">
        <v>5000</v>
      </c>
      <c r="P654" s="17">
        <v>0</v>
      </c>
    </row>
    <row r="655" spans="1:16" x14ac:dyDescent="0.3">
      <c r="A655" s="19">
        <v>1447</v>
      </c>
      <c r="B655" s="20">
        <v>31250</v>
      </c>
      <c r="C655" s="21" t="s">
        <v>14</v>
      </c>
      <c r="D655" s="21">
        <v>0</v>
      </c>
      <c r="E655" s="21">
        <v>0</v>
      </c>
      <c r="F655" s="21">
        <v>0</v>
      </c>
      <c r="G655" s="21">
        <v>0</v>
      </c>
      <c r="H655" s="21">
        <v>1</v>
      </c>
      <c r="I655" s="21" t="s">
        <v>16</v>
      </c>
      <c r="J655" s="21">
        <v>1</v>
      </c>
      <c r="K655" s="22">
        <v>0</v>
      </c>
      <c r="O655" s="20">
        <v>31250</v>
      </c>
      <c r="P655" s="21">
        <v>0</v>
      </c>
    </row>
    <row r="656" spans="1:16" x14ac:dyDescent="0.3">
      <c r="A656" s="15">
        <v>1455</v>
      </c>
      <c r="B656" s="16">
        <v>25000</v>
      </c>
      <c r="C656" s="17" t="s">
        <v>14</v>
      </c>
      <c r="D656" s="17">
        <v>0</v>
      </c>
      <c r="E656" s="17">
        <v>1</v>
      </c>
      <c r="F656" s="17">
        <v>0</v>
      </c>
      <c r="G656" s="17">
        <v>1</v>
      </c>
      <c r="H656" s="17">
        <v>0</v>
      </c>
      <c r="I656" s="17" t="s">
        <v>16</v>
      </c>
      <c r="J656" s="17">
        <v>0</v>
      </c>
      <c r="K656" s="18">
        <v>0</v>
      </c>
      <c r="O656" s="16">
        <v>25000</v>
      </c>
      <c r="P656" s="17">
        <v>0</v>
      </c>
    </row>
    <row r="657" spans="1:16" x14ac:dyDescent="0.3">
      <c r="A657" s="19">
        <v>1457</v>
      </c>
      <c r="B657" s="20">
        <v>21551.724139999998</v>
      </c>
      <c r="C657" s="21" t="s">
        <v>14</v>
      </c>
      <c r="D657" s="21">
        <v>0</v>
      </c>
      <c r="E657" s="21">
        <v>0</v>
      </c>
      <c r="F657" s="21">
        <v>0</v>
      </c>
      <c r="G657" s="21">
        <v>1</v>
      </c>
      <c r="H657" s="21">
        <v>0</v>
      </c>
      <c r="I657" s="21" t="s">
        <v>16</v>
      </c>
      <c r="J657" s="21">
        <v>0</v>
      </c>
      <c r="K657" s="22">
        <v>1</v>
      </c>
      <c r="O657" s="20">
        <v>21551.724139999998</v>
      </c>
      <c r="P657" s="21">
        <v>0</v>
      </c>
    </row>
    <row r="658" spans="1:16" x14ac:dyDescent="0.3">
      <c r="A658" s="15">
        <v>1463</v>
      </c>
      <c r="B658" s="16">
        <v>41666.666669999999</v>
      </c>
      <c r="C658" s="17" t="s">
        <v>14</v>
      </c>
      <c r="D658" s="17">
        <v>0</v>
      </c>
      <c r="E658" s="17">
        <v>0</v>
      </c>
      <c r="F658" s="17">
        <v>0</v>
      </c>
      <c r="G658" s="17">
        <v>1</v>
      </c>
      <c r="H658" s="17">
        <v>0</v>
      </c>
      <c r="I658" s="17" t="s">
        <v>16</v>
      </c>
      <c r="J658" s="17">
        <v>0</v>
      </c>
      <c r="K658" s="18">
        <v>1</v>
      </c>
      <c r="O658" s="16">
        <v>41666.666669999999</v>
      </c>
      <c r="P658" s="17">
        <v>0</v>
      </c>
    </row>
    <row r="659" spans="1:16" x14ac:dyDescent="0.3">
      <c r="A659" s="19">
        <v>1464</v>
      </c>
      <c r="B659" s="20">
        <v>6097.5609759999998</v>
      </c>
      <c r="C659" s="21" t="s">
        <v>14</v>
      </c>
      <c r="D659" s="21">
        <v>0</v>
      </c>
      <c r="E659" s="21">
        <v>0</v>
      </c>
      <c r="F659" s="21">
        <v>0</v>
      </c>
      <c r="G659" s="21">
        <v>1</v>
      </c>
      <c r="H659" s="21">
        <v>0</v>
      </c>
      <c r="I659" s="21" t="s">
        <v>16</v>
      </c>
      <c r="J659" s="21">
        <v>1</v>
      </c>
      <c r="K659" s="22">
        <v>0</v>
      </c>
      <c r="O659" s="20">
        <v>6097.5609759999998</v>
      </c>
      <c r="P659" s="21">
        <v>0</v>
      </c>
    </row>
    <row r="660" spans="1:16" x14ac:dyDescent="0.3">
      <c r="A660" s="15">
        <v>1466</v>
      </c>
      <c r="B660" s="16">
        <v>47619.047619999998</v>
      </c>
      <c r="C660" s="17" t="s">
        <v>14</v>
      </c>
      <c r="D660" s="17">
        <v>0</v>
      </c>
      <c r="E660" s="17">
        <v>0</v>
      </c>
      <c r="F660" s="17">
        <v>0</v>
      </c>
      <c r="G660" s="17">
        <v>1</v>
      </c>
      <c r="H660" s="17">
        <v>0</v>
      </c>
      <c r="I660" s="17" t="s">
        <v>16</v>
      </c>
      <c r="J660" s="17">
        <v>0</v>
      </c>
      <c r="K660" s="18">
        <v>0</v>
      </c>
      <c r="O660" s="16">
        <v>47619.047619999998</v>
      </c>
      <c r="P660" s="17">
        <v>0</v>
      </c>
    </row>
    <row r="661" spans="1:16" x14ac:dyDescent="0.3">
      <c r="A661" s="19">
        <v>1472</v>
      </c>
      <c r="B661" s="20">
        <v>2400</v>
      </c>
      <c r="C661" s="21" t="s">
        <v>14</v>
      </c>
      <c r="D661" s="21">
        <v>0</v>
      </c>
      <c r="E661" s="21">
        <v>0</v>
      </c>
      <c r="F661" s="21">
        <v>0</v>
      </c>
      <c r="G661" s="21">
        <v>1</v>
      </c>
      <c r="H661" s="21">
        <v>0</v>
      </c>
      <c r="I661" s="21" t="s">
        <v>16</v>
      </c>
      <c r="J661" s="21">
        <v>1</v>
      </c>
      <c r="K661" s="22">
        <v>0</v>
      </c>
      <c r="O661" s="20">
        <v>2400</v>
      </c>
      <c r="P661" s="21">
        <v>0</v>
      </c>
    </row>
    <row r="662" spans="1:16" x14ac:dyDescent="0.3">
      <c r="A662" s="15">
        <v>1473</v>
      </c>
      <c r="B662" s="16">
        <v>80000</v>
      </c>
      <c r="C662" s="17" t="s">
        <v>14</v>
      </c>
      <c r="D662" s="17">
        <v>0</v>
      </c>
      <c r="E662" s="17">
        <v>1</v>
      </c>
      <c r="F662" s="17">
        <v>0</v>
      </c>
      <c r="G662" s="17">
        <v>1</v>
      </c>
      <c r="H662" s="17">
        <v>0</v>
      </c>
      <c r="I662" s="17" t="s">
        <v>16</v>
      </c>
      <c r="J662" s="17">
        <v>0</v>
      </c>
      <c r="K662" s="18">
        <v>1</v>
      </c>
      <c r="O662" s="16">
        <v>80000</v>
      </c>
      <c r="P662" s="17">
        <v>0</v>
      </c>
    </row>
    <row r="663" spans="1:16" x14ac:dyDescent="0.3">
      <c r="A663" s="19">
        <v>1474</v>
      </c>
      <c r="B663" s="20">
        <v>10000</v>
      </c>
      <c r="C663" s="21" t="s">
        <v>14</v>
      </c>
      <c r="D663" s="21">
        <v>0</v>
      </c>
      <c r="E663" s="21">
        <v>0</v>
      </c>
      <c r="F663" s="21">
        <v>0</v>
      </c>
      <c r="G663" s="21">
        <v>1</v>
      </c>
      <c r="H663" s="21">
        <v>0</v>
      </c>
      <c r="I663" s="21" t="s">
        <v>16</v>
      </c>
      <c r="J663" s="21">
        <v>0</v>
      </c>
      <c r="K663" s="22">
        <v>1</v>
      </c>
      <c r="O663" s="20">
        <v>10000</v>
      </c>
      <c r="P663" s="21">
        <v>0</v>
      </c>
    </row>
    <row r="664" spans="1:16" x14ac:dyDescent="0.3">
      <c r="A664" s="15">
        <v>1475</v>
      </c>
      <c r="B664" s="16">
        <v>5000</v>
      </c>
      <c r="C664" s="17" t="s">
        <v>14</v>
      </c>
      <c r="D664" s="17">
        <v>0</v>
      </c>
      <c r="E664" s="17">
        <v>0</v>
      </c>
      <c r="F664" s="17">
        <v>0</v>
      </c>
      <c r="G664" s="17">
        <v>1</v>
      </c>
      <c r="H664" s="17">
        <v>0</v>
      </c>
      <c r="I664" s="17" t="s">
        <v>16</v>
      </c>
      <c r="J664" s="17">
        <v>1</v>
      </c>
      <c r="K664" s="18">
        <v>1</v>
      </c>
      <c r="O664" s="16">
        <v>5000</v>
      </c>
      <c r="P664" s="17">
        <v>0</v>
      </c>
    </row>
    <row r="665" spans="1:16" x14ac:dyDescent="0.3">
      <c r="A665" s="19">
        <v>1477</v>
      </c>
      <c r="B665" s="20">
        <v>3780.7183359999999</v>
      </c>
      <c r="C665" s="21" t="s">
        <v>14</v>
      </c>
      <c r="D665" s="21">
        <v>0</v>
      </c>
      <c r="E665" s="21">
        <v>1</v>
      </c>
      <c r="F665" s="21">
        <v>0</v>
      </c>
      <c r="G665" s="21">
        <v>1</v>
      </c>
      <c r="H665" s="21">
        <v>0</v>
      </c>
      <c r="I665" s="21" t="s">
        <v>16</v>
      </c>
      <c r="J665" s="21">
        <v>1</v>
      </c>
      <c r="K665" s="22">
        <v>0</v>
      </c>
      <c r="O665" s="20">
        <v>3780.7183359999999</v>
      </c>
      <c r="P665" s="21">
        <v>0</v>
      </c>
    </row>
    <row r="666" spans="1:16" x14ac:dyDescent="0.3">
      <c r="A666" s="15">
        <v>1478</v>
      </c>
      <c r="B666" s="16">
        <v>6666.6666670000004</v>
      </c>
      <c r="C666" s="17" t="s">
        <v>14</v>
      </c>
      <c r="D666" s="17">
        <v>0</v>
      </c>
      <c r="E666" s="17">
        <v>1</v>
      </c>
      <c r="F666" s="17">
        <v>0</v>
      </c>
      <c r="G666" s="17">
        <v>1</v>
      </c>
      <c r="H666" s="17">
        <v>0</v>
      </c>
      <c r="I666" s="17" t="s">
        <v>16</v>
      </c>
      <c r="J666" s="17">
        <v>0</v>
      </c>
      <c r="K666" s="18">
        <v>0</v>
      </c>
      <c r="O666" s="16">
        <v>6666.6666670000004</v>
      </c>
      <c r="P666" s="17">
        <v>0</v>
      </c>
    </row>
    <row r="667" spans="1:16" x14ac:dyDescent="0.3">
      <c r="A667" s="19">
        <v>1484</v>
      </c>
      <c r="B667" s="20">
        <v>90909.090909999999</v>
      </c>
      <c r="C667" s="21" t="s">
        <v>14</v>
      </c>
      <c r="D667" s="21">
        <v>0</v>
      </c>
      <c r="E667" s="21">
        <v>1</v>
      </c>
      <c r="F667" s="21">
        <v>0</v>
      </c>
      <c r="G667" s="21">
        <v>1</v>
      </c>
      <c r="H667" s="21">
        <v>0</v>
      </c>
      <c r="I667" s="21" t="s">
        <v>16</v>
      </c>
      <c r="J667" s="21">
        <v>1</v>
      </c>
      <c r="K667" s="22">
        <v>0</v>
      </c>
      <c r="O667" s="20">
        <v>90909.090909999999</v>
      </c>
      <c r="P667" s="21">
        <v>0</v>
      </c>
    </row>
    <row r="668" spans="1:16" x14ac:dyDescent="0.3">
      <c r="A668" s="15">
        <v>1490</v>
      </c>
      <c r="B668" s="16">
        <v>86956.521739999996</v>
      </c>
      <c r="C668" s="17" t="s">
        <v>14</v>
      </c>
      <c r="D668" s="17">
        <v>0</v>
      </c>
      <c r="E668" s="17">
        <v>1</v>
      </c>
      <c r="F668" s="17">
        <v>0</v>
      </c>
      <c r="G668" s="17">
        <v>1</v>
      </c>
      <c r="H668" s="17">
        <v>0</v>
      </c>
      <c r="I668" s="17" t="s">
        <v>16</v>
      </c>
      <c r="J668" s="17">
        <v>1</v>
      </c>
      <c r="K668" s="18">
        <v>0</v>
      </c>
      <c r="O668" s="16">
        <v>86956.521739999996</v>
      </c>
      <c r="P668" s="17">
        <v>0</v>
      </c>
    </row>
    <row r="669" spans="1:16" x14ac:dyDescent="0.3">
      <c r="A669" s="19">
        <v>1492</v>
      </c>
      <c r="B669" s="20">
        <v>3000</v>
      </c>
      <c r="C669" s="21" t="s">
        <v>14</v>
      </c>
      <c r="D669" s="21">
        <v>0</v>
      </c>
      <c r="E669" s="21">
        <v>0</v>
      </c>
      <c r="F669" s="21">
        <v>0</v>
      </c>
      <c r="G669" s="21">
        <v>1</v>
      </c>
      <c r="H669" s="21">
        <v>0</v>
      </c>
      <c r="I669" s="21" t="s">
        <v>16</v>
      </c>
      <c r="J669" s="21">
        <v>0</v>
      </c>
      <c r="K669" s="22">
        <v>0</v>
      </c>
      <c r="O669" s="20">
        <v>3000</v>
      </c>
      <c r="P669" s="21">
        <v>0</v>
      </c>
    </row>
    <row r="670" spans="1:16" x14ac:dyDescent="0.3">
      <c r="A670" s="15">
        <v>1493</v>
      </c>
      <c r="B670" s="16">
        <v>5000</v>
      </c>
      <c r="C670" s="17" t="s">
        <v>14</v>
      </c>
      <c r="D670" s="17">
        <v>0</v>
      </c>
      <c r="E670" s="17">
        <v>0</v>
      </c>
      <c r="F670" s="17">
        <v>0</v>
      </c>
      <c r="G670" s="17">
        <v>1</v>
      </c>
      <c r="H670" s="17">
        <v>0</v>
      </c>
      <c r="I670" s="17" t="s">
        <v>16</v>
      </c>
      <c r="J670" s="17">
        <v>1</v>
      </c>
      <c r="K670" s="18">
        <v>1</v>
      </c>
      <c r="O670" s="16">
        <v>5000</v>
      </c>
      <c r="P670" s="17">
        <v>0</v>
      </c>
    </row>
    <row r="671" spans="1:16" x14ac:dyDescent="0.3">
      <c r="A671" s="19">
        <v>1499</v>
      </c>
      <c r="B671" s="20">
        <v>9090.9090909999995</v>
      </c>
      <c r="C671" s="21" t="s">
        <v>14</v>
      </c>
      <c r="D671" s="21">
        <v>0</v>
      </c>
      <c r="E671" s="21">
        <v>0</v>
      </c>
      <c r="F671" s="21">
        <v>0</v>
      </c>
      <c r="G671" s="21">
        <v>1</v>
      </c>
      <c r="H671" s="21">
        <v>0</v>
      </c>
      <c r="I671" s="21" t="s">
        <v>16</v>
      </c>
      <c r="J671" s="21">
        <v>1</v>
      </c>
      <c r="K671" s="22">
        <v>0</v>
      </c>
      <c r="O671" s="20">
        <v>9090.9090909999995</v>
      </c>
      <c r="P671" s="21">
        <v>0</v>
      </c>
    </row>
    <row r="672" spans="1:16" x14ac:dyDescent="0.3">
      <c r="A672" s="15">
        <v>1502</v>
      </c>
      <c r="B672" s="16">
        <v>2500</v>
      </c>
      <c r="C672" s="17" t="s">
        <v>12</v>
      </c>
      <c r="D672" s="17">
        <v>1</v>
      </c>
      <c r="E672" s="17">
        <v>0</v>
      </c>
      <c r="F672" s="17">
        <v>0</v>
      </c>
      <c r="G672" s="17">
        <v>1</v>
      </c>
      <c r="H672" s="17">
        <v>0</v>
      </c>
      <c r="I672" s="17" t="s">
        <v>16</v>
      </c>
      <c r="J672" s="17">
        <v>0</v>
      </c>
      <c r="K672" s="18">
        <v>0</v>
      </c>
      <c r="O672" s="16">
        <v>2500</v>
      </c>
      <c r="P672" s="17">
        <v>0</v>
      </c>
    </row>
    <row r="673" spans="1:16" x14ac:dyDescent="0.3">
      <c r="A673" s="19">
        <v>1505</v>
      </c>
      <c r="B673" s="20">
        <v>25000</v>
      </c>
      <c r="C673" s="21" t="s">
        <v>12</v>
      </c>
      <c r="D673" s="21">
        <v>1</v>
      </c>
      <c r="E673" s="21">
        <v>0</v>
      </c>
      <c r="F673" s="21">
        <v>0</v>
      </c>
      <c r="G673" s="21">
        <v>1</v>
      </c>
      <c r="H673" s="21">
        <v>0</v>
      </c>
      <c r="I673" s="21" t="s">
        <v>16</v>
      </c>
      <c r="J673" s="21">
        <v>1</v>
      </c>
      <c r="K673" s="22">
        <v>1</v>
      </c>
      <c r="O673" s="20">
        <v>25000</v>
      </c>
      <c r="P673" s="21">
        <v>0</v>
      </c>
    </row>
    <row r="674" spans="1:16" x14ac:dyDescent="0.3">
      <c r="A674" s="15">
        <v>1506</v>
      </c>
      <c r="B674" s="16">
        <v>50000</v>
      </c>
      <c r="C674" s="17" t="s">
        <v>14</v>
      </c>
      <c r="D674" s="17">
        <v>0</v>
      </c>
      <c r="E674" s="17">
        <v>1</v>
      </c>
      <c r="F674" s="17">
        <v>0</v>
      </c>
      <c r="G674" s="17">
        <v>1</v>
      </c>
      <c r="H674" s="17">
        <v>0</v>
      </c>
      <c r="I674" s="17" t="s">
        <v>16</v>
      </c>
      <c r="J674" s="17">
        <v>0</v>
      </c>
      <c r="K674" s="18">
        <v>1</v>
      </c>
      <c r="O674" s="16">
        <v>50000</v>
      </c>
      <c r="P674" s="17">
        <v>0</v>
      </c>
    </row>
    <row r="675" spans="1:16" x14ac:dyDescent="0.3">
      <c r="A675" s="19">
        <v>1507</v>
      </c>
      <c r="B675" s="20">
        <v>83333.333329999994</v>
      </c>
      <c r="C675" s="21" t="s">
        <v>14</v>
      </c>
      <c r="D675" s="21">
        <v>0</v>
      </c>
      <c r="E675" s="21">
        <v>0</v>
      </c>
      <c r="F675" s="21">
        <v>0</v>
      </c>
      <c r="G675" s="21">
        <v>1</v>
      </c>
      <c r="H675" s="21">
        <v>0</v>
      </c>
      <c r="I675" s="21" t="s">
        <v>16</v>
      </c>
      <c r="J675" s="21">
        <v>0</v>
      </c>
      <c r="K675" s="22">
        <v>0</v>
      </c>
      <c r="O675" s="20">
        <v>83333.333329999994</v>
      </c>
      <c r="P675" s="21">
        <v>0</v>
      </c>
    </row>
    <row r="676" spans="1:16" x14ac:dyDescent="0.3">
      <c r="A676" s="15">
        <v>1508</v>
      </c>
      <c r="B676" s="16">
        <v>71428.571429999996</v>
      </c>
      <c r="C676" s="17" t="s">
        <v>14</v>
      </c>
      <c r="D676" s="17">
        <v>0</v>
      </c>
      <c r="E676" s="17">
        <v>0</v>
      </c>
      <c r="F676" s="17">
        <v>0</v>
      </c>
      <c r="G676" s="17">
        <v>1</v>
      </c>
      <c r="H676" s="17">
        <v>0</v>
      </c>
      <c r="I676" s="17" t="s">
        <v>16</v>
      </c>
      <c r="J676" s="17">
        <v>1</v>
      </c>
      <c r="K676" s="18">
        <v>0</v>
      </c>
      <c r="O676" s="16">
        <v>71428.571429999996</v>
      </c>
      <c r="P676" s="17">
        <v>0</v>
      </c>
    </row>
    <row r="677" spans="1:16" x14ac:dyDescent="0.3">
      <c r="A677" s="19">
        <v>1509</v>
      </c>
      <c r="B677" s="20">
        <v>83333.333329999994</v>
      </c>
      <c r="C677" s="21" t="s">
        <v>14</v>
      </c>
      <c r="D677" s="21">
        <v>0</v>
      </c>
      <c r="E677" s="21">
        <v>0</v>
      </c>
      <c r="F677" s="21">
        <v>0</v>
      </c>
      <c r="G677" s="21">
        <v>1</v>
      </c>
      <c r="H677" s="21">
        <v>0</v>
      </c>
      <c r="I677" s="21" t="s">
        <v>16</v>
      </c>
      <c r="J677" s="21">
        <v>0</v>
      </c>
      <c r="K677" s="22">
        <v>0</v>
      </c>
      <c r="O677" s="20">
        <v>83333.333329999994</v>
      </c>
      <c r="P677" s="21">
        <v>0</v>
      </c>
    </row>
    <row r="678" spans="1:16" x14ac:dyDescent="0.3">
      <c r="A678" s="15">
        <v>1512</v>
      </c>
      <c r="B678" s="16">
        <v>33333.333330000001</v>
      </c>
      <c r="C678" s="17" t="s">
        <v>14</v>
      </c>
      <c r="D678" s="17">
        <v>0</v>
      </c>
      <c r="E678" s="17">
        <v>0</v>
      </c>
      <c r="F678" s="17">
        <v>0</v>
      </c>
      <c r="G678" s="17">
        <v>1</v>
      </c>
      <c r="H678" s="17">
        <v>0</v>
      </c>
      <c r="I678" s="17" t="s">
        <v>16</v>
      </c>
      <c r="J678" s="17">
        <v>0</v>
      </c>
      <c r="K678" s="18">
        <v>0</v>
      </c>
      <c r="O678" s="16">
        <v>33333.333330000001</v>
      </c>
      <c r="P678" s="17">
        <v>0</v>
      </c>
    </row>
    <row r="679" spans="1:16" x14ac:dyDescent="0.3">
      <c r="A679" s="19">
        <v>1514</v>
      </c>
      <c r="B679" s="20">
        <v>30000</v>
      </c>
      <c r="C679" s="21" t="s">
        <v>14</v>
      </c>
      <c r="D679" s="21">
        <v>0</v>
      </c>
      <c r="E679" s="21">
        <v>1</v>
      </c>
      <c r="F679" s="21">
        <v>0</v>
      </c>
      <c r="G679" s="21">
        <v>1</v>
      </c>
      <c r="H679" s="21">
        <v>0</v>
      </c>
      <c r="I679" s="21" t="s">
        <v>16</v>
      </c>
      <c r="J679" s="21">
        <v>0</v>
      </c>
      <c r="K679" s="22">
        <v>0</v>
      </c>
      <c r="O679" s="20">
        <v>30000</v>
      </c>
      <c r="P679" s="21">
        <v>0</v>
      </c>
    </row>
    <row r="680" spans="1:16" x14ac:dyDescent="0.3">
      <c r="A680" s="15">
        <v>1524</v>
      </c>
      <c r="B680" s="16">
        <v>27272.727269999999</v>
      </c>
      <c r="C680" s="17" t="s">
        <v>12</v>
      </c>
      <c r="D680" s="17">
        <v>1</v>
      </c>
      <c r="E680" s="17">
        <v>1</v>
      </c>
      <c r="F680" s="17">
        <v>0</v>
      </c>
      <c r="G680" s="17">
        <v>1</v>
      </c>
      <c r="H680" s="17">
        <v>0</v>
      </c>
      <c r="I680" s="17" t="s">
        <v>16</v>
      </c>
      <c r="J680" s="17">
        <v>1</v>
      </c>
      <c r="K680" s="18">
        <v>0</v>
      </c>
      <c r="O680" s="16">
        <v>27272.727269999999</v>
      </c>
      <c r="P680" s="17">
        <v>0</v>
      </c>
    </row>
    <row r="681" spans="1:16" x14ac:dyDescent="0.3">
      <c r="A681" s="19">
        <v>1525</v>
      </c>
      <c r="B681" s="20">
        <v>37500</v>
      </c>
      <c r="C681" s="21" t="s">
        <v>14</v>
      </c>
      <c r="D681" s="21">
        <v>0</v>
      </c>
      <c r="E681" s="21">
        <v>0</v>
      </c>
      <c r="F681" s="21">
        <v>0</v>
      </c>
      <c r="G681" s="21">
        <v>1</v>
      </c>
      <c r="H681" s="21">
        <v>0</v>
      </c>
      <c r="I681" s="21" t="s">
        <v>16</v>
      </c>
      <c r="J681" s="21">
        <v>1</v>
      </c>
      <c r="K681" s="22">
        <v>0</v>
      </c>
      <c r="O681" s="20">
        <v>37500</v>
      </c>
      <c r="P681" s="21">
        <v>0</v>
      </c>
    </row>
    <row r="682" spans="1:16" x14ac:dyDescent="0.3">
      <c r="A682" s="15">
        <v>1526</v>
      </c>
      <c r="B682" s="16">
        <v>10000</v>
      </c>
      <c r="C682" s="17" t="s">
        <v>14</v>
      </c>
      <c r="D682" s="17">
        <v>0</v>
      </c>
      <c r="E682" s="17">
        <v>1</v>
      </c>
      <c r="F682" s="17">
        <v>0</v>
      </c>
      <c r="G682" s="17">
        <v>1</v>
      </c>
      <c r="H682" s="17">
        <v>0</v>
      </c>
      <c r="I682" s="17" t="s">
        <v>16</v>
      </c>
      <c r="J682" s="17">
        <v>0</v>
      </c>
      <c r="K682" s="18">
        <v>1</v>
      </c>
      <c r="O682" s="16">
        <v>10000</v>
      </c>
      <c r="P682" s="17">
        <v>0</v>
      </c>
    </row>
    <row r="683" spans="1:16" x14ac:dyDescent="0.3">
      <c r="A683" s="19">
        <v>1527</v>
      </c>
      <c r="B683" s="20">
        <v>38461.538460000003</v>
      </c>
      <c r="C683" s="21" t="s">
        <v>14</v>
      </c>
      <c r="D683" s="21">
        <v>0</v>
      </c>
      <c r="E683" s="21">
        <v>1</v>
      </c>
      <c r="F683" s="21">
        <v>0</v>
      </c>
      <c r="G683" s="21">
        <v>1</v>
      </c>
      <c r="H683" s="21">
        <v>0</v>
      </c>
      <c r="I683" s="21" t="s">
        <v>16</v>
      </c>
      <c r="J683" s="21">
        <v>0</v>
      </c>
      <c r="K683" s="22">
        <v>1</v>
      </c>
      <c r="O683" s="20">
        <v>38461.538460000003</v>
      </c>
      <c r="P683" s="21">
        <v>0</v>
      </c>
    </row>
    <row r="684" spans="1:16" x14ac:dyDescent="0.3">
      <c r="A684" s="15">
        <v>1529</v>
      </c>
      <c r="B684" s="16">
        <v>33333.333330000001</v>
      </c>
      <c r="C684" s="17" t="s">
        <v>12</v>
      </c>
      <c r="D684" s="17">
        <v>1</v>
      </c>
      <c r="E684" s="17">
        <v>0</v>
      </c>
      <c r="F684" s="17">
        <v>0</v>
      </c>
      <c r="G684" s="17">
        <v>1</v>
      </c>
      <c r="H684" s="17">
        <v>0</v>
      </c>
      <c r="I684" s="17" t="s">
        <v>16</v>
      </c>
      <c r="J684" s="17">
        <v>1</v>
      </c>
      <c r="K684" s="18">
        <v>1</v>
      </c>
      <c r="O684" s="16">
        <v>33333.333330000001</v>
      </c>
      <c r="P684" s="17">
        <v>0</v>
      </c>
    </row>
    <row r="685" spans="1:16" x14ac:dyDescent="0.3">
      <c r="A685" s="19">
        <v>1531</v>
      </c>
      <c r="B685" s="20">
        <v>68181.818180000002</v>
      </c>
      <c r="C685" s="21" t="s">
        <v>14</v>
      </c>
      <c r="D685" s="21">
        <v>0</v>
      </c>
      <c r="E685" s="21">
        <v>0</v>
      </c>
      <c r="F685" s="21">
        <v>0</v>
      </c>
      <c r="G685" s="21">
        <v>1</v>
      </c>
      <c r="H685" s="21">
        <v>0</v>
      </c>
      <c r="I685" s="21" t="s">
        <v>16</v>
      </c>
      <c r="J685" s="21">
        <v>1</v>
      </c>
      <c r="K685" s="22">
        <v>1</v>
      </c>
      <c r="O685" s="20">
        <v>68181.818180000002</v>
      </c>
      <c r="P685" s="21">
        <v>0</v>
      </c>
    </row>
    <row r="686" spans="1:16" x14ac:dyDescent="0.3">
      <c r="A686" s="15">
        <v>1532</v>
      </c>
      <c r="B686" s="16">
        <v>42553.191489999997</v>
      </c>
      <c r="C686" s="17" t="s">
        <v>14</v>
      </c>
      <c r="D686" s="17">
        <v>0</v>
      </c>
      <c r="E686" s="17">
        <v>0</v>
      </c>
      <c r="F686" s="17">
        <v>0</v>
      </c>
      <c r="G686" s="17">
        <v>1</v>
      </c>
      <c r="H686" s="17">
        <v>0</v>
      </c>
      <c r="I686" s="17" t="s">
        <v>16</v>
      </c>
      <c r="J686" s="17">
        <v>1</v>
      </c>
      <c r="K686" s="18">
        <v>0</v>
      </c>
      <c r="O686" s="16">
        <v>42553.191489999997</v>
      </c>
      <c r="P686" s="17">
        <v>0</v>
      </c>
    </row>
    <row r="687" spans="1:16" x14ac:dyDescent="0.3">
      <c r="A687" s="19">
        <v>1533</v>
      </c>
      <c r="B687" s="20">
        <v>10000</v>
      </c>
      <c r="C687" s="21" t="s">
        <v>14</v>
      </c>
      <c r="D687" s="21">
        <v>0</v>
      </c>
      <c r="E687" s="21">
        <v>0</v>
      </c>
      <c r="F687" s="21">
        <v>0</v>
      </c>
      <c r="G687" s="21">
        <v>1</v>
      </c>
      <c r="H687" s="21">
        <v>0</v>
      </c>
      <c r="I687" s="21" t="s">
        <v>16</v>
      </c>
      <c r="J687" s="21">
        <v>1</v>
      </c>
      <c r="K687" s="22">
        <v>1</v>
      </c>
      <c r="O687" s="20">
        <v>10000</v>
      </c>
      <c r="P687" s="21">
        <v>0</v>
      </c>
    </row>
    <row r="688" spans="1:16" x14ac:dyDescent="0.3">
      <c r="A688" s="15">
        <v>1534</v>
      </c>
      <c r="B688" s="16">
        <v>47505.938240000003</v>
      </c>
      <c r="C688" s="17" t="s">
        <v>14</v>
      </c>
      <c r="D688" s="17">
        <v>0</v>
      </c>
      <c r="E688" s="17">
        <v>0</v>
      </c>
      <c r="F688" s="17">
        <v>0</v>
      </c>
      <c r="G688" s="17">
        <v>1</v>
      </c>
      <c r="H688" s="17">
        <v>0</v>
      </c>
      <c r="I688" s="17" t="s">
        <v>16</v>
      </c>
      <c r="J688" s="17">
        <v>0</v>
      </c>
      <c r="K688" s="18">
        <v>0</v>
      </c>
      <c r="O688" s="16">
        <v>47505.938240000003</v>
      </c>
      <c r="P688" s="17">
        <v>0</v>
      </c>
    </row>
    <row r="689" spans="1:16" x14ac:dyDescent="0.3">
      <c r="A689" s="19">
        <v>1535</v>
      </c>
      <c r="B689" s="20">
        <v>28571.42857</v>
      </c>
      <c r="C689" s="21" t="s">
        <v>12</v>
      </c>
      <c r="D689" s="21">
        <v>1</v>
      </c>
      <c r="E689" s="21">
        <v>0</v>
      </c>
      <c r="F689" s="21">
        <v>0</v>
      </c>
      <c r="G689" s="21">
        <v>1</v>
      </c>
      <c r="H689" s="21">
        <v>0</v>
      </c>
      <c r="I689" s="21" t="s">
        <v>16</v>
      </c>
      <c r="J689" s="21">
        <v>1</v>
      </c>
      <c r="K689" s="22">
        <v>0</v>
      </c>
      <c r="O689" s="20">
        <v>28571.42857</v>
      </c>
      <c r="P689" s="21">
        <v>0</v>
      </c>
    </row>
    <row r="690" spans="1:16" x14ac:dyDescent="0.3">
      <c r="A690" s="15">
        <v>1536</v>
      </c>
      <c r="B690" s="16">
        <v>25000</v>
      </c>
      <c r="C690" s="17" t="s">
        <v>14</v>
      </c>
      <c r="D690" s="17">
        <v>0</v>
      </c>
      <c r="E690" s="17">
        <v>0</v>
      </c>
      <c r="F690" s="17">
        <v>0</v>
      </c>
      <c r="G690" s="17">
        <v>1</v>
      </c>
      <c r="H690" s="17">
        <v>0</v>
      </c>
      <c r="I690" s="17" t="s">
        <v>16</v>
      </c>
      <c r="J690" s="17">
        <v>0</v>
      </c>
      <c r="K690" s="18">
        <v>1</v>
      </c>
      <c r="O690" s="16">
        <v>25000</v>
      </c>
      <c r="P690" s="17">
        <v>0</v>
      </c>
    </row>
    <row r="691" spans="1:16" x14ac:dyDescent="0.3">
      <c r="A691" s="19">
        <v>1537</v>
      </c>
      <c r="B691" s="20">
        <v>50000</v>
      </c>
      <c r="C691" s="21" t="s">
        <v>14</v>
      </c>
      <c r="D691" s="21">
        <v>0</v>
      </c>
      <c r="E691" s="21">
        <v>0</v>
      </c>
      <c r="F691" s="21">
        <v>0</v>
      </c>
      <c r="G691" s="21">
        <v>1</v>
      </c>
      <c r="H691" s="21">
        <v>0</v>
      </c>
      <c r="I691" s="21" t="s">
        <v>16</v>
      </c>
      <c r="J691" s="21">
        <v>1</v>
      </c>
      <c r="K691" s="22">
        <v>0</v>
      </c>
      <c r="O691" s="20">
        <v>50000</v>
      </c>
      <c r="P691" s="21">
        <v>0</v>
      </c>
    </row>
    <row r="692" spans="1:16" x14ac:dyDescent="0.3">
      <c r="A692" s="15">
        <v>1538</v>
      </c>
      <c r="B692" s="16">
        <v>29411.764709999999</v>
      </c>
      <c r="C692" s="17" t="s">
        <v>12</v>
      </c>
      <c r="D692" s="17">
        <v>1</v>
      </c>
      <c r="E692" s="17">
        <v>0</v>
      </c>
      <c r="F692" s="17">
        <v>0</v>
      </c>
      <c r="G692" s="17">
        <v>1</v>
      </c>
      <c r="H692" s="17">
        <v>0</v>
      </c>
      <c r="I692" s="17" t="s">
        <v>16</v>
      </c>
      <c r="J692" s="17">
        <v>1</v>
      </c>
      <c r="K692" s="18">
        <v>1</v>
      </c>
      <c r="O692" s="16">
        <v>29411.764709999999</v>
      </c>
      <c r="P692" s="17">
        <v>0</v>
      </c>
    </row>
    <row r="693" spans="1:16" x14ac:dyDescent="0.3">
      <c r="A693" s="19">
        <v>1539</v>
      </c>
      <c r="B693" s="20">
        <v>68181.818180000002</v>
      </c>
      <c r="C693" s="21" t="s">
        <v>14</v>
      </c>
      <c r="D693" s="21">
        <v>0</v>
      </c>
      <c r="E693" s="21">
        <v>1</v>
      </c>
      <c r="F693" s="21">
        <v>0</v>
      </c>
      <c r="G693" s="21">
        <v>1</v>
      </c>
      <c r="H693" s="21">
        <v>0</v>
      </c>
      <c r="I693" s="21" t="s">
        <v>16</v>
      </c>
      <c r="J693" s="21">
        <v>1</v>
      </c>
      <c r="K693" s="22">
        <v>0</v>
      </c>
      <c r="O693" s="20">
        <v>68181.818180000002</v>
      </c>
      <c r="P693" s="21">
        <v>0</v>
      </c>
    </row>
    <row r="694" spans="1:16" x14ac:dyDescent="0.3">
      <c r="A694" s="15">
        <v>1540</v>
      </c>
      <c r="B694" s="16">
        <v>13333.333329999999</v>
      </c>
      <c r="C694" s="17" t="s">
        <v>14</v>
      </c>
      <c r="D694" s="17">
        <v>0</v>
      </c>
      <c r="E694" s="17">
        <v>1</v>
      </c>
      <c r="F694" s="17">
        <v>0</v>
      </c>
      <c r="G694" s="17">
        <v>1</v>
      </c>
      <c r="H694" s="17">
        <v>0</v>
      </c>
      <c r="I694" s="17" t="s">
        <v>16</v>
      </c>
      <c r="J694" s="17">
        <v>0</v>
      </c>
      <c r="K694" s="18">
        <v>0</v>
      </c>
      <c r="O694" s="16">
        <v>13333.333329999999</v>
      </c>
      <c r="P694" s="17">
        <v>0</v>
      </c>
    </row>
    <row r="695" spans="1:16" x14ac:dyDescent="0.3">
      <c r="A695" s="19">
        <v>1541</v>
      </c>
      <c r="B695" s="20">
        <v>8333.3333330000005</v>
      </c>
      <c r="C695" s="21" t="s">
        <v>14</v>
      </c>
      <c r="D695" s="21">
        <v>0</v>
      </c>
      <c r="E695" s="21">
        <v>1</v>
      </c>
      <c r="F695" s="21">
        <v>0</v>
      </c>
      <c r="G695" s="21">
        <v>1</v>
      </c>
      <c r="H695" s="21">
        <v>0</v>
      </c>
      <c r="I695" s="21" t="s">
        <v>16</v>
      </c>
      <c r="J695" s="21">
        <v>0</v>
      </c>
      <c r="K695" s="22">
        <v>0</v>
      </c>
      <c r="O695" s="20">
        <v>8333.3333330000005</v>
      </c>
      <c r="P695" s="21">
        <v>0</v>
      </c>
    </row>
    <row r="696" spans="1:16" x14ac:dyDescent="0.3">
      <c r="A696" s="15">
        <v>1543</v>
      </c>
      <c r="B696" s="16">
        <v>18181.818179999998</v>
      </c>
      <c r="C696" s="17" t="s">
        <v>14</v>
      </c>
      <c r="D696" s="17">
        <v>0</v>
      </c>
      <c r="E696" s="17">
        <v>0</v>
      </c>
      <c r="F696" s="17">
        <v>0</v>
      </c>
      <c r="G696" s="17">
        <v>1</v>
      </c>
      <c r="H696" s="17">
        <v>0</v>
      </c>
      <c r="I696" s="17" t="s">
        <v>16</v>
      </c>
      <c r="J696" s="17">
        <v>0</v>
      </c>
      <c r="K696" s="18">
        <v>1</v>
      </c>
      <c r="O696" s="16">
        <v>18181.818179999998</v>
      </c>
      <c r="P696" s="17">
        <v>0</v>
      </c>
    </row>
    <row r="697" spans="1:16" x14ac:dyDescent="0.3">
      <c r="A697" s="19">
        <v>1544</v>
      </c>
      <c r="B697" s="20">
        <v>10000</v>
      </c>
      <c r="C697" s="21" t="s">
        <v>14</v>
      </c>
      <c r="D697" s="21">
        <v>0</v>
      </c>
      <c r="E697" s="21">
        <v>0</v>
      </c>
      <c r="F697" s="21">
        <v>0</v>
      </c>
      <c r="G697" s="21">
        <v>1</v>
      </c>
      <c r="H697" s="21">
        <v>0</v>
      </c>
      <c r="I697" s="21" t="s">
        <v>16</v>
      </c>
      <c r="J697" s="21">
        <v>0</v>
      </c>
      <c r="K697" s="22">
        <v>0</v>
      </c>
      <c r="O697" s="20">
        <v>10000</v>
      </c>
      <c r="P697" s="21">
        <v>0</v>
      </c>
    </row>
    <row r="698" spans="1:16" x14ac:dyDescent="0.3">
      <c r="A698" s="15">
        <v>1545</v>
      </c>
      <c r="B698" s="16">
        <v>60000</v>
      </c>
      <c r="C698" s="17" t="s">
        <v>14</v>
      </c>
      <c r="D698" s="17">
        <v>0</v>
      </c>
      <c r="E698" s="17">
        <v>0</v>
      </c>
      <c r="F698" s="17">
        <v>0</v>
      </c>
      <c r="G698" s="17">
        <v>1</v>
      </c>
      <c r="H698" s="17">
        <v>0</v>
      </c>
      <c r="I698" s="17" t="s">
        <v>16</v>
      </c>
      <c r="J698" s="17">
        <v>0</v>
      </c>
      <c r="K698" s="18">
        <v>0</v>
      </c>
      <c r="O698" s="16">
        <v>60000</v>
      </c>
      <c r="P698" s="17">
        <v>0</v>
      </c>
    </row>
    <row r="699" spans="1:16" x14ac:dyDescent="0.3">
      <c r="A699" s="19">
        <v>1546</v>
      </c>
      <c r="B699" s="20">
        <v>41666.666669999999</v>
      </c>
      <c r="C699" s="21" t="s">
        <v>14</v>
      </c>
      <c r="D699" s="21">
        <v>0</v>
      </c>
      <c r="E699" s="21">
        <v>1</v>
      </c>
      <c r="F699" s="21">
        <v>0</v>
      </c>
      <c r="G699" s="21">
        <v>1</v>
      </c>
      <c r="H699" s="21">
        <v>0</v>
      </c>
      <c r="I699" s="21" t="s">
        <v>16</v>
      </c>
      <c r="J699" s="21">
        <v>1</v>
      </c>
      <c r="K699" s="22">
        <v>0</v>
      </c>
      <c r="O699" s="20">
        <v>41666.666669999999</v>
      </c>
      <c r="P699" s="21">
        <v>0</v>
      </c>
    </row>
    <row r="700" spans="1:16" x14ac:dyDescent="0.3">
      <c r="A700" s="15">
        <v>1547</v>
      </c>
      <c r="B700" s="16">
        <v>40000</v>
      </c>
      <c r="C700" s="17" t="s">
        <v>14</v>
      </c>
      <c r="D700" s="17">
        <v>0</v>
      </c>
      <c r="E700" s="17">
        <v>0</v>
      </c>
      <c r="F700" s="17">
        <v>0</v>
      </c>
      <c r="G700" s="17">
        <v>1</v>
      </c>
      <c r="H700" s="17">
        <v>0</v>
      </c>
      <c r="I700" s="17" t="s">
        <v>16</v>
      </c>
      <c r="J700" s="17">
        <v>1</v>
      </c>
      <c r="K700" s="18">
        <v>0</v>
      </c>
      <c r="O700" s="16">
        <v>40000</v>
      </c>
      <c r="P700" s="17">
        <v>0</v>
      </c>
    </row>
    <row r="701" spans="1:16" x14ac:dyDescent="0.3">
      <c r="A701" s="19">
        <v>1548</v>
      </c>
      <c r="B701" s="20">
        <v>9615.3846150000008</v>
      </c>
      <c r="C701" s="21" t="s">
        <v>14</v>
      </c>
      <c r="D701" s="21">
        <v>0</v>
      </c>
      <c r="E701" s="21">
        <v>0</v>
      </c>
      <c r="F701" s="21">
        <v>0</v>
      </c>
      <c r="G701" s="21">
        <v>1</v>
      </c>
      <c r="H701" s="21">
        <v>0</v>
      </c>
      <c r="I701" s="21" t="s">
        <v>16</v>
      </c>
      <c r="J701" s="21">
        <v>0</v>
      </c>
      <c r="K701" s="22">
        <v>0</v>
      </c>
      <c r="O701" s="20">
        <v>9615.3846150000008</v>
      </c>
      <c r="P701" s="21">
        <v>0</v>
      </c>
    </row>
    <row r="702" spans="1:16" x14ac:dyDescent="0.3">
      <c r="A702" s="15">
        <v>1549</v>
      </c>
      <c r="B702" s="16">
        <v>13888.88889</v>
      </c>
      <c r="C702" s="17" t="s">
        <v>14</v>
      </c>
      <c r="D702" s="17">
        <v>0</v>
      </c>
      <c r="E702" s="17">
        <v>1</v>
      </c>
      <c r="F702" s="17">
        <v>0</v>
      </c>
      <c r="G702" s="17">
        <v>1</v>
      </c>
      <c r="H702" s="17">
        <v>0</v>
      </c>
      <c r="I702" s="17" t="s">
        <v>16</v>
      </c>
      <c r="J702" s="17">
        <v>0</v>
      </c>
      <c r="K702" s="18">
        <v>0</v>
      </c>
      <c r="O702" s="16">
        <v>13888.88889</v>
      </c>
      <c r="P702" s="17">
        <v>0</v>
      </c>
    </row>
    <row r="703" spans="1:16" x14ac:dyDescent="0.3">
      <c r="A703" s="19">
        <v>1550</v>
      </c>
      <c r="B703" s="20">
        <v>11904.7619</v>
      </c>
      <c r="C703" s="21" t="s">
        <v>14</v>
      </c>
      <c r="D703" s="21">
        <v>0</v>
      </c>
      <c r="E703" s="21">
        <v>0</v>
      </c>
      <c r="F703" s="21">
        <v>1</v>
      </c>
      <c r="G703" s="21">
        <v>1</v>
      </c>
      <c r="H703" s="21">
        <v>0</v>
      </c>
      <c r="I703" s="21" t="s">
        <v>16</v>
      </c>
      <c r="J703" s="21">
        <v>0</v>
      </c>
      <c r="K703" s="22">
        <v>0</v>
      </c>
      <c r="O703" s="20">
        <v>11904.7619</v>
      </c>
      <c r="P703" s="21">
        <v>1</v>
      </c>
    </row>
    <row r="704" spans="1:16" x14ac:dyDescent="0.3">
      <c r="A704" s="15">
        <v>1552</v>
      </c>
      <c r="B704" s="16">
        <v>10000</v>
      </c>
      <c r="C704" s="17" t="s">
        <v>14</v>
      </c>
      <c r="D704" s="17">
        <v>0</v>
      </c>
      <c r="E704" s="17">
        <v>0</v>
      </c>
      <c r="F704" s="17">
        <v>0</v>
      </c>
      <c r="G704" s="17">
        <v>1</v>
      </c>
      <c r="H704" s="17">
        <v>0</v>
      </c>
      <c r="I704" s="17" t="s">
        <v>16</v>
      </c>
      <c r="J704" s="17">
        <v>0</v>
      </c>
      <c r="K704" s="18">
        <v>0</v>
      </c>
      <c r="O704" s="16">
        <v>10000</v>
      </c>
      <c r="P704" s="17">
        <v>0</v>
      </c>
    </row>
    <row r="705" spans="1:16" x14ac:dyDescent="0.3">
      <c r="A705" s="19">
        <v>1555</v>
      </c>
      <c r="B705" s="20">
        <v>15625</v>
      </c>
      <c r="C705" s="21" t="s">
        <v>14</v>
      </c>
      <c r="D705" s="21">
        <v>0</v>
      </c>
      <c r="E705" s="21">
        <v>1</v>
      </c>
      <c r="F705" s="21">
        <v>0</v>
      </c>
      <c r="G705" s="21">
        <v>1</v>
      </c>
      <c r="H705" s="21">
        <v>0</v>
      </c>
      <c r="I705" s="21" t="s">
        <v>16</v>
      </c>
      <c r="J705" s="21">
        <v>0</v>
      </c>
      <c r="K705" s="22">
        <v>0</v>
      </c>
      <c r="O705" s="20">
        <v>15625</v>
      </c>
      <c r="P705" s="21">
        <v>0</v>
      </c>
    </row>
    <row r="706" spans="1:16" x14ac:dyDescent="0.3">
      <c r="A706" s="15">
        <v>1556</v>
      </c>
      <c r="B706" s="16">
        <v>7936.5079370000003</v>
      </c>
      <c r="C706" s="17" t="s">
        <v>14</v>
      </c>
      <c r="D706" s="17">
        <v>0</v>
      </c>
      <c r="E706" s="17">
        <v>0</v>
      </c>
      <c r="F706" s="17">
        <v>0</v>
      </c>
      <c r="G706" s="17">
        <v>1</v>
      </c>
      <c r="H706" s="17">
        <v>0</v>
      </c>
      <c r="I706" s="17" t="s">
        <v>16</v>
      </c>
      <c r="J706" s="17">
        <v>0</v>
      </c>
      <c r="K706" s="18">
        <v>0</v>
      </c>
      <c r="O706" s="16">
        <v>7936.5079370000003</v>
      </c>
      <c r="P706" s="17">
        <v>0</v>
      </c>
    </row>
    <row r="707" spans="1:16" x14ac:dyDescent="0.3">
      <c r="A707" s="19">
        <v>1557</v>
      </c>
      <c r="B707" s="20">
        <v>31250</v>
      </c>
      <c r="C707" s="21" t="s">
        <v>12</v>
      </c>
      <c r="D707" s="21">
        <v>1</v>
      </c>
      <c r="E707" s="21">
        <v>0</v>
      </c>
      <c r="F707" s="21">
        <v>0</v>
      </c>
      <c r="G707" s="21">
        <v>1</v>
      </c>
      <c r="H707" s="21">
        <v>0</v>
      </c>
      <c r="I707" s="21" t="s">
        <v>16</v>
      </c>
      <c r="J707" s="21">
        <v>0</v>
      </c>
      <c r="K707" s="22">
        <v>0</v>
      </c>
      <c r="O707" s="20">
        <v>31250</v>
      </c>
      <c r="P707" s="21">
        <v>0</v>
      </c>
    </row>
    <row r="708" spans="1:16" x14ac:dyDescent="0.3">
      <c r="A708" s="15">
        <v>1558</v>
      </c>
      <c r="B708" s="16">
        <v>27272.727269999999</v>
      </c>
      <c r="C708" s="17" t="s">
        <v>14</v>
      </c>
      <c r="D708" s="17">
        <v>0</v>
      </c>
      <c r="E708" s="17">
        <v>0</v>
      </c>
      <c r="F708" s="17">
        <v>1</v>
      </c>
      <c r="G708" s="17">
        <v>1</v>
      </c>
      <c r="H708" s="17">
        <v>0</v>
      </c>
      <c r="I708" s="17" t="s">
        <v>16</v>
      </c>
      <c r="J708" s="17">
        <v>0</v>
      </c>
      <c r="K708" s="18">
        <v>0</v>
      </c>
      <c r="O708" s="16">
        <v>27272.727269999999</v>
      </c>
      <c r="P708" s="17">
        <v>1</v>
      </c>
    </row>
    <row r="709" spans="1:16" x14ac:dyDescent="0.3">
      <c r="A709" s="19">
        <v>1559</v>
      </c>
      <c r="B709" s="20">
        <v>12500</v>
      </c>
      <c r="C709" s="21" t="s">
        <v>14</v>
      </c>
      <c r="D709" s="21">
        <v>0</v>
      </c>
      <c r="E709" s="21">
        <v>1</v>
      </c>
      <c r="F709" s="21">
        <v>1</v>
      </c>
      <c r="G709" s="21">
        <v>1</v>
      </c>
      <c r="H709" s="21">
        <v>0</v>
      </c>
      <c r="I709" s="21" t="s">
        <v>16</v>
      </c>
      <c r="J709" s="21">
        <v>0</v>
      </c>
      <c r="K709" s="22">
        <v>0</v>
      </c>
      <c r="O709" s="20">
        <v>12500</v>
      </c>
      <c r="P709" s="21">
        <v>1</v>
      </c>
    </row>
    <row r="710" spans="1:16" x14ac:dyDescent="0.3">
      <c r="A710" s="15">
        <v>1562</v>
      </c>
      <c r="B710" s="16">
        <v>4000</v>
      </c>
      <c r="C710" s="17" t="s">
        <v>14</v>
      </c>
      <c r="D710" s="17">
        <v>0</v>
      </c>
      <c r="E710" s="17">
        <v>0</v>
      </c>
      <c r="F710" s="17">
        <v>0</v>
      </c>
      <c r="G710" s="17">
        <v>1</v>
      </c>
      <c r="H710" s="17">
        <v>0</v>
      </c>
      <c r="I710" s="17" t="s">
        <v>16</v>
      </c>
      <c r="J710" s="17">
        <v>1</v>
      </c>
      <c r="K710" s="18">
        <v>0</v>
      </c>
      <c r="O710" s="16">
        <v>4000</v>
      </c>
      <c r="P710" s="17">
        <v>0</v>
      </c>
    </row>
    <row r="711" spans="1:16" x14ac:dyDescent="0.3">
      <c r="A711" s="19">
        <v>1563</v>
      </c>
      <c r="B711" s="20">
        <v>5555.5555560000003</v>
      </c>
      <c r="C711" s="21" t="s">
        <v>14</v>
      </c>
      <c r="D711" s="21">
        <v>0</v>
      </c>
      <c r="E711" s="21">
        <v>0</v>
      </c>
      <c r="F711" s="21">
        <v>1</v>
      </c>
      <c r="G711" s="21">
        <v>1</v>
      </c>
      <c r="H711" s="21">
        <v>0</v>
      </c>
      <c r="I711" s="21" t="s">
        <v>16</v>
      </c>
      <c r="J711" s="21">
        <v>0</v>
      </c>
      <c r="K711" s="22">
        <v>0</v>
      </c>
      <c r="O711" s="20">
        <v>5555.5555560000003</v>
      </c>
      <c r="P711" s="21">
        <v>1</v>
      </c>
    </row>
    <row r="712" spans="1:16" x14ac:dyDescent="0.3">
      <c r="A712" s="15">
        <v>1564</v>
      </c>
      <c r="B712" s="16">
        <v>78125</v>
      </c>
      <c r="C712" s="17" t="s">
        <v>14</v>
      </c>
      <c r="D712" s="17">
        <v>0</v>
      </c>
      <c r="E712" s="17">
        <v>0</v>
      </c>
      <c r="F712" s="17">
        <v>0</v>
      </c>
      <c r="G712" s="17">
        <v>1</v>
      </c>
      <c r="H712" s="17">
        <v>0</v>
      </c>
      <c r="I712" s="17" t="s">
        <v>16</v>
      </c>
      <c r="J712" s="17">
        <v>0</v>
      </c>
      <c r="K712" s="18">
        <v>0</v>
      </c>
      <c r="O712" s="16">
        <v>78125</v>
      </c>
      <c r="P712" s="17">
        <v>0</v>
      </c>
    </row>
    <row r="713" spans="1:16" x14ac:dyDescent="0.3">
      <c r="A713" s="19">
        <v>1565</v>
      </c>
      <c r="B713" s="20">
        <v>-16666.666669999999</v>
      </c>
      <c r="C713" s="21" t="s">
        <v>14</v>
      </c>
      <c r="D713" s="21">
        <v>0</v>
      </c>
      <c r="E713" s="21">
        <v>0</v>
      </c>
      <c r="F713" s="21">
        <v>0</v>
      </c>
      <c r="G713" s="21">
        <v>1</v>
      </c>
      <c r="H713" s="21">
        <v>0</v>
      </c>
      <c r="I713" s="21" t="s">
        <v>16</v>
      </c>
      <c r="J713" s="21">
        <v>0</v>
      </c>
      <c r="K713" s="22">
        <v>0</v>
      </c>
      <c r="O713" s="20">
        <v>-16666.666669999999</v>
      </c>
      <c r="P713" s="21">
        <v>0</v>
      </c>
    </row>
    <row r="714" spans="1:16" x14ac:dyDescent="0.3">
      <c r="A714" s="15">
        <v>1566</v>
      </c>
      <c r="B714" s="16">
        <v>5791.5057919999999</v>
      </c>
      <c r="C714" s="17" t="s">
        <v>14</v>
      </c>
      <c r="D714" s="17">
        <v>0</v>
      </c>
      <c r="E714" s="17">
        <v>1</v>
      </c>
      <c r="F714" s="17">
        <v>0</v>
      </c>
      <c r="G714" s="17">
        <v>1</v>
      </c>
      <c r="H714" s="17">
        <v>0</v>
      </c>
      <c r="I714" s="17" t="s">
        <v>16</v>
      </c>
      <c r="J714" s="17">
        <v>0</v>
      </c>
      <c r="K714" s="18">
        <v>0</v>
      </c>
      <c r="O714" s="16">
        <v>5791.5057919999999</v>
      </c>
      <c r="P714" s="17">
        <v>0</v>
      </c>
    </row>
    <row r="715" spans="1:16" x14ac:dyDescent="0.3">
      <c r="A715" s="19">
        <v>1568</v>
      </c>
      <c r="B715" s="20">
        <v>6250</v>
      </c>
      <c r="C715" s="21" t="s">
        <v>14</v>
      </c>
      <c r="D715" s="21">
        <v>0</v>
      </c>
      <c r="E715" s="21">
        <v>0</v>
      </c>
      <c r="F715" s="21">
        <v>1</v>
      </c>
      <c r="G715" s="21">
        <v>1</v>
      </c>
      <c r="H715" s="21">
        <v>0</v>
      </c>
      <c r="I715" s="21" t="s">
        <v>16</v>
      </c>
      <c r="J715" s="21">
        <v>0</v>
      </c>
      <c r="K715" s="22">
        <v>0</v>
      </c>
      <c r="O715" s="20">
        <v>6250</v>
      </c>
      <c r="P715" s="21">
        <v>1</v>
      </c>
    </row>
    <row r="716" spans="1:16" x14ac:dyDescent="0.3">
      <c r="A716" s="15">
        <v>1569</v>
      </c>
      <c r="B716" s="16">
        <v>7923.9302690000004</v>
      </c>
      <c r="C716" s="17" t="s">
        <v>12</v>
      </c>
      <c r="D716" s="17">
        <v>1</v>
      </c>
      <c r="E716" s="17">
        <v>0</v>
      </c>
      <c r="F716" s="17">
        <v>0</v>
      </c>
      <c r="G716" s="17">
        <v>1</v>
      </c>
      <c r="H716" s="17">
        <v>0</v>
      </c>
      <c r="I716" s="17" t="s">
        <v>16</v>
      </c>
      <c r="J716" s="17">
        <v>1</v>
      </c>
      <c r="K716" s="18">
        <v>0</v>
      </c>
      <c r="O716" s="16">
        <v>7923.9302690000004</v>
      </c>
      <c r="P716" s="17">
        <v>0</v>
      </c>
    </row>
    <row r="717" spans="1:16" x14ac:dyDescent="0.3">
      <c r="A717" s="19">
        <v>1572</v>
      </c>
      <c r="B717" s="20">
        <v>17241.37931</v>
      </c>
      <c r="C717" s="21" t="s">
        <v>12</v>
      </c>
      <c r="D717" s="21">
        <v>1</v>
      </c>
      <c r="E717" s="21">
        <v>0</v>
      </c>
      <c r="F717" s="21">
        <v>0</v>
      </c>
      <c r="G717" s="21">
        <v>0</v>
      </c>
      <c r="H717" s="21">
        <v>1</v>
      </c>
      <c r="I717" s="21" t="s">
        <v>16</v>
      </c>
      <c r="J717" s="21">
        <v>0</v>
      </c>
      <c r="K717" s="22">
        <v>1</v>
      </c>
      <c r="O717" s="20">
        <v>17241.37931</v>
      </c>
      <c r="P717" s="21">
        <v>0</v>
      </c>
    </row>
    <row r="718" spans="1:16" x14ac:dyDescent="0.3">
      <c r="A718" s="15">
        <v>1573</v>
      </c>
      <c r="B718" s="16">
        <v>13333.333329999999</v>
      </c>
      <c r="C718" s="17" t="s">
        <v>14</v>
      </c>
      <c r="D718" s="17">
        <v>0</v>
      </c>
      <c r="E718" s="17">
        <v>0</v>
      </c>
      <c r="F718" s="17">
        <v>0</v>
      </c>
      <c r="G718" s="17">
        <v>0</v>
      </c>
      <c r="H718" s="17">
        <v>1</v>
      </c>
      <c r="I718" s="17" t="s">
        <v>16</v>
      </c>
      <c r="J718" s="17">
        <v>0</v>
      </c>
      <c r="K718" s="18">
        <v>0</v>
      </c>
      <c r="O718" s="16">
        <v>13333.333329999999</v>
      </c>
      <c r="P718" s="17">
        <v>0</v>
      </c>
    </row>
    <row r="719" spans="1:16" x14ac:dyDescent="0.3">
      <c r="A719" s="19">
        <v>1574</v>
      </c>
      <c r="B719" s="20">
        <v>10000</v>
      </c>
      <c r="C719" s="21" t="s">
        <v>14</v>
      </c>
      <c r="D719" s="21">
        <v>0</v>
      </c>
      <c r="E719" s="21">
        <v>0</v>
      </c>
      <c r="F719" s="21">
        <v>0</v>
      </c>
      <c r="G719" s="21">
        <v>0</v>
      </c>
      <c r="H719" s="21">
        <v>1</v>
      </c>
      <c r="I719" s="21" t="s">
        <v>16</v>
      </c>
      <c r="J719" s="21">
        <v>1</v>
      </c>
      <c r="K719" s="22">
        <v>0</v>
      </c>
      <c r="O719" s="20">
        <v>10000</v>
      </c>
      <c r="P719" s="21">
        <v>0</v>
      </c>
    </row>
    <row r="720" spans="1:16" x14ac:dyDescent="0.3">
      <c r="A720" s="15">
        <v>1575</v>
      </c>
      <c r="B720" s="16">
        <v>5000</v>
      </c>
      <c r="C720" s="17" t="s">
        <v>12</v>
      </c>
      <c r="D720" s="17">
        <v>1</v>
      </c>
      <c r="E720" s="17">
        <v>0</v>
      </c>
      <c r="F720" s="17">
        <v>0</v>
      </c>
      <c r="G720" s="17">
        <v>0</v>
      </c>
      <c r="H720" s="17">
        <v>1</v>
      </c>
      <c r="I720" s="17" t="s">
        <v>16</v>
      </c>
      <c r="J720" s="17">
        <v>1</v>
      </c>
      <c r="K720" s="18">
        <v>1</v>
      </c>
      <c r="O720" s="16">
        <v>5000</v>
      </c>
      <c r="P720" s="17">
        <v>0</v>
      </c>
    </row>
    <row r="721" spans="1:16" x14ac:dyDescent="0.3">
      <c r="A721" s="19">
        <v>1576</v>
      </c>
      <c r="B721" s="20">
        <v>10000</v>
      </c>
      <c r="C721" s="21" t="s">
        <v>14</v>
      </c>
      <c r="D721" s="21">
        <v>0</v>
      </c>
      <c r="E721" s="21">
        <v>0</v>
      </c>
      <c r="F721" s="21">
        <v>0</v>
      </c>
      <c r="G721" s="21">
        <v>0</v>
      </c>
      <c r="H721" s="21">
        <v>1</v>
      </c>
      <c r="I721" s="21" t="s">
        <v>16</v>
      </c>
      <c r="J721" s="21">
        <v>1</v>
      </c>
      <c r="K721" s="22">
        <v>0</v>
      </c>
      <c r="O721" s="20">
        <v>10000</v>
      </c>
      <c r="P721" s="21">
        <v>0</v>
      </c>
    </row>
    <row r="722" spans="1:16" x14ac:dyDescent="0.3">
      <c r="A722" s="15">
        <v>1577</v>
      </c>
      <c r="B722" s="16">
        <v>10000</v>
      </c>
      <c r="C722" s="17" t="s">
        <v>14</v>
      </c>
      <c r="D722" s="17">
        <v>0</v>
      </c>
      <c r="E722" s="17">
        <v>0</v>
      </c>
      <c r="F722" s="17">
        <v>0</v>
      </c>
      <c r="G722" s="17">
        <v>0</v>
      </c>
      <c r="H722" s="17">
        <v>1</v>
      </c>
      <c r="I722" s="17" t="s">
        <v>16</v>
      </c>
      <c r="J722" s="17">
        <v>0</v>
      </c>
      <c r="K722" s="18">
        <v>0</v>
      </c>
      <c r="O722" s="16">
        <v>10000</v>
      </c>
      <c r="P722" s="17">
        <v>0</v>
      </c>
    </row>
    <row r="723" spans="1:16" x14ac:dyDescent="0.3">
      <c r="A723" s="19">
        <v>1579</v>
      </c>
      <c r="B723" s="20">
        <v>7500</v>
      </c>
      <c r="C723" s="21" t="s">
        <v>12</v>
      </c>
      <c r="D723" s="21">
        <v>1</v>
      </c>
      <c r="E723" s="21">
        <v>0</v>
      </c>
      <c r="F723" s="21">
        <v>0</v>
      </c>
      <c r="G723" s="21">
        <v>1</v>
      </c>
      <c r="H723" s="21">
        <v>0</v>
      </c>
      <c r="I723" s="21" t="s">
        <v>16</v>
      </c>
      <c r="J723" s="21">
        <v>1</v>
      </c>
      <c r="K723" s="22">
        <v>0</v>
      </c>
      <c r="O723" s="20">
        <v>7500</v>
      </c>
      <c r="P723" s="21">
        <v>0</v>
      </c>
    </row>
    <row r="724" spans="1:16" x14ac:dyDescent="0.3">
      <c r="A724" s="15">
        <v>1582</v>
      </c>
      <c r="B724" s="16">
        <v>13333.333329999999</v>
      </c>
      <c r="C724" s="17" t="s">
        <v>14</v>
      </c>
      <c r="D724" s="17">
        <v>0</v>
      </c>
      <c r="E724" s="17">
        <v>0</v>
      </c>
      <c r="F724" s="17">
        <v>0</v>
      </c>
      <c r="G724" s="17">
        <v>0</v>
      </c>
      <c r="H724" s="17">
        <v>1</v>
      </c>
      <c r="I724" s="17" t="s">
        <v>16</v>
      </c>
      <c r="J724" s="17">
        <v>1</v>
      </c>
      <c r="K724" s="18">
        <v>0</v>
      </c>
      <c r="O724" s="16">
        <v>13333.333329999999</v>
      </c>
      <c r="P724" s="17">
        <v>0</v>
      </c>
    </row>
    <row r="725" spans="1:16" x14ac:dyDescent="0.3">
      <c r="A725" s="19">
        <v>1583</v>
      </c>
      <c r="B725" s="20">
        <v>23437.5</v>
      </c>
      <c r="C725" s="21" t="s">
        <v>14</v>
      </c>
      <c r="D725" s="21">
        <v>0</v>
      </c>
      <c r="E725" s="21">
        <v>0</v>
      </c>
      <c r="F725" s="21">
        <v>0</v>
      </c>
      <c r="G725" s="21">
        <v>0</v>
      </c>
      <c r="H725" s="21">
        <v>1</v>
      </c>
      <c r="I725" s="21" t="s">
        <v>16</v>
      </c>
      <c r="J725" s="21">
        <v>1</v>
      </c>
      <c r="K725" s="22">
        <v>0</v>
      </c>
      <c r="O725" s="20">
        <v>23437.5</v>
      </c>
      <c r="P725" s="21">
        <v>0</v>
      </c>
    </row>
    <row r="726" spans="1:16" x14ac:dyDescent="0.3">
      <c r="A726" s="15">
        <v>1585</v>
      </c>
      <c r="B726" s="16">
        <v>13333.333329999999</v>
      </c>
      <c r="C726" s="17" t="s">
        <v>14</v>
      </c>
      <c r="D726" s="17">
        <v>0</v>
      </c>
      <c r="E726" s="17">
        <v>0</v>
      </c>
      <c r="F726" s="17">
        <v>0</v>
      </c>
      <c r="G726" s="17">
        <v>1</v>
      </c>
      <c r="H726" s="17">
        <v>0</v>
      </c>
      <c r="I726" s="17" t="s">
        <v>16</v>
      </c>
      <c r="J726" s="17">
        <v>1</v>
      </c>
      <c r="K726" s="18">
        <v>1</v>
      </c>
      <c r="O726" s="16">
        <v>13333.333329999999</v>
      </c>
      <c r="P726" s="17">
        <v>0</v>
      </c>
    </row>
    <row r="727" spans="1:16" x14ac:dyDescent="0.3">
      <c r="A727" s="19">
        <v>1586</v>
      </c>
      <c r="B727" s="20">
        <v>7142.8571430000002</v>
      </c>
      <c r="C727" s="21" t="s">
        <v>14</v>
      </c>
      <c r="D727" s="21">
        <v>0</v>
      </c>
      <c r="E727" s="21">
        <v>0</v>
      </c>
      <c r="F727" s="21">
        <v>0</v>
      </c>
      <c r="G727" s="21">
        <v>0</v>
      </c>
      <c r="H727" s="21">
        <v>1</v>
      </c>
      <c r="I727" s="21" t="s">
        <v>16</v>
      </c>
      <c r="J727" s="21">
        <v>1</v>
      </c>
      <c r="K727" s="22">
        <v>0</v>
      </c>
      <c r="O727" s="20">
        <v>7142.8571430000002</v>
      </c>
      <c r="P727" s="21">
        <v>0</v>
      </c>
    </row>
    <row r="728" spans="1:16" x14ac:dyDescent="0.3">
      <c r="A728" s="15">
        <v>1588</v>
      </c>
      <c r="B728" s="16">
        <v>8333.3333330000005</v>
      </c>
      <c r="C728" s="17" t="s">
        <v>14</v>
      </c>
      <c r="D728" s="17">
        <v>0</v>
      </c>
      <c r="E728" s="17">
        <v>0</v>
      </c>
      <c r="F728" s="17">
        <v>0</v>
      </c>
      <c r="G728" s="17">
        <v>0</v>
      </c>
      <c r="H728" s="17">
        <v>1</v>
      </c>
      <c r="I728" s="17" t="s">
        <v>16</v>
      </c>
      <c r="J728" s="17">
        <v>1</v>
      </c>
      <c r="K728" s="18">
        <v>0</v>
      </c>
      <c r="O728" s="16">
        <v>8333.3333330000005</v>
      </c>
      <c r="P728" s="17">
        <v>0</v>
      </c>
    </row>
    <row r="729" spans="1:16" x14ac:dyDescent="0.3">
      <c r="A729" s="19">
        <v>1589</v>
      </c>
      <c r="B729" s="20">
        <v>8000</v>
      </c>
      <c r="C729" s="21" t="s">
        <v>14</v>
      </c>
      <c r="D729" s="21">
        <v>0</v>
      </c>
      <c r="E729" s="21">
        <v>0</v>
      </c>
      <c r="F729" s="21">
        <v>0</v>
      </c>
      <c r="G729" s="21">
        <v>0</v>
      </c>
      <c r="H729" s="21">
        <v>1</v>
      </c>
      <c r="I729" s="21" t="s">
        <v>16</v>
      </c>
      <c r="J729" s="21">
        <v>1</v>
      </c>
      <c r="K729" s="22">
        <v>0</v>
      </c>
      <c r="O729" s="20">
        <v>8000</v>
      </c>
      <c r="P729" s="21">
        <v>0</v>
      </c>
    </row>
    <row r="730" spans="1:16" x14ac:dyDescent="0.3">
      <c r="A730" s="15">
        <v>1590</v>
      </c>
      <c r="B730" s="16">
        <v>6250</v>
      </c>
      <c r="C730" s="17" t="s">
        <v>14</v>
      </c>
      <c r="D730" s="17">
        <v>0</v>
      </c>
      <c r="E730" s="17">
        <v>0</v>
      </c>
      <c r="F730" s="17">
        <v>0</v>
      </c>
      <c r="G730" s="17">
        <v>0</v>
      </c>
      <c r="H730" s="17">
        <v>1</v>
      </c>
      <c r="I730" s="17" t="s">
        <v>16</v>
      </c>
      <c r="J730" s="17">
        <v>1</v>
      </c>
      <c r="K730" s="18">
        <v>0</v>
      </c>
      <c r="O730" s="16">
        <v>6250</v>
      </c>
      <c r="P730" s="17">
        <v>0</v>
      </c>
    </row>
    <row r="731" spans="1:16" x14ac:dyDescent="0.3">
      <c r="A731" s="19">
        <v>1591</v>
      </c>
      <c r="B731" s="20">
        <v>6666.6666670000004</v>
      </c>
      <c r="C731" s="21" t="s">
        <v>14</v>
      </c>
      <c r="D731" s="21">
        <v>0</v>
      </c>
      <c r="E731" s="21">
        <v>0</v>
      </c>
      <c r="F731" s="21">
        <v>0</v>
      </c>
      <c r="G731" s="21">
        <v>0</v>
      </c>
      <c r="H731" s="21">
        <v>1</v>
      </c>
      <c r="I731" s="21" t="s">
        <v>16</v>
      </c>
      <c r="J731" s="21">
        <v>1</v>
      </c>
      <c r="K731" s="22">
        <v>0</v>
      </c>
      <c r="O731" s="20">
        <v>6666.6666670000004</v>
      </c>
      <c r="P731" s="21">
        <v>0</v>
      </c>
    </row>
    <row r="732" spans="1:16" x14ac:dyDescent="0.3">
      <c r="A732" s="15">
        <v>1593</v>
      </c>
      <c r="B732" s="16">
        <v>6153.8461539999998</v>
      </c>
      <c r="C732" s="17" t="s">
        <v>12</v>
      </c>
      <c r="D732" s="17">
        <v>1</v>
      </c>
      <c r="E732" s="17">
        <v>0</v>
      </c>
      <c r="F732" s="17">
        <v>0</v>
      </c>
      <c r="G732" s="17">
        <v>0</v>
      </c>
      <c r="H732" s="17">
        <v>1</v>
      </c>
      <c r="I732" s="17" t="s">
        <v>16</v>
      </c>
      <c r="J732" s="17">
        <v>1</v>
      </c>
      <c r="K732" s="18">
        <v>0</v>
      </c>
      <c r="O732" s="16">
        <v>6153.8461539999998</v>
      </c>
      <c r="P732" s="17">
        <v>0</v>
      </c>
    </row>
    <row r="733" spans="1:16" x14ac:dyDescent="0.3">
      <c r="A733" s="19">
        <v>1595</v>
      </c>
      <c r="B733" s="20">
        <v>5000</v>
      </c>
      <c r="C733" s="21" t="s">
        <v>12</v>
      </c>
      <c r="D733" s="21">
        <v>1</v>
      </c>
      <c r="E733" s="21">
        <v>0</v>
      </c>
      <c r="F733" s="21">
        <v>0</v>
      </c>
      <c r="G733" s="21">
        <v>1</v>
      </c>
      <c r="H733" s="21">
        <v>0</v>
      </c>
      <c r="I733" s="21" t="s">
        <v>16</v>
      </c>
      <c r="J733" s="21">
        <v>0</v>
      </c>
      <c r="K733" s="22">
        <v>0</v>
      </c>
      <c r="O733" s="20">
        <v>5000</v>
      </c>
      <c r="P733" s="21">
        <v>0</v>
      </c>
    </row>
    <row r="734" spans="1:16" x14ac:dyDescent="0.3">
      <c r="A734" s="15">
        <v>1597</v>
      </c>
      <c r="B734" s="16">
        <v>20000</v>
      </c>
      <c r="C734" s="17" t="s">
        <v>14</v>
      </c>
      <c r="D734" s="17">
        <v>0</v>
      </c>
      <c r="E734" s="17">
        <v>0</v>
      </c>
      <c r="F734" s="17">
        <v>0</v>
      </c>
      <c r="G734" s="17">
        <v>0</v>
      </c>
      <c r="H734" s="17">
        <v>1</v>
      </c>
      <c r="I734" s="17" t="s">
        <v>16</v>
      </c>
      <c r="J734" s="17">
        <v>1</v>
      </c>
      <c r="K734" s="18">
        <v>1</v>
      </c>
      <c r="O734" s="16">
        <v>20000</v>
      </c>
      <c r="P734" s="17">
        <v>0</v>
      </c>
    </row>
    <row r="735" spans="1:16" x14ac:dyDescent="0.3">
      <c r="A735" s="19">
        <v>1598</v>
      </c>
      <c r="B735" s="20">
        <v>12500</v>
      </c>
      <c r="C735" s="21" t="s">
        <v>12</v>
      </c>
      <c r="D735" s="21">
        <v>1</v>
      </c>
      <c r="E735" s="21">
        <v>0</v>
      </c>
      <c r="F735" s="21">
        <v>0</v>
      </c>
      <c r="G735" s="21">
        <v>1</v>
      </c>
      <c r="H735" s="21">
        <v>0</v>
      </c>
      <c r="I735" s="21" t="s">
        <v>16</v>
      </c>
      <c r="J735" s="21">
        <v>1</v>
      </c>
      <c r="K735" s="22">
        <v>0</v>
      </c>
      <c r="O735" s="20">
        <v>12500</v>
      </c>
      <c r="P735" s="21">
        <v>0</v>
      </c>
    </row>
    <row r="736" spans="1:16" x14ac:dyDescent="0.3">
      <c r="A736" s="15">
        <v>1599</v>
      </c>
      <c r="B736" s="16">
        <v>8333.3333330000005</v>
      </c>
      <c r="C736" s="17" t="s">
        <v>14</v>
      </c>
      <c r="D736" s="17">
        <v>0</v>
      </c>
      <c r="E736" s="17">
        <v>0</v>
      </c>
      <c r="F736" s="17">
        <v>0</v>
      </c>
      <c r="G736" s="17">
        <v>0</v>
      </c>
      <c r="H736" s="17">
        <v>1</v>
      </c>
      <c r="I736" s="17" t="s">
        <v>16</v>
      </c>
      <c r="J736" s="17">
        <v>1</v>
      </c>
      <c r="K736" s="18">
        <v>0</v>
      </c>
      <c r="O736" s="16">
        <v>8333.3333330000005</v>
      </c>
      <c r="P736" s="17">
        <v>0</v>
      </c>
    </row>
    <row r="737" spans="1:16" x14ac:dyDescent="0.3">
      <c r="A737" s="19">
        <v>1601</v>
      </c>
      <c r="B737" s="20">
        <v>16666.666669999999</v>
      </c>
      <c r="C737" s="21" t="s">
        <v>14</v>
      </c>
      <c r="D737" s="21">
        <v>0</v>
      </c>
      <c r="E737" s="21">
        <v>0</v>
      </c>
      <c r="F737" s="21">
        <v>0</v>
      </c>
      <c r="G737" s="21">
        <v>0</v>
      </c>
      <c r="H737" s="21">
        <v>1</v>
      </c>
      <c r="I737" s="21" t="s">
        <v>16</v>
      </c>
      <c r="J737" s="21">
        <v>1</v>
      </c>
      <c r="K737" s="22">
        <v>0</v>
      </c>
      <c r="O737" s="20">
        <v>16666.666669999999</v>
      </c>
      <c r="P737" s="21">
        <v>0</v>
      </c>
    </row>
    <row r="738" spans="1:16" x14ac:dyDescent="0.3">
      <c r="A738" s="15">
        <v>1602</v>
      </c>
      <c r="B738" s="16">
        <v>12500</v>
      </c>
      <c r="C738" s="17" t="s">
        <v>14</v>
      </c>
      <c r="D738" s="17">
        <v>0</v>
      </c>
      <c r="E738" s="17">
        <v>0</v>
      </c>
      <c r="F738" s="17">
        <v>0</v>
      </c>
      <c r="G738" s="17">
        <v>1</v>
      </c>
      <c r="H738" s="17">
        <v>0</v>
      </c>
      <c r="I738" s="17" t="s">
        <v>16</v>
      </c>
      <c r="J738" s="17">
        <v>0</v>
      </c>
      <c r="K738" s="18">
        <v>0</v>
      </c>
      <c r="O738" s="16">
        <v>12500</v>
      </c>
      <c r="P738" s="17">
        <v>0</v>
      </c>
    </row>
    <row r="739" spans="1:16" x14ac:dyDescent="0.3">
      <c r="A739" s="19">
        <v>1603</v>
      </c>
      <c r="B739" s="20">
        <v>7500</v>
      </c>
      <c r="C739" s="21" t="s">
        <v>14</v>
      </c>
      <c r="D739" s="21">
        <v>0</v>
      </c>
      <c r="E739" s="21">
        <v>0</v>
      </c>
      <c r="F739" s="21">
        <v>0</v>
      </c>
      <c r="G739" s="21">
        <v>1</v>
      </c>
      <c r="H739" s="21">
        <v>0</v>
      </c>
      <c r="I739" s="21" t="s">
        <v>16</v>
      </c>
      <c r="J739" s="21">
        <v>0</v>
      </c>
      <c r="K739" s="22">
        <v>0</v>
      </c>
      <c r="O739" s="20">
        <v>7500</v>
      </c>
      <c r="P739" s="21">
        <v>0</v>
      </c>
    </row>
    <row r="740" spans="1:16" x14ac:dyDescent="0.3">
      <c r="A740" s="15">
        <v>1604</v>
      </c>
      <c r="B740" s="16">
        <v>12000</v>
      </c>
      <c r="C740" s="17" t="s">
        <v>14</v>
      </c>
      <c r="D740" s="17">
        <v>0</v>
      </c>
      <c r="E740" s="17">
        <v>0</v>
      </c>
      <c r="F740" s="17">
        <v>0</v>
      </c>
      <c r="G740" s="17">
        <v>0</v>
      </c>
      <c r="H740" s="17">
        <v>1</v>
      </c>
      <c r="I740" s="17" t="s">
        <v>16</v>
      </c>
      <c r="J740" s="17">
        <v>0</v>
      </c>
      <c r="K740" s="18">
        <v>0</v>
      </c>
      <c r="O740" s="16">
        <v>12000</v>
      </c>
      <c r="P740" s="17">
        <v>0</v>
      </c>
    </row>
    <row r="741" spans="1:16" x14ac:dyDescent="0.3">
      <c r="A741" s="19">
        <v>1605</v>
      </c>
      <c r="B741" s="20">
        <v>12578.61635</v>
      </c>
      <c r="C741" s="21" t="s">
        <v>14</v>
      </c>
      <c r="D741" s="21">
        <v>0</v>
      </c>
      <c r="E741" s="21">
        <v>0</v>
      </c>
      <c r="F741" s="21">
        <v>0</v>
      </c>
      <c r="G741" s="21">
        <v>1</v>
      </c>
      <c r="H741" s="21">
        <v>0</v>
      </c>
      <c r="I741" s="21" t="s">
        <v>16</v>
      </c>
      <c r="J741" s="21">
        <v>1</v>
      </c>
      <c r="K741" s="22">
        <v>0</v>
      </c>
      <c r="O741" s="20">
        <v>12578.61635</v>
      </c>
      <c r="P741" s="21">
        <v>0</v>
      </c>
    </row>
    <row r="742" spans="1:16" x14ac:dyDescent="0.3">
      <c r="A742" s="15">
        <v>1606</v>
      </c>
      <c r="B742" s="16">
        <v>10000</v>
      </c>
      <c r="C742" s="17" t="s">
        <v>14</v>
      </c>
      <c r="D742" s="17">
        <v>0</v>
      </c>
      <c r="E742" s="17">
        <v>0</v>
      </c>
      <c r="F742" s="17">
        <v>0</v>
      </c>
      <c r="G742" s="17">
        <v>1</v>
      </c>
      <c r="H742" s="17">
        <v>0</v>
      </c>
      <c r="I742" s="17" t="s">
        <v>16</v>
      </c>
      <c r="J742" s="17">
        <v>0</v>
      </c>
      <c r="K742" s="18">
        <v>0</v>
      </c>
      <c r="O742" s="16">
        <v>10000</v>
      </c>
      <c r="P742" s="17">
        <v>0</v>
      </c>
    </row>
    <row r="743" spans="1:16" x14ac:dyDescent="0.3">
      <c r="A743" s="19">
        <v>1607</v>
      </c>
      <c r="B743" s="20">
        <v>25000</v>
      </c>
      <c r="C743" s="21" t="s">
        <v>14</v>
      </c>
      <c r="D743" s="21">
        <v>0</v>
      </c>
      <c r="E743" s="21">
        <v>0</v>
      </c>
      <c r="F743" s="21">
        <v>0</v>
      </c>
      <c r="G743" s="21">
        <v>1</v>
      </c>
      <c r="H743" s="21">
        <v>0</v>
      </c>
      <c r="I743" s="21" t="s">
        <v>16</v>
      </c>
      <c r="J743" s="21">
        <v>1</v>
      </c>
      <c r="K743" s="22">
        <v>0</v>
      </c>
      <c r="O743" s="20">
        <v>25000</v>
      </c>
      <c r="P743" s="21">
        <v>0</v>
      </c>
    </row>
    <row r="744" spans="1:16" x14ac:dyDescent="0.3">
      <c r="A744" s="15">
        <v>1608</v>
      </c>
      <c r="B744" s="16">
        <v>23809.523809999999</v>
      </c>
      <c r="C744" s="17" t="s">
        <v>14</v>
      </c>
      <c r="D744" s="17">
        <v>0</v>
      </c>
      <c r="E744" s="17">
        <v>0</v>
      </c>
      <c r="F744" s="17">
        <v>0</v>
      </c>
      <c r="G744" s="17">
        <v>1</v>
      </c>
      <c r="H744" s="17">
        <v>0</v>
      </c>
      <c r="I744" s="17" t="s">
        <v>16</v>
      </c>
      <c r="J744" s="17">
        <v>1</v>
      </c>
      <c r="K744" s="18">
        <v>0</v>
      </c>
      <c r="O744" s="16">
        <v>23809.523809999999</v>
      </c>
      <c r="P744" s="17">
        <v>0</v>
      </c>
    </row>
    <row r="745" spans="1:16" x14ac:dyDescent="0.3">
      <c r="A745" s="19">
        <v>1609</v>
      </c>
      <c r="B745" s="20">
        <v>9677.419355</v>
      </c>
      <c r="C745" s="21" t="s">
        <v>14</v>
      </c>
      <c r="D745" s="21">
        <v>0</v>
      </c>
      <c r="E745" s="21">
        <v>0</v>
      </c>
      <c r="F745" s="21">
        <v>0</v>
      </c>
      <c r="G745" s="21">
        <v>1</v>
      </c>
      <c r="H745" s="21">
        <v>0</v>
      </c>
      <c r="I745" s="21" t="s">
        <v>16</v>
      </c>
      <c r="J745" s="21">
        <v>0</v>
      </c>
      <c r="K745" s="22">
        <v>0</v>
      </c>
      <c r="O745" s="20">
        <v>9677.419355</v>
      </c>
      <c r="P745" s="21">
        <v>0</v>
      </c>
    </row>
    <row r="746" spans="1:16" x14ac:dyDescent="0.3">
      <c r="A746" s="15">
        <v>1610</v>
      </c>
      <c r="B746" s="16">
        <v>3750</v>
      </c>
      <c r="C746" s="17" t="s">
        <v>12</v>
      </c>
      <c r="D746" s="17">
        <v>1</v>
      </c>
      <c r="E746" s="17">
        <v>0</v>
      </c>
      <c r="F746" s="17">
        <v>0</v>
      </c>
      <c r="G746" s="17">
        <v>1</v>
      </c>
      <c r="H746" s="17">
        <v>0</v>
      </c>
      <c r="I746" s="17" t="s">
        <v>16</v>
      </c>
      <c r="J746" s="17">
        <v>1</v>
      </c>
      <c r="K746" s="18">
        <v>0</v>
      </c>
      <c r="O746" s="16">
        <v>3750</v>
      </c>
      <c r="P746" s="17">
        <v>0</v>
      </c>
    </row>
    <row r="747" spans="1:16" x14ac:dyDescent="0.3">
      <c r="A747" s="19">
        <v>1611</v>
      </c>
      <c r="B747" s="20">
        <v>16666.666669999999</v>
      </c>
      <c r="C747" s="21" t="s">
        <v>14</v>
      </c>
      <c r="D747" s="21">
        <v>0</v>
      </c>
      <c r="E747" s="21">
        <v>0</v>
      </c>
      <c r="F747" s="21">
        <v>0</v>
      </c>
      <c r="G747" s="21">
        <v>1</v>
      </c>
      <c r="H747" s="21">
        <v>0</v>
      </c>
      <c r="I747" s="21" t="s">
        <v>16</v>
      </c>
      <c r="J747" s="21">
        <v>1</v>
      </c>
      <c r="K747" s="22">
        <v>0</v>
      </c>
      <c r="O747" s="20">
        <v>16666.666669999999</v>
      </c>
      <c r="P747" s="21">
        <v>0</v>
      </c>
    </row>
    <row r="748" spans="1:16" x14ac:dyDescent="0.3">
      <c r="A748" s="15">
        <v>1613</v>
      </c>
      <c r="B748" s="16">
        <v>16666.666669999999</v>
      </c>
      <c r="C748" s="17" t="s">
        <v>12</v>
      </c>
      <c r="D748" s="17">
        <v>1</v>
      </c>
      <c r="E748" s="17">
        <v>0</v>
      </c>
      <c r="F748" s="17">
        <v>0</v>
      </c>
      <c r="G748" s="17">
        <v>0</v>
      </c>
      <c r="H748" s="17">
        <v>1</v>
      </c>
      <c r="I748" s="17" t="s">
        <v>16</v>
      </c>
      <c r="J748" s="17">
        <v>1</v>
      </c>
      <c r="K748" s="18">
        <v>0</v>
      </c>
      <c r="O748" s="16">
        <v>16666.666669999999</v>
      </c>
      <c r="P748" s="17">
        <v>0</v>
      </c>
    </row>
    <row r="749" spans="1:16" x14ac:dyDescent="0.3">
      <c r="A749" s="19">
        <v>1618</v>
      </c>
      <c r="B749" s="20">
        <v>11666.666670000001</v>
      </c>
      <c r="C749" s="21" t="s">
        <v>14</v>
      </c>
      <c r="D749" s="21">
        <v>0</v>
      </c>
      <c r="E749" s="21">
        <v>0</v>
      </c>
      <c r="F749" s="21">
        <v>0</v>
      </c>
      <c r="G749" s="21">
        <v>1</v>
      </c>
      <c r="H749" s="21">
        <v>0</v>
      </c>
      <c r="I749" s="21" t="s">
        <v>16</v>
      </c>
      <c r="J749" s="21">
        <v>0</v>
      </c>
      <c r="K749" s="22">
        <v>1</v>
      </c>
      <c r="O749" s="20">
        <v>11666.666670000001</v>
      </c>
      <c r="P749" s="21">
        <v>0</v>
      </c>
    </row>
    <row r="750" spans="1:16" x14ac:dyDescent="0.3">
      <c r="A750" s="15">
        <v>1622</v>
      </c>
      <c r="B750" s="16">
        <v>30000</v>
      </c>
      <c r="C750" s="17" t="s">
        <v>14</v>
      </c>
      <c r="D750" s="17">
        <v>0</v>
      </c>
      <c r="E750" s="17">
        <v>0</v>
      </c>
      <c r="F750" s="17">
        <v>0</v>
      </c>
      <c r="G750" s="17">
        <v>0</v>
      </c>
      <c r="H750" s="17">
        <v>1</v>
      </c>
      <c r="I750" s="17" t="s">
        <v>16</v>
      </c>
      <c r="J750" s="17">
        <v>1</v>
      </c>
      <c r="K750" s="18">
        <v>1</v>
      </c>
      <c r="O750" s="16">
        <v>30000</v>
      </c>
      <c r="P750" s="17">
        <v>0</v>
      </c>
    </row>
    <row r="751" spans="1:16" x14ac:dyDescent="0.3">
      <c r="A751" s="19">
        <v>1624</v>
      </c>
      <c r="B751" s="20">
        <v>10000</v>
      </c>
      <c r="C751" s="21" t="s">
        <v>14</v>
      </c>
      <c r="D751" s="21">
        <v>0</v>
      </c>
      <c r="E751" s="21">
        <v>1</v>
      </c>
      <c r="F751" s="21">
        <v>0</v>
      </c>
      <c r="G751" s="21">
        <v>1</v>
      </c>
      <c r="H751" s="21">
        <v>0</v>
      </c>
      <c r="I751" s="21" t="s">
        <v>16</v>
      </c>
      <c r="J751" s="21">
        <v>1</v>
      </c>
      <c r="K751" s="22">
        <v>1</v>
      </c>
      <c r="O751" s="20">
        <v>10000</v>
      </c>
      <c r="P751" s="21">
        <v>0</v>
      </c>
    </row>
    <row r="752" spans="1:16" x14ac:dyDescent="0.3">
      <c r="A752" s="15">
        <v>1626</v>
      </c>
      <c r="B752" s="16">
        <v>9685.2300240000004</v>
      </c>
      <c r="C752" s="17" t="s">
        <v>14</v>
      </c>
      <c r="D752" s="17">
        <v>0</v>
      </c>
      <c r="E752" s="17">
        <v>0</v>
      </c>
      <c r="F752" s="17">
        <v>0</v>
      </c>
      <c r="G752" s="17">
        <v>1</v>
      </c>
      <c r="H752" s="17">
        <v>0</v>
      </c>
      <c r="I752" s="17" t="s">
        <v>16</v>
      </c>
      <c r="J752" s="17">
        <v>0</v>
      </c>
      <c r="K752" s="18">
        <v>1</v>
      </c>
      <c r="O752" s="16">
        <v>9685.2300240000004</v>
      </c>
      <c r="P752" s="17">
        <v>0</v>
      </c>
    </row>
    <row r="753" spans="1:16" x14ac:dyDescent="0.3">
      <c r="A753" s="19">
        <v>1629</v>
      </c>
      <c r="B753" s="20">
        <v>10000</v>
      </c>
      <c r="C753" s="21" t="s">
        <v>14</v>
      </c>
      <c r="D753" s="21">
        <v>0</v>
      </c>
      <c r="E753" s="21">
        <v>1</v>
      </c>
      <c r="F753" s="21">
        <v>1</v>
      </c>
      <c r="G753" s="21">
        <v>0</v>
      </c>
      <c r="H753" s="21">
        <v>1</v>
      </c>
      <c r="I753" s="21" t="s">
        <v>16</v>
      </c>
      <c r="J753" s="21">
        <v>0</v>
      </c>
      <c r="K753" s="22">
        <v>1</v>
      </c>
      <c r="O753" s="20">
        <v>10000</v>
      </c>
      <c r="P753" s="21">
        <v>1</v>
      </c>
    </row>
    <row r="754" spans="1:16" x14ac:dyDescent="0.3">
      <c r="A754" s="15">
        <v>1630</v>
      </c>
      <c r="B754" s="16">
        <v>45801.526720000002</v>
      </c>
      <c r="C754" s="17" t="s">
        <v>14</v>
      </c>
      <c r="D754" s="17">
        <v>0</v>
      </c>
      <c r="E754" s="17">
        <v>0</v>
      </c>
      <c r="F754" s="17">
        <v>1</v>
      </c>
      <c r="G754" s="17">
        <v>0</v>
      </c>
      <c r="H754" s="17">
        <v>1</v>
      </c>
      <c r="I754" s="17" t="s">
        <v>16</v>
      </c>
      <c r="J754" s="17">
        <v>0</v>
      </c>
      <c r="K754" s="18">
        <v>1</v>
      </c>
      <c r="O754" s="16">
        <v>45801.526720000002</v>
      </c>
      <c r="P754" s="17">
        <v>1</v>
      </c>
    </row>
    <row r="755" spans="1:16" x14ac:dyDescent="0.3">
      <c r="A755" s="19">
        <v>1632</v>
      </c>
      <c r="B755" s="20">
        <v>16666.666669999999</v>
      </c>
      <c r="C755" s="21" t="s">
        <v>14</v>
      </c>
      <c r="D755" s="21">
        <v>0</v>
      </c>
      <c r="E755" s="21">
        <v>1</v>
      </c>
      <c r="F755" s="21">
        <v>0</v>
      </c>
      <c r="G755" s="21">
        <v>0</v>
      </c>
      <c r="H755" s="21">
        <v>1</v>
      </c>
      <c r="I755" s="21" t="s">
        <v>16</v>
      </c>
      <c r="J755" s="21">
        <v>0</v>
      </c>
      <c r="K755" s="22">
        <v>1</v>
      </c>
      <c r="O755" s="20">
        <v>16666.666669999999</v>
      </c>
      <c r="P755" s="21">
        <v>0</v>
      </c>
    </row>
    <row r="756" spans="1:16" x14ac:dyDescent="0.3">
      <c r="A756" s="15">
        <v>1633</v>
      </c>
      <c r="B756" s="16">
        <v>9090.9090909999995</v>
      </c>
      <c r="C756" s="17" t="s">
        <v>14</v>
      </c>
      <c r="D756" s="17">
        <v>0</v>
      </c>
      <c r="E756" s="17">
        <v>1</v>
      </c>
      <c r="F756" s="17">
        <v>0</v>
      </c>
      <c r="G756" s="17">
        <v>0</v>
      </c>
      <c r="H756" s="17">
        <v>1</v>
      </c>
      <c r="I756" s="17" t="s">
        <v>16</v>
      </c>
      <c r="J756" s="17">
        <v>0</v>
      </c>
      <c r="K756" s="18">
        <v>1</v>
      </c>
      <c r="O756" s="16">
        <v>9090.9090909999995</v>
      </c>
      <c r="P756" s="17">
        <v>0</v>
      </c>
    </row>
    <row r="757" spans="1:16" x14ac:dyDescent="0.3">
      <c r="A757" s="19">
        <v>1636</v>
      </c>
      <c r="B757" s="20">
        <v>30000</v>
      </c>
      <c r="C757" s="21" t="s">
        <v>14</v>
      </c>
      <c r="D757" s="21">
        <v>0</v>
      </c>
      <c r="E757" s="21">
        <v>1</v>
      </c>
      <c r="F757" s="21">
        <v>1</v>
      </c>
      <c r="G757" s="21">
        <v>0</v>
      </c>
      <c r="H757" s="21">
        <v>1</v>
      </c>
      <c r="I757" s="21" t="s">
        <v>16</v>
      </c>
      <c r="J757" s="21">
        <v>0</v>
      </c>
      <c r="K757" s="22">
        <v>1</v>
      </c>
      <c r="O757" s="20">
        <v>30000</v>
      </c>
      <c r="P757" s="21">
        <v>1</v>
      </c>
    </row>
    <row r="758" spans="1:16" x14ac:dyDescent="0.3">
      <c r="A758" s="15">
        <v>1641</v>
      </c>
      <c r="B758" s="16">
        <v>16279.06977</v>
      </c>
      <c r="C758" s="17" t="s">
        <v>14</v>
      </c>
      <c r="D758" s="17">
        <v>0</v>
      </c>
      <c r="E758" s="17">
        <v>0</v>
      </c>
      <c r="F758" s="17">
        <v>0</v>
      </c>
      <c r="G758" s="17">
        <v>0</v>
      </c>
      <c r="H758" s="17">
        <v>1</v>
      </c>
      <c r="I758" s="17" t="s">
        <v>16</v>
      </c>
      <c r="J758" s="17">
        <v>1</v>
      </c>
      <c r="K758" s="18">
        <v>0</v>
      </c>
      <c r="O758" s="16">
        <v>16279.06977</v>
      </c>
      <c r="P758" s="17">
        <v>0</v>
      </c>
    </row>
    <row r="759" spans="1:16" x14ac:dyDescent="0.3">
      <c r="A759" s="19">
        <v>1642</v>
      </c>
      <c r="B759" s="20">
        <v>24000</v>
      </c>
      <c r="C759" s="21" t="s">
        <v>14</v>
      </c>
      <c r="D759" s="21">
        <v>0</v>
      </c>
      <c r="E759" s="21">
        <v>1</v>
      </c>
      <c r="F759" s="21">
        <v>0</v>
      </c>
      <c r="G759" s="21">
        <v>0</v>
      </c>
      <c r="H759" s="21">
        <v>1</v>
      </c>
      <c r="I759" s="21" t="s">
        <v>16</v>
      </c>
      <c r="J759" s="21">
        <v>0</v>
      </c>
      <c r="K759" s="22">
        <v>0</v>
      </c>
      <c r="O759" s="20">
        <v>24000</v>
      </c>
      <c r="P759" s="21">
        <v>0</v>
      </c>
    </row>
    <row r="760" spans="1:16" x14ac:dyDescent="0.3">
      <c r="A760" s="15">
        <v>1643</v>
      </c>
      <c r="B760" s="16">
        <v>14285.71429</v>
      </c>
      <c r="C760" s="17" t="s">
        <v>14</v>
      </c>
      <c r="D760" s="17">
        <v>0</v>
      </c>
      <c r="E760" s="17">
        <v>1</v>
      </c>
      <c r="F760" s="17">
        <v>1</v>
      </c>
      <c r="G760" s="17">
        <v>0</v>
      </c>
      <c r="H760" s="17">
        <v>1</v>
      </c>
      <c r="I760" s="17" t="s">
        <v>16</v>
      </c>
      <c r="J760" s="17">
        <v>0</v>
      </c>
      <c r="K760" s="18">
        <v>1</v>
      </c>
      <c r="O760" s="16">
        <v>14285.71429</v>
      </c>
      <c r="P760" s="17">
        <v>1</v>
      </c>
    </row>
    <row r="761" spans="1:16" x14ac:dyDescent="0.3">
      <c r="A761" s="19">
        <v>1644</v>
      </c>
      <c r="B761" s="20">
        <v>10000</v>
      </c>
      <c r="C761" s="21" t="s">
        <v>14</v>
      </c>
      <c r="D761" s="21">
        <v>0</v>
      </c>
      <c r="E761" s="21">
        <v>0</v>
      </c>
      <c r="F761" s="21">
        <v>0</v>
      </c>
      <c r="G761" s="21">
        <v>0</v>
      </c>
      <c r="H761" s="21">
        <v>1</v>
      </c>
      <c r="I761" s="21" t="s">
        <v>16</v>
      </c>
      <c r="J761" s="21">
        <v>0</v>
      </c>
      <c r="K761" s="22">
        <v>1</v>
      </c>
      <c r="O761" s="20">
        <v>10000</v>
      </c>
      <c r="P761" s="21">
        <v>0</v>
      </c>
    </row>
    <row r="762" spans="1:16" x14ac:dyDescent="0.3">
      <c r="A762" s="15">
        <v>1645</v>
      </c>
      <c r="B762" s="16">
        <v>13333.333329999999</v>
      </c>
      <c r="C762" s="17" t="s">
        <v>14</v>
      </c>
      <c r="D762" s="17">
        <v>0</v>
      </c>
      <c r="E762" s="17">
        <v>1</v>
      </c>
      <c r="F762" s="17">
        <v>0</v>
      </c>
      <c r="G762" s="17">
        <v>0</v>
      </c>
      <c r="H762" s="17">
        <v>1</v>
      </c>
      <c r="I762" s="17" t="s">
        <v>16</v>
      </c>
      <c r="J762" s="17">
        <v>1</v>
      </c>
      <c r="K762" s="18">
        <v>1</v>
      </c>
      <c r="O762" s="16">
        <v>13333.333329999999</v>
      </c>
      <c r="P762" s="17">
        <v>0</v>
      </c>
    </row>
    <row r="763" spans="1:16" x14ac:dyDescent="0.3">
      <c r="A763" s="19">
        <v>1646</v>
      </c>
      <c r="B763" s="20">
        <v>10000</v>
      </c>
      <c r="C763" s="21" t="s">
        <v>14</v>
      </c>
      <c r="D763" s="21">
        <v>0</v>
      </c>
      <c r="E763" s="21">
        <v>1</v>
      </c>
      <c r="F763" s="21">
        <v>0</v>
      </c>
      <c r="G763" s="21">
        <v>0</v>
      </c>
      <c r="H763" s="21">
        <v>1</v>
      </c>
      <c r="I763" s="21" t="s">
        <v>16</v>
      </c>
      <c r="J763" s="21">
        <v>0</v>
      </c>
      <c r="K763" s="22">
        <v>1</v>
      </c>
      <c r="O763" s="20">
        <v>10000</v>
      </c>
      <c r="P763" s="21">
        <v>0</v>
      </c>
    </row>
    <row r="764" spans="1:16" x14ac:dyDescent="0.3">
      <c r="A764" s="15">
        <v>1647</v>
      </c>
      <c r="B764" s="16">
        <v>13333.333329999999</v>
      </c>
      <c r="C764" s="17" t="s">
        <v>14</v>
      </c>
      <c r="D764" s="17">
        <v>0</v>
      </c>
      <c r="E764" s="17">
        <v>0</v>
      </c>
      <c r="F764" s="17">
        <v>1</v>
      </c>
      <c r="G764" s="17">
        <v>0</v>
      </c>
      <c r="H764" s="17">
        <v>1</v>
      </c>
      <c r="I764" s="17" t="s">
        <v>16</v>
      </c>
      <c r="J764" s="17">
        <v>1</v>
      </c>
      <c r="K764" s="18">
        <v>1</v>
      </c>
      <c r="O764" s="16">
        <v>13333.333329999999</v>
      </c>
      <c r="P764" s="17">
        <v>1</v>
      </c>
    </row>
    <row r="765" spans="1:16" x14ac:dyDescent="0.3">
      <c r="A765" s="19">
        <v>1649</v>
      </c>
      <c r="B765" s="20">
        <v>8000</v>
      </c>
      <c r="C765" s="21" t="s">
        <v>14</v>
      </c>
      <c r="D765" s="21">
        <v>0</v>
      </c>
      <c r="E765" s="21">
        <v>0</v>
      </c>
      <c r="F765" s="21">
        <v>0</v>
      </c>
      <c r="G765" s="21">
        <v>0</v>
      </c>
      <c r="H765" s="21">
        <v>1</v>
      </c>
      <c r="I765" s="21" t="s">
        <v>16</v>
      </c>
      <c r="J765" s="21">
        <v>0</v>
      </c>
      <c r="K765" s="22">
        <v>1</v>
      </c>
      <c r="O765" s="20">
        <v>8000</v>
      </c>
      <c r="P765" s="21">
        <v>0</v>
      </c>
    </row>
    <row r="766" spans="1:16" x14ac:dyDescent="0.3">
      <c r="A766" s="15">
        <v>1650</v>
      </c>
      <c r="B766" s="16">
        <v>3333.333333</v>
      </c>
      <c r="C766" s="17" t="s">
        <v>14</v>
      </c>
      <c r="D766" s="17">
        <v>0</v>
      </c>
      <c r="E766" s="17">
        <v>1</v>
      </c>
      <c r="F766" s="17">
        <v>0</v>
      </c>
      <c r="G766" s="17">
        <v>0</v>
      </c>
      <c r="H766" s="17">
        <v>1</v>
      </c>
      <c r="I766" s="17" t="s">
        <v>16</v>
      </c>
      <c r="J766" s="17">
        <v>0</v>
      </c>
      <c r="K766" s="18">
        <v>1</v>
      </c>
      <c r="O766" s="16">
        <v>3333.333333</v>
      </c>
      <c r="P766" s="17">
        <v>0</v>
      </c>
    </row>
    <row r="767" spans="1:16" x14ac:dyDescent="0.3">
      <c r="A767" s="19">
        <v>1654</v>
      </c>
      <c r="B767" s="20">
        <v>10000</v>
      </c>
      <c r="C767" s="21" t="s">
        <v>14</v>
      </c>
      <c r="D767" s="21">
        <v>0</v>
      </c>
      <c r="E767" s="21">
        <v>0</v>
      </c>
      <c r="F767" s="21">
        <v>0</v>
      </c>
      <c r="G767" s="21">
        <v>0</v>
      </c>
      <c r="H767" s="21">
        <v>1</v>
      </c>
      <c r="I767" s="21" t="s">
        <v>16</v>
      </c>
      <c r="J767" s="21">
        <v>0</v>
      </c>
      <c r="K767" s="22">
        <v>1</v>
      </c>
      <c r="O767" s="20">
        <v>10000</v>
      </c>
      <c r="P767" s="21">
        <v>0</v>
      </c>
    </row>
    <row r="768" spans="1:16" x14ac:dyDescent="0.3">
      <c r="A768" s="15">
        <v>1655</v>
      </c>
      <c r="B768" s="16">
        <v>13043.47826</v>
      </c>
      <c r="C768" s="17" t="s">
        <v>14</v>
      </c>
      <c r="D768" s="17">
        <v>0</v>
      </c>
      <c r="E768" s="17">
        <v>0</v>
      </c>
      <c r="F768" s="17">
        <v>0</v>
      </c>
      <c r="G768" s="17">
        <v>0</v>
      </c>
      <c r="H768" s="17">
        <v>1</v>
      </c>
      <c r="I768" s="17" t="s">
        <v>16</v>
      </c>
      <c r="J768" s="17">
        <v>0</v>
      </c>
      <c r="K768" s="18">
        <v>1</v>
      </c>
      <c r="O768" s="16">
        <v>13043.47826</v>
      </c>
      <c r="P768" s="17">
        <v>0</v>
      </c>
    </row>
    <row r="769" spans="1:16" x14ac:dyDescent="0.3">
      <c r="A769" s="19">
        <v>1656</v>
      </c>
      <c r="B769" s="20">
        <v>6666.6666670000004</v>
      </c>
      <c r="C769" s="21" t="s">
        <v>14</v>
      </c>
      <c r="D769" s="21">
        <v>0</v>
      </c>
      <c r="E769" s="21">
        <v>1</v>
      </c>
      <c r="F769" s="21">
        <v>0</v>
      </c>
      <c r="G769" s="21">
        <v>0</v>
      </c>
      <c r="H769" s="21">
        <v>1</v>
      </c>
      <c r="I769" s="21" t="s">
        <v>16</v>
      </c>
      <c r="J769" s="21">
        <v>1</v>
      </c>
      <c r="K769" s="22">
        <v>1</v>
      </c>
      <c r="O769" s="20">
        <v>6666.6666670000004</v>
      </c>
      <c r="P769" s="21">
        <v>0</v>
      </c>
    </row>
    <row r="770" spans="1:16" x14ac:dyDescent="0.3">
      <c r="A770" s="15">
        <v>1658</v>
      </c>
      <c r="B770" s="16">
        <v>10000</v>
      </c>
      <c r="C770" s="17" t="s">
        <v>14</v>
      </c>
      <c r="D770" s="17">
        <v>0</v>
      </c>
      <c r="E770" s="17">
        <v>0</v>
      </c>
      <c r="F770" s="17">
        <v>0</v>
      </c>
      <c r="G770" s="17">
        <v>0</v>
      </c>
      <c r="H770" s="17">
        <v>1</v>
      </c>
      <c r="I770" s="17" t="s">
        <v>16</v>
      </c>
      <c r="J770" s="17">
        <v>0</v>
      </c>
      <c r="K770" s="18">
        <v>1</v>
      </c>
      <c r="O770" s="16">
        <v>10000</v>
      </c>
      <c r="P770" s="17">
        <v>0</v>
      </c>
    </row>
    <row r="771" spans="1:16" x14ac:dyDescent="0.3">
      <c r="A771" s="19">
        <v>1659</v>
      </c>
      <c r="B771" s="20">
        <v>16666.666669999999</v>
      </c>
      <c r="C771" s="21" t="s">
        <v>14</v>
      </c>
      <c r="D771" s="21">
        <v>0</v>
      </c>
      <c r="E771" s="21">
        <v>0</v>
      </c>
      <c r="F771" s="21">
        <v>0</v>
      </c>
      <c r="G771" s="21">
        <v>0</v>
      </c>
      <c r="H771" s="21">
        <v>1</v>
      </c>
      <c r="I771" s="21" t="s">
        <v>16</v>
      </c>
      <c r="J771" s="21">
        <v>0</v>
      </c>
      <c r="K771" s="22">
        <v>1</v>
      </c>
      <c r="O771" s="20">
        <v>16666.666669999999</v>
      </c>
      <c r="P771" s="21">
        <v>0</v>
      </c>
    </row>
    <row r="772" spans="1:16" x14ac:dyDescent="0.3">
      <c r="A772" s="15">
        <v>1660</v>
      </c>
      <c r="B772" s="16">
        <v>4545.4545449999996</v>
      </c>
      <c r="C772" s="17" t="s">
        <v>14</v>
      </c>
      <c r="D772" s="17">
        <v>0</v>
      </c>
      <c r="E772" s="17">
        <v>0</v>
      </c>
      <c r="F772" s="17">
        <v>0</v>
      </c>
      <c r="G772" s="17">
        <v>0</v>
      </c>
      <c r="H772" s="17">
        <v>1</v>
      </c>
      <c r="I772" s="17" t="s">
        <v>16</v>
      </c>
      <c r="J772" s="17">
        <v>0</v>
      </c>
      <c r="K772" s="18">
        <v>1</v>
      </c>
      <c r="O772" s="16">
        <v>4545.4545449999996</v>
      </c>
      <c r="P772" s="17">
        <v>0</v>
      </c>
    </row>
    <row r="773" spans="1:16" x14ac:dyDescent="0.3">
      <c r="A773" s="19">
        <v>1664</v>
      </c>
      <c r="B773" s="20">
        <v>10000</v>
      </c>
      <c r="C773" s="21" t="s">
        <v>14</v>
      </c>
      <c r="D773" s="21">
        <v>0</v>
      </c>
      <c r="E773" s="21">
        <v>1</v>
      </c>
      <c r="F773" s="21">
        <v>0</v>
      </c>
      <c r="G773" s="21">
        <v>0</v>
      </c>
      <c r="H773" s="21">
        <v>1</v>
      </c>
      <c r="I773" s="21" t="s">
        <v>16</v>
      </c>
      <c r="J773" s="21">
        <v>1</v>
      </c>
      <c r="K773" s="22">
        <v>1</v>
      </c>
      <c r="O773" s="20">
        <v>10000</v>
      </c>
      <c r="P773" s="21">
        <v>0</v>
      </c>
    </row>
    <row r="774" spans="1:16" x14ac:dyDescent="0.3">
      <c r="A774" s="15">
        <v>1666</v>
      </c>
      <c r="B774" s="16">
        <v>5000</v>
      </c>
      <c r="C774" s="17" t="s">
        <v>14</v>
      </c>
      <c r="D774" s="17">
        <v>0</v>
      </c>
      <c r="E774" s="17">
        <v>0</v>
      </c>
      <c r="F774" s="17">
        <v>0</v>
      </c>
      <c r="G774" s="17">
        <v>0</v>
      </c>
      <c r="H774" s="17">
        <v>1</v>
      </c>
      <c r="I774" s="17" t="s">
        <v>16</v>
      </c>
      <c r="J774" s="17">
        <v>0</v>
      </c>
      <c r="K774" s="18">
        <v>1</v>
      </c>
      <c r="O774" s="16">
        <v>5000</v>
      </c>
      <c r="P774" s="17">
        <v>0</v>
      </c>
    </row>
    <row r="775" spans="1:16" x14ac:dyDescent="0.3">
      <c r="A775" s="19">
        <v>1669</v>
      </c>
      <c r="B775" s="20">
        <v>10000</v>
      </c>
      <c r="C775" s="21" t="s">
        <v>14</v>
      </c>
      <c r="D775" s="21">
        <v>0</v>
      </c>
      <c r="E775" s="21">
        <v>1</v>
      </c>
      <c r="F775" s="21">
        <v>0</v>
      </c>
      <c r="G775" s="21">
        <v>0</v>
      </c>
      <c r="H775" s="21">
        <v>1</v>
      </c>
      <c r="I775" s="21" t="s">
        <v>16</v>
      </c>
      <c r="J775" s="21">
        <v>1</v>
      </c>
      <c r="K775" s="22">
        <v>1</v>
      </c>
      <c r="O775" s="20">
        <v>10000</v>
      </c>
      <c r="P775" s="21">
        <v>0</v>
      </c>
    </row>
    <row r="776" spans="1:16" x14ac:dyDescent="0.3">
      <c r="A776" s="15">
        <v>1671</v>
      </c>
      <c r="B776" s="16">
        <v>7547.1698109999998</v>
      </c>
      <c r="C776" s="17" t="s">
        <v>14</v>
      </c>
      <c r="D776" s="17">
        <v>0</v>
      </c>
      <c r="E776" s="17">
        <v>1</v>
      </c>
      <c r="F776" s="17">
        <v>0</v>
      </c>
      <c r="G776" s="17">
        <v>0</v>
      </c>
      <c r="H776" s="17">
        <v>1</v>
      </c>
      <c r="I776" s="17" t="s">
        <v>16</v>
      </c>
      <c r="J776" s="17">
        <v>0</v>
      </c>
      <c r="K776" s="18">
        <v>1</v>
      </c>
      <c r="O776" s="16">
        <v>7547.1698109999998</v>
      </c>
      <c r="P776" s="17">
        <v>0</v>
      </c>
    </row>
    <row r="777" spans="1:16" x14ac:dyDescent="0.3">
      <c r="A777" s="19">
        <v>1672</v>
      </c>
      <c r="B777" s="20">
        <v>5000</v>
      </c>
      <c r="C777" s="21" t="s">
        <v>14</v>
      </c>
      <c r="D777" s="21">
        <v>0</v>
      </c>
      <c r="E777" s="21">
        <v>0</v>
      </c>
      <c r="F777" s="21">
        <v>0</v>
      </c>
      <c r="G777" s="21">
        <v>0</v>
      </c>
      <c r="H777" s="21">
        <v>1</v>
      </c>
      <c r="I777" s="21" t="s">
        <v>16</v>
      </c>
      <c r="J777" s="21">
        <v>1</v>
      </c>
      <c r="K777" s="22">
        <v>1</v>
      </c>
      <c r="O777" s="20">
        <v>5000</v>
      </c>
      <c r="P777" s="21">
        <v>0</v>
      </c>
    </row>
    <row r="778" spans="1:16" x14ac:dyDescent="0.3">
      <c r="A778" s="15">
        <v>1675</v>
      </c>
      <c r="B778" s="16">
        <v>28000</v>
      </c>
      <c r="C778" s="17" t="s">
        <v>14</v>
      </c>
      <c r="D778" s="17">
        <v>0</v>
      </c>
      <c r="E778" s="17">
        <v>1</v>
      </c>
      <c r="F778" s="17">
        <v>0</v>
      </c>
      <c r="G778" s="17">
        <v>0</v>
      </c>
      <c r="H778" s="17">
        <v>1</v>
      </c>
      <c r="I778" s="17" t="s">
        <v>16</v>
      </c>
      <c r="J778" s="17">
        <v>1</v>
      </c>
      <c r="K778" s="18">
        <v>1</v>
      </c>
      <c r="O778" s="16">
        <v>28000</v>
      </c>
      <c r="P778" s="17">
        <v>0</v>
      </c>
    </row>
    <row r="779" spans="1:16" x14ac:dyDescent="0.3">
      <c r="A779" s="19">
        <v>1676</v>
      </c>
      <c r="B779" s="20">
        <v>4000</v>
      </c>
      <c r="C779" s="21" t="s">
        <v>12</v>
      </c>
      <c r="D779" s="21">
        <v>1</v>
      </c>
      <c r="E779" s="21">
        <v>0</v>
      </c>
      <c r="F779" s="21">
        <v>0</v>
      </c>
      <c r="G779" s="21">
        <v>1</v>
      </c>
      <c r="H779" s="21">
        <v>0</v>
      </c>
      <c r="I779" s="21" t="s">
        <v>16</v>
      </c>
      <c r="J779" s="21">
        <v>0</v>
      </c>
      <c r="K779" s="22">
        <v>1</v>
      </c>
      <c r="O779" s="20">
        <v>4000</v>
      </c>
      <c r="P779" s="21">
        <v>0</v>
      </c>
    </row>
    <row r="780" spans="1:16" x14ac:dyDescent="0.3">
      <c r="A780" s="15">
        <v>1677</v>
      </c>
      <c r="B780" s="16">
        <v>2500</v>
      </c>
      <c r="C780" s="17" t="s">
        <v>14</v>
      </c>
      <c r="D780" s="17">
        <v>0</v>
      </c>
      <c r="E780" s="17">
        <v>0</v>
      </c>
      <c r="F780" s="17">
        <v>0</v>
      </c>
      <c r="G780" s="17">
        <v>0</v>
      </c>
      <c r="H780" s="17">
        <v>1</v>
      </c>
      <c r="I780" s="17" t="s">
        <v>16</v>
      </c>
      <c r="J780" s="17">
        <v>0</v>
      </c>
      <c r="K780" s="18">
        <v>0</v>
      </c>
      <c r="O780" s="16">
        <v>2500</v>
      </c>
      <c r="P780" s="17">
        <v>0</v>
      </c>
    </row>
    <row r="781" spans="1:16" x14ac:dyDescent="0.3">
      <c r="A781" s="19">
        <v>1682</v>
      </c>
      <c r="B781" s="20">
        <v>33333.333330000001</v>
      </c>
      <c r="C781" s="21" t="s">
        <v>14</v>
      </c>
      <c r="D781" s="21">
        <v>0</v>
      </c>
      <c r="E781" s="21">
        <v>0</v>
      </c>
      <c r="F781" s="21">
        <v>0</v>
      </c>
      <c r="G781" s="21">
        <v>0</v>
      </c>
      <c r="H781" s="21">
        <v>1</v>
      </c>
      <c r="I781" s="21" t="s">
        <v>16</v>
      </c>
      <c r="J781" s="21">
        <v>0</v>
      </c>
      <c r="K781" s="22">
        <v>1</v>
      </c>
      <c r="O781" s="20">
        <v>33333.333330000001</v>
      </c>
      <c r="P781" s="21">
        <v>0</v>
      </c>
    </row>
    <row r="782" spans="1:16" x14ac:dyDescent="0.3">
      <c r="A782" s="15">
        <v>1683</v>
      </c>
      <c r="B782" s="16">
        <v>25000</v>
      </c>
      <c r="C782" s="17" t="s">
        <v>12</v>
      </c>
      <c r="D782" s="17">
        <v>1</v>
      </c>
      <c r="E782" s="17">
        <v>0</v>
      </c>
      <c r="F782" s="17">
        <v>0</v>
      </c>
      <c r="G782" s="17">
        <v>0</v>
      </c>
      <c r="H782" s="17">
        <v>1</v>
      </c>
      <c r="I782" s="17" t="s">
        <v>16</v>
      </c>
      <c r="J782" s="17">
        <v>0</v>
      </c>
      <c r="K782" s="18">
        <v>1</v>
      </c>
      <c r="O782" s="16">
        <v>25000</v>
      </c>
      <c r="P782" s="17">
        <v>0</v>
      </c>
    </row>
    <row r="783" spans="1:16" x14ac:dyDescent="0.3">
      <c r="A783" s="19">
        <v>1684</v>
      </c>
      <c r="B783" s="20">
        <v>5000</v>
      </c>
      <c r="C783" s="21" t="s">
        <v>12</v>
      </c>
      <c r="D783" s="21">
        <v>1</v>
      </c>
      <c r="E783" s="21">
        <v>0</v>
      </c>
      <c r="F783" s="21">
        <v>0</v>
      </c>
      <c r="G783" s="21">
        <v>0</v>
      </c>
      <c r="H783" s="21">
        <v>1</v>
      </c>
      <c r="I783" s="21" t="s">
        <v>16</v>
      </c>
      <c r="J783" s="21">
        <v>0</v>
      </c>
      <c r="K783" s="22">
        <v>0</v>
      </c>
      <c r="O783" s="20">
        <v>5000</v>
      </c>
      <c r="P783" s="21">
        <v>0</v>
      </c>
    </row>
    <row r="784" spans="1:16" x14ac:dyDescent="0.3">
      <c r="A784" s="15">
        <v>1687</v>
      </c>
      <c r="B784" s="16">
        <v>16666.666669999999</v>
      </c>
      <c r="C784" s="17" t="s">
        <v>14</v>
      </c>
      <c r="D784" s="17">
        <v>0</v>
      </c>
      <c r="E784" s="17">
        <v>0</v>
      </c>
      <c r="F784" s="17">
        <v>0</v>
      </c>
      <c r="G784" s="17">
        <v>0</v>
      </c>
      <c r="H784" s="17">
        <v>1</v>
      </c>
      <c r="I784" s="17" t="s">
        <v>16</v>
      </c>
      <c r="J784" s="17">
        <v>0</v>
      </c>
      <c r="K784" s="18">
        <v>0</v>
      </c>
      <c r="O784" s="16">
        <v>16666.666669999999</v>
      </c>
      <c r="P784" s="17">
        <v>0</v>
      </c>
    </row>
    <row r="785" spans="1:16" x14ac:dyDescent="0.3">
      <c r="A785" s="19">
        <v>1688</v>
      </c>
      <c r="B785" s="20">
        <v>-6666.6666670000004</v>
      </c>
      <c r="C785" s="21" t="s">
        <v>14</v>
      </c>
      <c r="D785" s="21">
        <v>0</v>
      </c>
      <c r="E785" s="21">
        <v>0</v>
      </c>
      <c r="F785" s="21">
        <v>0</v>
      </c>
      <c r="G785" s="21">
        <v>0</v>
      </c>
      <c r="H785" s="21">
        <v>1</v>
      </c>
      <c r="I785" s="21" t="s">
        <v>16</v>
      </c>
      <c r="J785" s="21">
        <v>0</v>
      </c>
      <c r="K785" s="22">
        <v>0</v>
      </c>
      <c r="O785" s="20">
        <v>-6666.6666670000004</v>
      </c>
      <c r="P785" s="21">
        <v>0</v>
      </c>
    </row>
    <row r="786" spans="1:16" x14ac:dyDescent="0.3">
      <c r="A786" s="15">
        <v>1689</v>
      </c>
      <c r="B786" s="16">
        <v>4166.6666670000004</v>
      </c>
      <c r="C786" s="17" t="s">
        <v>14</v>
      </c>
      <c r="D786" s="17">
        <v>0</v>
      </c>
      <c r="E786" s="17">
        <v>0</v>
      </c>
      <c r="F786" s="17">
        <v>0</v>
      </c>
      <c r="G786" s="17">
        <v>0</v>
      </c>
      <c r="H786" s="17">
        <v>1</v>
      </c>
      <c r="I786" s="17" t="s">
        <v>16</v>
      </c>
      <c r="J786" s="17">
        <v>0</v>
      </c>
      <c r="K786" s="18">
        <v>1</v>
      </c>
      <c r="O786" s="16">
        <v>4166.6666670000004</v>
      </c>
      <c r="P786" s="17">
        <v>0</v>
      </c>
    </row>
    <row r="787" spans="1:16" x14ac:dyDescent="0.3">
      <c r="A787" s="19">
        <v>1693</v>
      </c>
      <c r="B787" s="20">
        <v>12500</v>
      </c>
      <c r="C787" s="21" t="s">
        <v>14</v>
      </c>
      <c r="D787" s="21">
        <v>0</v>
      </c>
      <c r="E787" s="21">
        <v>0</v>
      </c>
      <c r="F787" s="21">
        <v>1</v>
      </c>
      <c r="G787" s="21">
        <v>0</v>
      </c>
      <c r="H787" s="21">
        <v>1</v>
      </c>
      <c r="I787" s="21" t="s">
        <v>16</v>
      </c>
      <c r="J787" s="21">
        <v>0</v>
      </c>
      <c r="K787" s="22">
        <v>1</v>
      </c>
      <c r="O787" s="20">
        <v>12500</v>
      </c>
      <c r="P787" s="21">
        <v>1</v>
      </c>
    </row>
    <row r="788" spans="1:16" x14ac:dyDescent="0.3">
      <c r="A788" s="15">
        <v>1695</v>
      </c>
      <c r="B788" s="16">
        <v>36885.245900000002</v>
      </c>
      <c r="C788" s="17" t="s">
        <v>14</v>
      </c>
      <c r="D788" s="17">
        <v>0</v>
      </c>
      <c r="E788" s="17">
        <v>0</v>
      </c>
      <c r="F788" s="17">
        <v>0</v>
      </c>
      <c r="G788" s="17">
        <v>0</v>
      </c>
      <c r="H788" s="17">
        <v>1</v>
      </c>
      <c r="I788" s="17" t="s">
        <v>16</v>
      </c>
      <c r="J788" s="17">
        <v>0</v>
      </c>
      <c r="K788" s="18">
        <v>1</v>
      </c>
      <c r="O788" s="16">
        <v>36885.245900000002</v>
      </c>
      <c r="P788" s="17">
        <v>0</v>
      </c>
    </row>
    <row r="789" spans="1:16" x14ac:dyDescent="0.3">
      <c r="A789" s="19">
        <v>1696</v>
      </c>
      <c r="B789" s="20">
        <v>30000</v>
      </c>
      <c r="C789" s="21" t="s">
        <v>14</v>
      </c>
      <c r="D789" s="21">
        <v>0</v>
      </c>
      <c r="E789" s="21">
        <v>1</v>
      </c>
      <c r="F789" s="21">
        <v>0</v>
      </c>
      <c r="G789" s="21">
        <v>0</v>
      </c>
      <c r="H789" s="21">
        <v>1</v>
      </c>
      <c r="I789" s="21" t="s">
        <v>16</v>
      </c>
      <c r="J789" s="21">
        <v>0</v>
      </c>
      <c r="K789" s="22">
        <v>0</v>
      </c>
      <c r="O789" s="20">
        <v>30000</v>
      </c>
      <c r="P789" s="21">
        <v>0</v>
      </c>
    </row>
    <row r="790" spans="1:16" x14ac:dyDescent="0.3">
      <c r="A790" s="15">
        <v>1697</v>
      </c>
      <c r="B790" s="16">
        <v>31818.181820000002</v>
      </c>
      <c r="C790" s="17" t="s">
        <v>14</v>
      </c>
      <c r="D790" s="17">
        <v>0</v>
      </c>
      <c r="E790" s="17">
        <v>0</v>
      </c>
      <c r="F790" s="17">
        <v>0</v>
      </c>
      <c r="G790" s="17">
        <v>0</v>
      </c>
      <c r="H790" s="17">
        <v>1</v>
      </c>
      <c r="I790" s="17" t="s">
        <v>16</v>
      </c>
      <c r="J790" s="17">
        <v>0</v>
      </c>
      <c r="K790" s="18">
        <v>0</v>
      </c>
      <c r="O790" s="16">
        <v>31818.181820000002</v>
      </c>
      <c r="P790" s="17">
        <v>0</v>
      </c>
    </row>
    <row r="791" spans="1:16" x14ac:dyDescent="0.3">
      <c r="A791" s="19">
        <v>1698</v>
      </c>
      <c r="B791" s="20">
        <v>5000</v>
      </c>
      <c r="C791" s="21" t="s">
        <v>14</v>
      </c>
      <c r="D791" s="21">
        <v>0</v>
      </c>
      <c r="E791" s="21">
        <v>1</v>
      </c>
      <c r="F791" s="21">
        <v>0</v>
      </c>
      <c r="G791" s="21">
        <v>0</v>
      </c>
      <c r="H791" s="21">
        <v>1</v>
      </c>
      <c r="I791" s="21" t="s">
        <v>16</v>
      </c>
      <c r="J791" s="21">
        <v>0</v>
      </c>
      <c r="K791" s="22">
        <v>1</v>
      </c>
      <c r="O791" s="20">
        <v>5000</v>
      </c>
      <c r="P791" s="21">
        <v>0</v>
      </c>
    </row>
    <row r="792" spans="1:16" x14ac:dyDescent="0.3">
      <c r="A792" s="15">
        <v>1699</v>
      </c>
      <c r="B792" s="16">
        <v>22727.272730000001</v>
      </c>
      <c r="C792" s="17" t="s">
        <v>14</v>
      </c>
      <c r="D792" s="17">
        <v>0</v>
      </c>
      <c r="E792" s="17">
        <v>1</v>
      </c>
      <c r="F792" s="17">
        <v>1</v>
      </c>
      <c r="G792" s="17">
        <v>0</v>
      </c>
      <c r="H792" s="17">
        <v>1</v>
      </c>
      <c r="I792" s="17" t="s">
        <v>16</v>
      </c>
      <c r="J792" s="17">
        <v>0</v>
      </c>
      <c r="K792" s="18">
        <v>0</v>
      </c>
      <c r="O792" s="16">
        <v>22727.272730000001</v>
      </c>
      <c r="P792" s="17">
        <v>1</v>
      </c>
    </row>
    <row r="793" spans="1:16" x14ac:dyDescent="0.3">
      <c r="A793" s="19">
        <v>1700</v>
      </c>
      <c r="B793" s="20">
        <v>10000</v>
      </c>
      <c r="C793" s="21" t="s">
        <v>14</v>
      </c>
      <c r="D793" s="21">
        <v>0</v>
      </c>
      <c r="E793" s="21">
        <v>1</v>
      </c>
      <c r="F793" s="21">
        <v>0</v>
      </c>
      <c r="G793" s="21">
        <v>0</v>
      </c>
      <c r="H793" s="21">
        <v>1</v>
      </c>
      <c r="I793" s="21" t="s">
        <v>16</v>
      </c>
      <c r="J793" s="21">
        <v>1</v>
      </c>
      <c r="K793" s="22">
        <v>0</v>
      </c>
      <c r="O793" s="20">
        <v>10000</v>
      </c>
      <c r="P793" s="21">
        <v>0</v>
      </c>
    </row>
    <row r="794" spans="1:16" x14ac:dyDescent="0.3">
      <c r="A794" s="15">
        <v>1702</v>
      </c>
      <c r="B794" s="16">
        <v>5000</v>
      </c>
      <c r="C794" s="17" t="s">
        <v>14</v>
      </c>
      <c r="D794" s="17">
        <v>0</v>
      </c>
      <c r="E794" s="17">
        <v>0</v>
      </c>
      <c r="F794" s="17">
        <v>0</v>
      </c>
      <c r="G794" s="17">
        <v>0</v>
      </c>
      <c r="H794" s="17">
        <v>1</v>
      </c>
      <c r="I794" s="17" t="s">
        <v>16</v>
      </c>
      <c r="J794" s="17">
        <v>0</v>
      </c>
      <c r="K794" s="18">
        <v>1</v>
      </c>
      <c r="O794" s="16">
        <v>5000</v>
      </c>
      <c r="P794" s="17">
        <v>0</v>
      </c>
    </row>
    <row r="795" spans="1:16" x14ac:dyDescent="0.3">
      <c r="A795" s="19">
        <v>1703</v>
      </c>
      <c r="B795" s="20">
        <v>6666.6666670000004</v>
      </c>
      <c r="C795" s="21" t="s">
        <v>14</v>
      </c>
      <c r="D795" s="21">
        <v>0</v>
      </c>
      <c r="E795" s="21">
        <v>0</v>
      </c>
      <c r="F795" s="21">
        <v>0</v>
      </c>
      <c r="G795" s="21">
        <v>0</v>
      </c>
      <c r="H795" s="21">
        <v>1</v>
      </c>
      <c r="I795" s="21" t="s">
        <v>16</v>
      </c>
      <c r="J795" s="21">
        <v>0</v>
      </c>
      <c r="K795" s="22">
        <v>1</v>
      </c>
      <c r="O795" s="20">
        <v>6666.6666670000004</v>
      </c>
      <c r="P795" s="21">
        <v>0</v>
      </c>
    </row>
    <row r="796" spans="1:16" x14ac:dyDescent="0.3">
      <c r="A796" s="15">
        <v>1704</v>
      </c>
      <c r="B796" s="16">
        <v>83333.333329999994</v>
      </c>
      <c r="C796" s="17" t="s">
        <v>14</v>
      </c>
      <c r="D796" s="17">
        <v>0</v>
      </c>
      <c r="E796" s="17">
        <v>1</v>
      </c>
      <c r="F796" s="17">
        <v>0</v>
      </c>
      <c r="G796" s="17">
        <v>0</v>
      </c>
      <c r="H796" s="17">
        <v>1</v>
      </c>
      <c r="I796" s="17" t="s">
        <v>16</v>
      </c>
      <c r="J796" s="17">
        <v>0</v>
      </c>
      <c r="K796" s="18">
        <v>1</v>
      </c>
      <c r="O796" s="16">
        <v>83333.333329999994</v>
      </c>
      <c r="P796" s="17">
        <v>0</v>
      </c>
    </row>
    <row r="797" spans="1:16" x14ac:dyDescent="0.3">
      <c r="A797" s="19">
        <v>1705</v>
      </c>
      <c r="B797" s="20">
        <v>113636.3636</v>
      </c>
      <c r="C797" s="21" t="s">
        <v>14</v>
      </c>
      <c r="D797" s="21">
        <v>0</v>
      </c>
      <c r="E797" s="21">
        <v>0</v>
      </c>
      <c r="F797" s="21">
        <v>0</v>
      </c>
      <c r="G797" s="21">
        <v>0</v>
      </c>
      <c r="H797" s="21">
        <v>1</v>
      </c>
      <c r="I797" s="21" t="s">
        <v>16</v>
      </c>
      <c r="J797" s="21">
        <v>0</v>
      </c>
      <c r="K797" s="22">
        <v>1</v>
      </c>
      <c r="O797" s="20">
        <v>113636.3636</v>
      </c>
      <c r="P797" s="21">
        <v>0</v>
      </c>
    </row>
    <row r="798" spans="1:16" x14ac:dyDescent="0.3">
      <c r="A798" s="15">
        <v>1707</v>
      </c>
      <c r="B798" s="16">
        <v>-12500</v>
      </c>
      <c r="C798" s="17" t="s">
        <v>14</v>
      </c>
      <c r="D798" s="17">
        <v>0</v>
      </c>
      <c r="E798" s="17">
        <v>0</v>
      </c>
      <c r="F798" s="17">
        <v>1</v>
      </c>
      <c r="G798" s="17">
        <v>0</v>
      </c>
      <c r="H798" s="17">
        <v>1</v>
      </c>
      <c r="I798" s="17" t="s">
        <v>16</v>
      </c>
      <c r="J798" s="17">
        <v>0</v>
      </c>
      <c r="K798" s="18">
        <v>1</v>
      </c>
      <c r="O798" s="16">
        <v>-12500</v>
      </c>
      <c r="P798" s="17">
        <v>1</v>
      </c>
    </row>
    <row r="799" spans="1:16" x14ac:dyDescent="0.3">
      <c r="A799" s="19">
        <v>1710</v>
      </c>
      <c r="B799" s="20">
        <v>125000</v>
      </c>
      <c r="C799" s="21" t="s">
        <v>14</v>
      </c>
      <c r="D799" s="21">
        <v>0</v>
      </c>
      <c r="E799" s="21">
        <v>0</v>
      </c>
      <c r="F799" s="21">
        <v>0</v>
      </c>
      <c r="G799" s="21">
        <v>0</v>
      </c>
      <c r="H799" s="21">
        <v>1</v>
      </c>
      <c r="I799" s="21" t="s">
        <v>16</v>
      </c>
      <c r="J799" s="21">
        <v>1</v>
      </c>
      <c r="K799" s="22">
        <v>1</v>
      </c>
      <c r="O799" s="20">
        <v>125000</v>
      </c>
      <c r="P799" s="21">
        <v>0</v>
      </c>
    </row>
    <row r="800" spans="1:16" x14ac:dyDescent="0.3">
      <c r="A800" s="15">
        <v>1711</v>
      </c>
      <c r="B800" s="16">
        <v>5607.4766360000003</v>
      </c>
      <c r="C800" s="17" t="s">
        <v>14</v>
      </c>
      <c r="D800" s="17">
        <v>0</v>
      </c>
      <c r="E800" s="17">
        <v>1</v>
      </c>
      <c r="F800" s="17">
        <v>0</v>
      </c>
      <c r="G800" s="17">
        <v>1</v>
      </c>
      <c r="H800" s="17">
        <v>0</v>
      </c>
      <c r="I800" s="17" t="s">
        <v>16</v>
      </c>
      <c r="J800" s="17">
        <v>0</v>
      </c>
      <c r="K800" s="18">
        <v>1</v>
      </c>
      <c r="O800" s="16">
        <v>5607.4766360000003</v>
      </c>
      <c r="P800" s="17">
        <v>0</v>
      </c>
    </row>
    <row r="801" spans="1:16" x14ac:dyDescent="0.3">
      <c r="A801" s="19">
        <v>1712</v>
      </c>
      <c r="B801" s="20">
        <v>-2000</v>
      </c>
      <c r="C801" s="21" t="s">
        <v>14</v>
      </c>
      <c r="D801" s="21">
        <v>0</v>
      </c>
      <c r="E801" s="21">
        <v>0</v>
      </c>
      <c r="F801" s="21">
        <v>0</v>
      </c>
      <c r="G801" s="21">
        <v>0</v>
      </c>
      <c r="H801" s="21">
        <v>1</v>
      </c>
      <c r="I801" s="21" t="s">
        <v>16</v>
      </c>
      <c r="J801" s="21">
        <v>0</v>
      </c>
      <c r="K801" s="22">
        <v>1</v>
      </c>
      <c r="O801" s="20">
        <v>-2000</v>
      </c>
      <c r="P801" s="21">
        <v>0</v>
      </c>
    </row>
    <row r="802" spans="1:16" x14ac:dyDescent="0.3">
      <c r="A802" s="15">
        <v>1713</v>
      </c>
      <c r="B802" s="16">
        <v>7500</v>
      </c>
      <c r="C802" s="17" t="s">
        <v>14</v>
      </c>
      <c r="D802" s="17">
        <v>0</v>
      </c>
      <c r="E802" s="17">
        <v>1</v>
      </c>
      <c r="F802" s="17">
        <v>0</v>
      </c>
      <c r="G802" s="17">
        <v>0</v>
      </c>
      <c r="H802" s="17">
        <v>1</v>
      </c>
      <c r="I802" s="17" t="s">
        <v>16</v>
      </c>
      <c r="J802" s="17">
        <v>1</v>
      </c>
      <c r="K802" s="18">
        <v>0</v>
      </c>
      <c r="O802" s="16">
        <v>7500</v>
      </c>
      <c r="P802" s="17">
        <v>0</v>
      </c>
    </row>
    <row r="803" spans="1:16" x14ac:dyDescent="0.3">
      <c r="A803" s="19">
        <v>1714</v>
      </c>
      <c r="B803" s="20">
        <v>4761.9047620000001</v>
      </c>
      <c r="C803" s="21" t="s">
        <v>14</v>
      </c>
      <c r="D803" s="21">
        <v>0</v>
      </c>
      <c r="E803" s="21">
        <v>0</v>
      </c>
      <c r="F803" s="21">
        <v>0</v>
      </c>
      <c r="G803" s="21">
        <v>0</v>
      </c>
      <c r="H803" s="21">
        <v>1</v>
      </c>
      <c r="I803" s="21" t="s">
        <v>16</v>
      </c>
      <c r="J803" s="21">
        <v>0</v>
      </c>
      <c r="K803" s="22">
        <v>1</v>
      </c>
      <c r="O803" s="20">
        <v>4761.9047620000001</v>
      </c>
      <c r="P803" s="21">
        <v>0</v>
      </c>
    </row>
    <row r="804" spans="1:16" x14ac:dyDescent="0.3">
      <c r="A804" s="15">
        <v>1715</v>
      </c>
      <c r="B804" s="16">
        <v>2500</v>
      </c>
      <c r="C804" s="17" t="s">
        <v>14</v>
      </c>
      <c r="D804" s="17">
        <v>0</v>
      </c>
      <c r="E804" s="17">
        <v>1</v>
      </c>
      <c r="F804" s="17">
        <v>1</v>
      </c>
      <c r="G804" s="17">
        <v>0</v>
      </c>
      <c r="H804" s="17">
        <v>1</v>
      </c>
      <c r="I804" s="17" t="s">
        <v>16</v>
      </c>
      <c r="J804" s="17">
        <v>0</v>
      </c>
      <c r="K804" s="18">
        <v>0</v>
      </c>
      <c r="O804" s="16">
        <v>2500</v>
      </c>
      <c r="P804" s="17">
        <v>1</v>
      </c>
    </row>
    <row r="805" spans="1:16" x14ac:dyDescent="0.3">
      <c r="A805" s="19">
        <v>1716</v>
      </c>
      <c r="B805" s="20">
        <v>12500</v>
      </c>
      <c r="C805" s="21" t="s">
        <v>14</v>
      </c>
      <c r="D805" s="21">
        <v>0</v>
      </c>
      <c r="E805" s="21">
        <v>0</v>
      </c>
      <c r="F805" s="21">
        <v>0</v>
      </c>
      <c r="G805" s="21">
        <v>0</v>
      </c>
      <c r="H805" s="21">
        <v>1</v>
      </c>
      <c r="I805" s="21" t="s">
        <v>16</v>
      </c>
      <c r="J805" s="21">
        <v>0</v>
      </c>
      <c r="K805" s="22">
        <v>1</v>
      </c>
      <c r="O805" s="20">
        <v>12500</v>
      </c>
      <c r="P805" s="21">
        <v>0</v>
      </c>
    </row>
    <row r="806" spans="1:16" x14ac:dyDescent="0.3">
      <c r="A806" s="15">
        <v>1717</v>
      </c>
      <c r="B806" s="16">
        <v>6000</v>
      </c>
      <c r="C806" s="17" t="s">
        <v>14</v>
      </c>
      <c r="D806" s="17">
        <v>0</v>
      </c>
      <c r="E806" s="17">
        <v>0</v>
      </c>
      <c r="F806" s="17">
        <v>0</v>
      </c>
      <c r="G806" s="17">
        <v>0</v>
      </c>
      <c r="H806" s="17">
        <v>1</v>
      </c>
      <c r="I806" s="17" t="s">
        <v>16</v>
      </c>
      <c r="J806" s="17">
        <v>1</v>
      </c>
      <c r="K806" s="18">
        <v>1</v>
      </c>
      <c r="O806" s="16">
        <v>6000</v>
      </c>
      <c r="P806" s="17">
        <v>0</v>
      </c>
    </row>
    <row r="807" spans="1:16" x14ac:dyDescent="0.3">
      <c r="A807" s="19">
        <v>1718</v>
      </c>
      <c r="B807" s="20">
        <v>20000</v>
      </c>
      <c r="C807" s="21" t="s">
        <v>14</v>
      </c>
      <c r="D807" s="21">
        <v>0</v>
      </c>
      <c r="E807" s="21">
        <v>1</v>
      </c>
      <c r="F807" s="21">
        <v>0</v>
      </c>
      <c r="G807" s="21">
        <v>0</v>
      </c>
      <c r="H807" s="21">
        <v>1</v>
      </c>
      <c r="I807" s="21" t="s">
        <v>16</v>
      </c>
      <c r="J807" s="21">
        <v>1</v>
      </c>
      <c r="K807" s="22">
        <v>1</v>
      </c>
      <c r="O807" s="20">
        <v>20000</v>
      </c>
      <c r="P807" s="21">
        <v>0</v>
      </c>
    </row>
    <row r="808" spans="1:16" x14ac:dyDescent="0.3">
      <c r="A808" s="15">
        <v>1719</v>
      </c>
      <c r="B808" s="16">
        <v>6000</v>
      </c>
      <c r="C808" s="17" t="s">
        <v>14</v>
      </c>
      <c r="D808" s="17">
        <v>0</v>
      </c>
      <c r="E808" s="17">
        <v>0</v>
      </c>
      <c r="F808" s="17">
        <v>0</v>
      </c>
      <c r="G808" s="17">
        <v>0</v>
      </c>
      <c r="H808" s="17">
        <v>1</v>
      </c>
      <c r="I808" s="17" t="s">
        <v>16</v>
      </c>
      <c r="J808" s="17">
        <v>0</v>
      </c>
      <c r="K808" s="18">
        <v>0</v>
      </c>
      <c r="O808" s="16">
        <v>6000</v>
      </c>
      <c r="P808" s="17">
        <v>0</v>
      </c>
    </row>
    <row r="809" spans="1:16" x14ac:dyDescent="0.3">
      <c r="A809" s="19">
        <v>1721</v>
      </c>
      <c r="B809" s="20">
        <v>26315.78947</v>
      </c>
      <c r="C809" s="21" t="s">
        <v>14</v>
      </c>
      <c r="D809" s="21">
        <v>0</v>
      </c>
      <c r="E809" s="21">
        <v>1</v>
      </c>
      <c r="F809" s="21">
        <v>1</v>
      </c>
      <c r="G809" s="21">
        <v>0</v>
      </c>
      <c r="H809" s="21">
        <v>1</v>
      </c>
      <c r="I809" s="21" t="s">
        <v>16</v>
      </c>
      <c r="J809" s="21">
        <v>0</v>
      </c>
      <c r="K809" s="22">
        <v>0</v>
      </c>
      <c r="O809" s="20">
        <v>26315.78947</v>
      </c>
      <c r="P809" s="21">
        <v>1</v>
      </c>
    </row>
    <row r="810" spans="1:16" x14ac:dyDescent="0.3">
      <c r="A810" s="15">
        <v>1724</v>
      </c>
      <c r="B810" s="16">
        <v>12605.042020000001</v>
      </c>
      <c r="C810" s="17" t="s">
        <v>14</v>
      </c>
      <c r="D810" s="17">
        <v>0</v>
      </c>
      <c r="E810" s="17">
        <v>1</v>
      </c>
      <c r="F810" s="17">
        <v>0</v>
      </c>
      <c r="G810" s="17">
        <v>0</v>
      </c>
      <c r="H810" s="17">
        <v>1</v>
      </c>
      <c r="I810" s="17" t="s">
        <v>16</v>
      </c>
      <c r="J810" s="17">
        <v>0</v>
      </c>
      <c r="K810" s="18">
        <v>1</v>
      </c>
      <c r="O810" s="16">
        <v>12605.042020000001</v>
      </c>
      <c r="P810" s="17">
        <v>0</v>
      </c>
    </row>
    <row r="811" spans="1:16" x14ac:dyDescent="0.3">
      <c r="A811" s="19">
        <v>1725</v>
      </c>
      <c r="B811" s="20">
        <v>16666.666669999999</v>
      </c>
      <c r="C811" s="21" t="s">
        <v>14</v>
      </c>
      <c r="D811" s="21">
        <v>0</v>
      </c>
      <c r="E811" s="21">
        <v>0</v>
      </c>
      <c r="F811" s="21">
        <v>0</v>
      </c>
      <c r="G811" s="21">
        <v>0</v>
      </c>
      <c r="H811" s="21">
        <v>1</v>
      </c>
      <c r="I811" s="21" t="s">
        <v>16</v>
      </c>
      <c r="J811" s="21">
        <v>0</v>
      </c>
      <c r="K811" s="22">
        <v>1</v>
      </c>
      <c r="O811" s="20">
        <v>16666.666669999999</v>
      </c>
      <c r="P811" s="21">
        <v>0</v>
      </c>
    </row>
    <row r="812" spans="1:16" x14ac:dyDescent="0.3">
      <c r="A812" s="15">
        <v>1727</v>
      </c>
      <c r="B812" s="16">
        <v>8695.6521740000007</v>
      </c>
      <c r="C812" s="17" t="s">
        <v>14</v>
      </c>
      <c r="D812" s="17">
        <v>0</v>
      </c>
      <c r="E812" s="17">
        <v>0</v>
      </c>
      <c r="F812" s="17">
        <v>0</v>
      </c>
      <c r="G812" s="17">
        <v>0</v>
      </c>
      <c r="H812" s="17">
        <v>1</v>
      </c>
      <c r="I812" s="17" t="s">
        <v>16</v>
      </c>
      <c r="J812" s="17">
        <v>0</v>
      </c>
      <c r="K812" s="18">
        <v>1</v>
      </c>
      <c r="O812" s="16">
        <v>8695.6521740000007</v>
      </c>
      <c r="P812" s="17">
        <v>0</v>
      </c>
    </row>
    <row r="813" spans="1:16" x14ac:dyDescent="0.3">
      <c r="A813" s="19">
        <v>1728</v>
      </c>
      <c r="B813" s="20">
        <v>28125</v>
      </c>
      <c r="C813" s="21" t="s">
        <v>14</v>
      </c>
      <c r="D813" s="21">
        <v>0</v>
      </c>
      <c r="E813" s="21">
        <v>0</v>
      </c>
      <c r="F813" s="21">
        <v>1</v>
      </c>
      <c r="G813" s="21">
        <v>1</v>
      </c>
      <c r="H813" s="21">
        <v>0</v>
      </c>
      <c r="I813" s="21" t="s">
        <v>16</v>
      </c>
      <c r="J813" s="21">
        <v>0</v>
      </c>
      <c r="K813" s="22">
        <v>1</v>
      </c>
      <c r="O813" s="20">
        <v>28125</v>
      </c>
      <c r="P813" s="21">
        <v>1</v>
      </c>
    </row>
    <row r="814" spans="1:16" x14ac:dyDescent="0.3">
      <c r="A814" s="15">
        <v>1731</v>
      </c>
      <c r="B814" s="16">
        <v>100000</v>
      </c>
      <c r="C814" s="17" t="s">
        <v>14</v>
      </c>
      <c r="D814" s="17">
        <v>0</v>
      </c>
      <c r="E814" s="17">
        <v>1</v>
      </c>
      <c r="F814" s="17">
        <v>0</v>
      </c>
      <c r="G814" s="17">
        <v>1</v>
      </c>
      <c r="H814" s="17">
        <v>0</v>
      </c>
      <c r="I814" s="17" t="s">
        <v>16</v>
      </c>
      <c r="J814" s="17">
        <v>1</v>
      </c>
      <c r="K814" s="18">
        <v>1</v>
      </c>
      <c r="O814" s="16">
        <v>100000</v>
      </c>
      <c r="P814" s="17">
        <v>0</v>
      </c>
    </row>
    <row r="815" spans="1:16" x14ac:dyDescent="0.3">
      <c r="A815" s="19">
        <v>1733</v>
      </c>
      <c r="B815" s="20">
        <v>10000</v>
      </c>
      <c r="C815" s="21" t="s">
        <v>12</v>
      </c>
      <c r="D815" s="21">
        <v>1</v>
      </c>
      <c r="E815" s="21">
        <v>0</v>
      </c>
      <c r="F815" s="21">
        <v>0</v>
      </c>
      <c r="G815" s="21">
        <v>1</v>
      </c>
      <c r="H815" s="21">
        <v>0</v>
      </c>
      <c r="I815" s="21" t="s">
        <v>16</v>
      </c>
      <c r="J815" s="21">
        <v>1</v>
      </c>
      <c r="K815" s="22">
        <v>1</v>
      </c>
      <c r="O815" s="20">
        <v>10000</v>
      </c>
      <c r="P815" s="21">
        <v>0</v>
      </c>
    </row>
    <row r="816" spans="1:16" x14ac:dyDescent="0.3">
      <c r="A816" s="15">
        <v>1734</v>
      </c>
      <c r="B816" s="16">
        <v>16666.666669999999</v>
      </c>
      <c r="C816" s="17" t="s">
        <v>12</v>
      </c>
      <c r="D816" s="17">
        <v>1</v>
      </c>
      <c r="E816" s="17">
        <v>1</v>
      </c>
      <c r="F816" s="17">
        <v>1</v>
      </c>
      <c r="G816" s="17">
        <v>1</v>
      </c>
      <c r="H816" s="17">
        <v>0</v>
      </c>
      <c r="I816" s="17" t="s">
        <v>16</v>
      </c>
      <c r="J816" s="17">
        <v>0</v>
      </c>
      <c r="K816" s="18">
        <v>1</v>
      </c>
      <c r="O816" s="16">
        <v>16666.666669999999</v>
      </c>
      <c r="P816" s="17">
        <v>1</v>
      </c>
    </row>
    <row r="817" spans="1:16" x14ac:dyDescent="0.3">
      <c r="A817" s="19">
        <v>1735</v>
      </c>
      <c r="B817" s="20">
        <v>-833.33333330000005</v>
      </c>
      <c r="C817" s="21" t="s">
        <v>14</v>
      </c>
      <c r="D817" s="21">
        <v>0</v>
      </c>
      <c r="E817" s="21">
        <v>0</v>
      </c>
      <c r="F817" s="21">
        <v>1</v>
      </c>
      <c r="G817" s="21">
        <v>0</v>
      </c>
      <c r="H817" s="21">
        <v>1</v>
      </c>
      <c r="I817" s="21" t="s">
        <v>16</v>
      </c>
      <c r="J817" s="21">
        <v>0</v>
      </c>
      <c r="K817" s="22">
        <v>1</v>
      </c>
      <c r="O817" s="20">
        <v>-833.33333330000005</v>
      </c>
      <c r="P817" s="21">
        <v>1</v>
      </c>
    </row>
    <row r="818" spans="1:16" x14ac:dyDescent="0.3">
      <c r="A818" s="15">
        <v>1736</v>
      </c>
      <c r="B818" s="16">
        <v>3846.1538460000002</v>
      </c>
      <c r="C818" s="17" t="s">
        <v>14</v>
      </c>
      <c r="D818" s="17">
        <v>0</v>
      </c>
      <c r="E818" s="17">
        <v>1</v>
      </c>
      <c r="F818" s="17">
        <v>1</v>
      </c>
      <c r="G818" s="17">
        <v>0</v>
      </c>
      <c r="H818" s="17">
        <v>1</v>
      </c>
      <c r="I818" s="17" t="s">
        <v>16</v>
      </c>
      <c r="J818" s="17">
        <v>0</v>
      </c>
      <c r="K818" s="18">
        <v>1</v>
      </c>
      <c r="O818" s="16">
        <v>3846.1538460000002</v>
      </c>
      <c r="P818" s="17">
        <v>1</v>
      </c>
    </row>
    <row r="819" spans="1:16" x14ac:dyDescent="0.3">
      <c r="A819" s="19">
        <v>1739</v>
      </c>
      <c r="B819" s="20">
        <v>5000</v>
      </c>
      <c r="C819" s="21" t="s">
        <v>14</v>
      </c>
      <c r="D819" s="21">
        <v>0</v>
      </c>
      <c r="E819" s="21">
        <v>0</v>
      </c>
      <c r="F819" s="21">
        <v>0</v>
      </c>
      <c r="G819" s="21">
        <v>0</v>
      </c>
      <c r="H819" s="21">
        <v>1</v>
      </c>
      <c r="I819" s="21" t="s">
        <v>16</v>
      </c>
      <c r="J819" s="21">
        <v>0</v>
      </c>
      <c r="K819" s="22">
        <v>1</v>
      </c>
      <c r="O819" s="20">
        <v>5000</v>
      </c>
      <c r="P819" s="21">
        <v>0</v>
      </c>
    </row>
    <row r="820" spans="1:16" x14ac:dyDescent="0.3">
      <c r="A820" s="15">
        <v>1740</v>
      </c>
      <c r="B820" s="16">
        <v>2247.1910109999999</v>
      </c>
      <c r="C820" s="17" t="s">
        <v>14</v>
      </c>
      <c r="D820" s="17">
        <v>0</v>
      </c>
      <c r="E820" s="17">
        <v>1</v>
      </c>
      <c r="F820" s="17">
        <v>1</v>
      </c>
      <c r="G820" s="17">
        <v>0</v>
      </c>
      <c r="H820" s="17">
        <v>1</v>
      </c>
      <c r="I820" s="17" t="s">
        <v>16</v>
      </c>
      <c r="J820" s="17">
        <v>0</v>
      </c>
      <c r="K820" s="18">
        <v>1</v>
      </c>
      <c r="O820" s="16">
        <v>2247.1910109999999</v>
      </c>
      <c r="P820" s="17">
        <v>1</v>
      </c>
    </row>
    <row r="821" spans="1:16" x14ac:dyDescent="0.3">
      <c r="A821" s="19">
        <v>1741</v>
      </c>
      <c r="B821" s="20">
        <v>5000</v>
      </c>
      <c r="C821" s="21" t="s">
        <v>14</v>
      </c>
      <c r="D821" s="21">
        <v>0</v>
      </c>
      <c r="E821" s="21">
        <v>0</v>
      </c>
      <c r="F821" s="21">
        <v>0</v>
      </c>
      <c r="G821" s="21">
        <v>0</v>
      </c>
      <c r="H821" s="21">
        <v>1</v>
      </c>
      <c r="I821" s="21" t="s">
        <v>16</v>
      </c>
      <c r="J821" s="21">
        <v>0</v>
      </c>
      <c r="K821" s="22">
        <v>0</v>
      </c>
      <c r="O821" s="20">
        <v>5000</v>
      </c>
      <c r="P821" s="21">
        <v>0</v>
      </c>
    </row>
    <row r="822" spans="1:16" x14ac:dyDescent="0.3">
      <c r="A822" s="15">
        <v>1743</v>
      </c>
      <c r="B822" s="16">
        <v>16666.666669999999</v>
      </c>
      <c r="C822" s="17" t="s">
        <v>14</v>
      </c>
      <c r="D822" s="17">
        <v>0</v>
      </c>
      <c r="E822" s="17">
        <v>0</v>
      </c>
      <c r="F822" s="17">
        <v>0</v>
      </c>
      <c r="G822" s="17">
        <v>1</v>
      </c>
      <c r="H822" s="17">
        <v>0</v>
      </c>
      <c r="I822" s="17" t="s">
        <v>16</v>
      </c>
      <c r="J822" s="17">
        <v>0</v>
      </c>
      <c r="K822" s="18">
        <v>1</v>
      </c>
      <c r="O822" s="16">
        <v>16666.666669999999</v>
      </c>
      <c r="P822" s="17">
        <v>0</v>
      </c>
    </row>
    <row r="823" spans="1:16" x14ac:dyDescent="0.3">
      <c r="A823" s="19">
        <v>1746</v>
      </c>
      <c r="B823" s="20">
        <v>9302.3255809999991</v>
      </c>
      <c r="C823" s="21" t="s">
        <v>14</v>
      </c>
      <c r="D823" s="21">
        <v>0</v>
      </c>
      <c r="E823" s="21">
        <v>1</v>
      </c>
      <c r="F823" s="21">
        <v>0</v>
      </c>
      <c r="G823" s="21">
        <v>1</v>
      </c>
      <c r="H823" s="21">
        <v>0</v>
      </c>
      <c r="I823" s="21" t="s">
        <v>16</v>
      </c>
      <c r="J823" s="21">
        <v>0</v>
      </c>
      <c r="K823" s="22">
        <v>1</v>
      </c>
      <c r="O823" s="20">
        <v>9302.3255809999991</v>
      </c>
      <c r="P823" s="21">
        <v>0</v>
      </c>
    </row>
    <row r="824" spans="1:16" x14ac:dyDescent="0.3">
      <c r="A824" s="15">
        <v>1754</v>
      </c>
      <c r="B824" s="16">
        <v>20454.545450000001</v>
      </c>
      <c r="C824" s="17" t="s">
        <v>12</v>
      </c>
      <c r="D824" s="17">
        <v>1</v>
      </c>
      <c r="E824" s="17">
        <v>0</v>
      </c>
      <c r="F824" s="17">
        <v>0</v>
      </c>
      <c r="G824" s="17">
        <v>0</v>
      </c>
      <c r="H824" s="17">
        <v>1</v>
      </c>
      <c r="I824" s="17" t="s">
        <v>16</v>
      </c>
      <c r="J824" s="17">
        <v>0</v>
      </c>
      <c r="K824" s="18">
        <v>1</v>
      </c>
      <c r="O824" s="16">
        <v>20454.545450000001</v>
      </c>
      <c r="P824" s="17">
        <v>0</v>
      </c>
    </row>
    <row r="825" spans="1:16" x14ac:dyDescent="0.3">
      <c r="A825" s="19">
        <v>1813</v>
      </c>
      <c r="B825" s="20">
        <v>10000</v>
      </c>
      <c r="C825" s="21" t="s">
        <v>14</v>
      </c>
      <c r="D825" s="21">
        <v>0</v>
      </c>
      <c r="E825" s="21">
        <v>0</v>
      </c>
      <c r="F825" s="21">
        <v>0</v>
      </c>
      <c r="G825" s="21">
        <v>0</v>
      </c>
      <c r="H825" s="21">
        <v>1</v>
      </c>
      <c r="I825" s="21" t="s">
        <v>16</v>
      </c>
      <c r="J825" s="21">
        <v>0</v>
      </c>
      <c r="K825" s="22">
        <v>0</v>
      </c>
      <c r="O825" s="20">
        <v>10000</v>
      </c>
      <c r="P825" s="21">
        <v>0</v>
      </c>
    </row>
    <row r="826" spans="1:16" x14ac:dyDescent="0.3">
      <c r="A826" s="15">
        <v>1814</v>
      </c>
      <c r="B826" s="16">
        <v>15625</v>
      </c>
      <c r="C826" s="17" t="s">
        <v>14</v>
      </c>
      <c r="D826" s="17">
        <v>0</v>
      </c>
      <c r="E826" s="17">
        <v>0</v>
      </c>
      <c r="F826" s="17">
        <v>0</v>
      </c>
      <c r="G826" s="17">
        <v>0</v>
      </c>
      <c r="H826" s="17">
        <v>1</v>
      </c>
      <c r="I826" s="17" t="s">
        <v>16</v>
      </c>
      <c r="J826" s="17">
        <v>0</v>
      </c>
      <c r="K826" s="18">
        <v>0</v>
      </c>
      <c r="O826" s="16">
        <v>15625</v>
      </c>
      <c r="P826" s="17">
        <v>0</v>
      </c>
    </row>
    <row r="827" spans="1:16" x14ac:dyDescent="0.3">
      <c r="A827" s="19">
        <v>1816</v>
      </c>
      <c r="B827" s="20">
        <v>2500</v>
      </c>
      <c r="C827" s="21" t="s">
        <v>14</v>
      </c>
      <c r="D827" s="21">
        <v>0</v>
      </c>
      <c r="E827" s="21">
        <v>0</v>
      </c>
      <c r="F827" s="21">
        <v>0</v>
      </c>
      <c r="G827" s="21">
        <v>0</v>
      </c>
      <c r="H827" s="21">
        <v>1</v>
      </c>
      <c r="I827" s="21" t="s">
        <v>16</v>
      </c>
      <c r="J827" s="21">
        <v>0</v>
      </c>
      <c r="K827" s="22">
        <v>1</v>
      </c>
      <c r="O827" s="20">
        <v>2500</v>
      </c>
      <c r="P827" s="21">
        <v>0</v>
      </c>
    </row>
    <row r="828" spans="1:16" x14ac:dyDescent="0.3">
      <c r="A828" s="15">
        <v>1818</v>
      </c>
      <c r="B828" s="16">
        <v>2500</v>
      </c>
      <c r="C828" s="17" t="s">
        <v>12</v>
      </c>
      <c r="D828" s="17">
        <v>1</v>
      </c>
      <c r="E828" s="17">
        <v>0</v>
      </c>
      <c r="F828" s="17">
        <v>0</v>
      </c>
      <c r="G828" s="17">
        <v>0</v>
      </c>
      <c r="H828" s="17">
        <v>1</v>
      </c>
      <c r="I828" s="17" t="s">
        <v>16</v>
      </c>
      <c r="J828" s="17">
        <v>0</v>
      </c>
      <c r="K828" s="18">
        <v>1</v>
      </c>
      <c r="O828" s="16">
        <v>2500</v>
      </c>
      <c r="P828" s="17">
        <v>0</v>
      </c>
    </row>
    <row r="829" spans="1:16" x14ac:dyDescent="0.3">
      <c r="A829" s="19">
        <v>1821</v>
      </c>
      <c r="B829" s="20">
        <v>-20000</v>
      </c>
      <c r="C829" s="21" t="s">
        <v>12</v>
      </c>
      <c r="D829" s="21">
        <v>1</v>
      </c>
      <c r="E829" s="21">
        <v>0</v>
      </c>
      <c r="F829" s="21">
        <v>0</v>
      </c>
      <c r="G829" s="21">
        <v>1</v>
      </c>
      <c r="H829" s="21">
        <v>0</v>
      </c>
      <c r="I829" s="21" t="s">
        <v>16</v>
      </c>
      <c r="J829" s="21">
        <v>1</v>
      </c>
      <c r="K829" s="22">
        <v>0</v>
      </c>
      <c r="O829" s="20">
        <v>-20000</v>
      </c>
      <c r="P829" s="21">
        <v>0</v>
      </c>
    </row>
    <row r="830" spans="1:16" x14ac:dyDescent="0.3">
      <c r="A830" s="15">
        <v>1823</v>
      </c>
      <c r="B830" s="16">
        <v>5714.2857139999996</v>
      </c>
      <c r="C830" s="17" t="s">
        <v>14</v>
      </c>
      <c r="D830" s="17">
        <v>0</v>
      </c>
      <c r="E830" s="17">
        <v>0</v>
      </c>
      <c r="F830" s="17">
        <v>0</v>
      </c>
      <c r="G830" s="17">
        <v>0</v>
      </c>
      <c r="H830" s="17">
        <v>1</v>
      </c>
      <c r="I830" s="17" t="s">
        <v>16</v>
      </c>
      <c r="J830" s="17">
        <v>0</v>
      </c>
      <c r="K830" s="18">
        <v>0</v>
      </c>
      <c r="O830" s="16">
        <v>5714.2857139999996</v>
      </c>
      <c r="P830" s="17">
        <v>0</v>
      </c>
    </row>
    <row r="831" spans="1:16" x14ac:dyDescent="0.3">
      <c r="A831" s="19">
        <v>1828</v>
      </c>
      <c r="B831" s="20">
        <v>-6349.206349</v>
      </c>
      <c r="C831" s="21" t="s">
        <v>14</v>
      </c>
      <c r="D831" s="21">
        <v>0</v>
      </c>
      <c r="E831" s="21">
        <v>0</v>
      </c>
      <c r="F831" s="21">
        <v>0</v>
      </c>
      <c r="G831" s="21">
        <v>1</v>
      </c>
      <c r="H831" s="21">
        <v>0</v>
      </c>
      <c r="I831" s="21" t="s">
        <v>16</v>
      </c>
      <c r="J831" s="21">
        <v>0</v>
      </c>
      <c r="K831" s="22">
        <v>1</v>
      </c>
      <c r="O831" s="20">
        <v>-6349.206349</v>
      </c>
      <c r="P831" s="21">
        <v>0</v>
      </c>
    </row>
    <row r="832" spans="1:16" x14ac:dyDescent="0.3">
      <c r="A832" s="15">
        <v>1830</v>
      </c>
      <c r="B832" s="16">
        <v>30000</v>
      </c>
      <c r="C832" s="17" t="s">
        <v>14</v>
      </c>
      <c r="D832" s="17">
        <v>0</v>
      </c>
      <c r="E832" s="17">
        <v>0</v>
      </c>
      <c r="F832" s="17">
        <v>0</v>
      </c>
      <c r="G832" s="17">
        <v>1</v>
      </c>
      <c r="H832" s="17">
        <v>0</v>
      </c>
      <c r="I832" s="17" t="s">
        <v>16</v>
      </c>
      <c r="J832" s="17">
        <v>0</v>
      </c>
      <c r="K832" s="18">
        <v>1</v>
      </c>
      <c r="O832" s="16">
        <v>30000</v>
      </c>
      <c r="P832" s="17">
        <v>0</v>
      </c>
    </row>
    <row r="833" spans="1:16" x14ac:dyDescent="0.3">
      <c r="A833" s="19">
        <v>1832</v>
      </c>
      <c r="B833" s="20">
        <v>-23333.333330000001</v>
      </c>
      <c r="C833" s="21" t="s">
        <v>12</v>
      </c>
      <c r="D833" s="21">
        <v>1</v>
      </c>
      <c r="E833" s="21">
        <v>0</v>
      </c>
      <c r="F833" s="21">
        <v>0</v>
      </c>
      <c r="G833" s="21">
        <v>1</v>
      </c>
      <c r="H833" s="21">
        <v>0</v>
      </c>
      <c r="I833" s="21" t="s">
        <v>16</v>
      </c>
      <c r="J833" s="21">
        <v>0</v>
      </c>
      <c r="K833" s="22">
        <v>0</v>
      </c>
      <c r="O833" s="20">
        <v>-23333.333330000001</v>
      </c>
      <c r="P833" s="21">
        <v>0</v>
      </c>
    </row>
    <row r="834" spans="1:16" x14ac:dyDescent="0.3">
      <c r="A834" s="15">
        <v>1833</v>
      </c>
      <c r="B834" s="16">
        <v>4739.3364929999998</v>
      </c>
      <c r="C834" s="17" t="s">
        <v>14</v>
      </c>
      <c r="D834" s="17">
        <v>0</v>
      </c>
      <c r="E834" s="17">
        <v>0</v>
      </c>
      <c r="F834" s="17">
        <v>0</v>
      </c>
      <c r="G834" s="17">
        <v>0</v>
      </c>
      <c r="H834" s="17">
        <v>1</v>
      </c>
      <c r="I834" s="17" t="s">
        <v>16</v>
      </c>
      <c r="J834" s="17">
        <v>0</v>
      </c>
      <c r="K834" s="18">
        <v>1</v>
      </c>
      <c r="O834" s="16">
        <v>4739.3364929999998</v>
      </c>
      <c r="P834" s="17">
        <v>0</v>
      </c>
    </row>
    <row r="835" spans="1:16" x14ac:dyDescent="0.3">
      <c r="A835" s="19">
        <v>1836</v>
      </c>
      <c r="B835" s="20">
        <v>9302.3255809999991</v>
      </c>
      <c r="C835" s="21" t="s">
        <v>14</v>
      </c>
      <c r="D835" s="21">
        <v>0</v>
      </c>
      <c r="E835" s="21">
        <v>0</v>
      </c>
      <c r="F835" s="21">
        <v>0</v>
      </c>
      <c r="G835" s="21">
        <v>1</v>
      </c>
      <c r="H835" s="21">
        <v>0</v>
      </c>
      <c r="I835" s="21" t="s">
        <v>16</v>
      </c>
      <c r="J835" s="21">
        <v>0</v>
      </c>
      <c r="K835" s="22">
        <v>1</v>
      </c>
      <c r="O835" s="20">
        <v>9302.3255809999991</v>
      </c>
      <c r="P835" s="21">
        <v>0</v>
      </c>
    </row>
    <row r="836" spans="1:16" x14ac:dyDescent="0.3">
      <c r="A836" s="15">
        <v>1839</v>
      </c>
      <c r="B836" s="16">
        <v>8333.3333330000005</v>
      </c>
      <c r="C836" s="17" t="s">
        <v>14</v>
      </c>
      <c r="D836" s="17">
        <v>0</v>
      </c>
      <c r="E836" s="17">
        <v>1</v>
      </c>
      <c r="F836" s="17">
        <v>1</v>
      </c>
      <c r="G836" s="17">
        <v>0</v>
      </c>
      <c r="H836" s="17">
        <v>1</v>
      </c>
      <c r="I836" s="17" t="s">
        <v>16</v>
      </c>
      <c r="J836" s="17">
        <v>0</v>
      </c>
      <c r="K836" s="18">
        <v>0</v>
      </c>
      <c r="O836" s="16">
        <v>8333.3333330000005</v>
      </c>
      <c r="P836" s="17">
        <v>1</v>
      </c>
    </row>
    <row r="837" spans="1:16" x14ac:dyDescent="0.3">
      <c r="A837" s="19">
        <v>1841</v>
      </c>
      <c r="B837" s="20">
        <v>12000</v>
      </c>
      <c r="C837" s="21" t="s">
        <v>14</v>
      </c>
      <c r="D837" s="21">
        <v>0</v>
      </c>
      <c r="E837" s="21">
        <v>1</v>
      </c>
      <c r="F837" s="21">
        <v>0</v>
      </c>
      <c r="G837" s="21">
        <v>0</v>
      </c>
      <c r="H837" s="21">
        <v>1</v>
      </c>
      <c r="I837" s="21" t="s">
        <v>16</v>
      </c>
      <c r="J837" s="21">
        <v>0</v>
      </c>
      <c r="K837" s="22">
        <v>1</v>
      </c>
      <c r="O837" s="20">
        <v>12000</v>
      </c>
      <c r="P837" s="21">
        <v>0</v>
      </c>
    </row>
    <row r="838" spans="1:16" x14ac:dyDescent="0.3">
      <c r="A838" s="15">
        <v>1843</v>
      </c>
      <c r="B838" s="16">
        <v>6666.6666670000004</v>
      </c>
      <c r="C838" s="17" t="s">
        <v>14</v>
      </c>
      <c r="D838" s="17">
        <v>0</v>
      </c>
      <c r="E838" s="17">
        <v>0</v>
      </c>
      <c r="F838" s="17">
        <v>0</v>
      </c>
      <c r="G838" s="17">
        <v>0</v>
      </c>
      <c r="H838" s="17">
        <v>1</v>
      </c>
      <c r="I838" s="17" t="s">
        <v>16</v>
      </c>
      <c r="J838" s="17">
        <v>0</v>
      </c>
      <c r="K838" s="18">
        <v>1</v>
      </c>
      <c r="O838" s="16">
        <v>6666.6666670000004</v>
      </c>
      <c r="P838" s="17">
        <v>0</v>
      </c>
    </row>
    <row r="839" spans="1:16" x14ac:dyDescent="0.3">
      <c r="A839" s="19">
        <v>1847</v>
      </c>
      <c r="B839" s="20">
        <v>2857.1428569999998</v>
      </c>
      <c r="C839" s="21" t="s">
        <v>14</v>
      </c>
      <c r="D839" s="21">
        <v>0</v>
      </c>
      <c r="E839" s="21">
        <v>0</v>
      </c>
      <c r="F839" s="21">
        <v>0</v>
      </c>
      <c r="G839" s="21">
        <v>0</v>
      </c>
      <c r="H839" s="21">
        <v>1</v>
      </c>
      <c r="I839" s="21" t="s">
        <v>16</v>
      </c>
      <c r="J839" s="21">
        <v>0</v>
      </c>
      <c r="K839" s="22">
        <v>0</v>
      </c>
      <c r="O839" s="20">
        <v>2857.1428569999998</v>
      </c>
      <c r="P839" s="21">
        <v>0</v>
      </c>
    </row>
    <row r="840" spans="1:16" x14ac:dyDescent="0.3">
      <c r="A840" s="15">
        <v>1848</v>
      </c>
      <c r="B840" s="16">
        <v>5000</v>
      </c>
      <c r="C840" s="17" t="s">
        <v>14</v>
      </c>
      <c r="D840" s="17">
        <v>0</v>
      </c>
      <c r="E840" s="17">
        <v>0</v>
      </c>
      <c r="F840" s="17">
        <v>0</v>
      </c>
      <c r="G840" s="17">
        <v>0</v>
      </c>
      <c r="H840" s="17">
        <v>1</v>
      </c>
      <c r="I840" s="17" t="s">
        <v>16</v>
      </c>
      <c r="J840" s="17">
        <v>1</v>
      </c>
      <c r="K840" s="18">
        <v>0</v>
      </c>
      <c r="O840" s="16">
        <v>5000</v>
      </c>
      <c r="P840" s="17">
        <v>0</v>
      </c>
    </row>
    <row r="841" spans="1:16" x14ac:dyDescent="0.3">
      <c r="A841" s="19">
        <v>1851</v>
      </c>
      <c r="B841" s="20">
        <v>3333.333333</v>
      </c>
      <c r="C841" s="21" t="s">
        <v>14</v>
      </c>
      <c r="D841" s="21">
        <v>0</v>
      </c>
      <c r="E841" s="21">
        <v>0</v>
      </c>
      <c r="F841" s="21">
        <v>0</v>
      </c>
      <c r="G841" s="21">
        <v>1</v>
      </c>
      <c r="H841" s="21">
        <v>0</v>
      </c>
      <c r="I841" s="21" t="s">
        <v>16</v>
      </c>
      <c r="J841" s="21">
        <v>0</v>
      </c>
      <c r="K841" s="22">
        <v>0</v>
      </c>
      <c r="O841" s="20">
        <v>3333.333333</v>
      </c>
      <c r="P841" s="21">
        <v>0</v>
      </c>
    </row>
    <row r="842" spans="1:16" x14ac:dyDescent="0.3">
      <c r="A842" s="15">
        <v>1856</v>
      </c>
      <c r="B842" s="16">
        <v>5000</v>
      </c>
      <c r="C842" s="17" t="s">
        <v>12</v>
      </c>
      <c r="D842" s="17">
        <v>1</v>
      </c>
      <c r="E842" s="17">
        <v>0</v>
      </c>
      <c r="F842" s="17">
        <v>0</v>
      </c>
      <c r="G842" s="17">
        <v>0</v>
      </c>
      <c r="H842" s="17">
        <v>1</v>
      </c>
      <c r="I842" s="17" t="s">
        <v>16</v>
      </c>
      <c r="J842" s="17">
        <v>0</v>
      </c>
      <c r="K842" s="18">
        <v>1</v>
      </c>
      <c r="O842" s="16">
        <v>5000</v>
      </c>
      <c r="P842" s="17">
        <v>0</v>
      </c>
    </row>
    <row r="843" spans="1:16" x14ac:dyDescent="0.3">
      <c r="A843" s="19">
        <v>1857</v>
      </c>
      <c r="B843" s="20">
        <v>4761.9047620000001</v>
      </c>
      <c r="C843" s="21" t="s">
        <v>14</v>
      </c>
      <c r="D843" s="21">
        <v>0</v>
      </c>
      <c r="E843" s="21">
        <v>0</v>
      </c>
      <c r="F843" s="21">
        <v>0</v>
      </c>
      <c r="G843" s="21">
        <v>0</v>
      </c>
      <c r="H843" s="21">
        <v>1</v>
      </c>
      <c r="I843" s="21" t="s">
        <v>16</v>
      </c>
      <c r="J843" s="21">
        <v>0</v>
      </c>
      <c r="K843" s="22">
        <v>0</v>
      </c>
      <c r="O843" s="20">
        <v>4761.9047620000001</v>
      </c>
      <c r="P843" s="21">
        <v>0</v>
      </c>
    </row>
    <row r="844" spans="1:16" x14ac:dyDescent="0.3">
      <c r="A844" s="15">
        <v>1858</v>
      </c>
      <c r="B844" s="16">
        <v>3750</v>
      </c>
      <c r="C844" s="17" t="s">
        <v>14</v>
      </c>
      <c r="D844" s="17">
        <v>0</v>
      </c>
      <c r="E844" s="17">
        <v>0</v>
      </c>
      <c r="F844" s="17">
        <v>0</v>
      </c>
      <c r="G844" s="17">
        <v>0</v>
      </c>
      <c r="H844" s="17">
        <v>1</v>
      </c>
      <c r="I844" s="17" t="s">
        <v>16</v>
      </c>
      <c r="J844" s="17">
        <v>0</v>
      </c>
      <c r="K844" s="18">
        <v>0</v>
      </c>
      <c r="O844" s="16">
        <v>3750</v>
      </c>
      <c r="P844" s="17">
        <v>0</v>
      </c>
    </row>
    <row r="845" spans="1:16" x14ac:dyDescent="0.3">
      <c r="A845" s="19">
        <v>1860</v>
      </c>
      <c r="B845" s="20">
        <v>25694.444439999999</v>
      </c>
      <c r="C845" s="21" t="s">
        <v>14</v>
      </c>
      <c r="D845" s="21">
        <v>0</v>
      </c>
      <c r="E845" s="21">
        <v>0</v>
      </c>
      <c r="F845" s="21">
        <v>0</v>
      </c>
      <c r="G845" s="21">
        <v>0</v>
      </c>
      <c r="H845" s="21">
        <v>1</v>
      </c>
      <c r="I845" s="21" t="s">
        <v>16</v>
      </c>
      <c r="J845" s="21">
        <v>1</v>
      </c>
      <c r="K845" s="22">
        <v>0</v>
      </c>
      <c r="O845" s="20">
        <v>25694.444439999999</v>
      </c>
      <c r="P845" s="21">
        <v>0</v>
      </c>
    </row>
    <row r="846" spans="1:16" x14ac:dyDescent="0.3">
      <c r="A846" s="15">
        <v>1861</v>
      </c>
      <c r="B846" s="16">
        <v>6666.6666670000004</v>
      </c>
      <c r="C846" s="17" t="s">
        <v>14</v>
      </c>
      <c r="D846" s="17">
        <v>0</v>
      </c>
      <c r="E846" s="17">
        <v>1</v>
      </c>
      <c r="F846" s="17">
        <v>0</v>
      </c>
      <c r="G846" s="17">
        <v>0</v>
      </c>
      <c r="H846" s="17">
        <v>1</v>
      </c>
      <c r="I846" s="17" t="s">
        <v>16</v>
      </c>
      <c r="J846" s="17">
        <v>0</v>
      </c>
      <c r="K846" s="18">
        <v>0</v>
      </c>
      <c r="O846" s="16">
        <v>6666.6666670000004</v>
      </c>
      <c r="P846" s="17">
        <v>0</v>
      </c>
    </row>
    <row r="847" spans="1:16" x14ac:dyDescent="0.3">
      <c r="A847" s="19">
        <v>1863</v>
      </c>
      <c r="B847" s="20">
        <v>5714.2857139999996</v>
      </c>
      <c r="C847" s="21" t="s">
        <v>14</v>
      </c>
      <c r="D847" s="21">
        <v>0</v>
      </c>
      <c r="E847" s="21">
        <v>0</v>
      </c>
      <c r="F847" s="21">
        <v>1</v>
      </c>
      <c r="G847" s="21">
        <v>1</v>
      </c>
      <c r="H847" s="21">
        <v>0</v>
      </c>
      <c r="I847" s="21" t="s">
        <v>16</v>
      </c>
      <c r="J847" s="21">
        <v>0</v>
      </c>
      <c r="K847" s="22">
        <v>0</v>
      </c>
      <c r="O847" s="20">
        <v>5714.2857139999996</v>
      </c>
      <c r="P847" s="21">
        <v>1</v>
      </c>
    </row>
    <row r="848" spans="1:16" x14ac:dyDescent="0.3">
      <c r="A848" s="15">
        <v>1864</v>
      </c>
      <c r="B848" s="16">
        <v>1666.666667</v>
      </c>
      <c r="C848" s="17" t="s">
        <v>12</v>
      </c>
      <c r="D848" s="17">
        <v>1</v>
      </c>
      <c r="E848" s="17">
        <v>0</v>
      </c>
      <c r="F848" s="17">
        <v>0</v>
      </c>
      <c r="G848" s="17">
        <v>0</v>
      </c>
      <c r="H848" s="17">
        <v>1</v>
      </c>
      <c r="I848" s="17" t="s">
        <v>16</v>
      </c>
      <c r="J848" s="17">
        <v>0</v>
      </c>
      <c r="K848" s="18">
        <v>0</v>
      </c>
      <c r="O848" s="16">
        <v>1666.666667</v>
      </c>
      <c r="P848" s="17">
        <v>0</v>
      </c>
    </row>
    <row r="849" spans="1:16" x14ac:dyDescent="0.3">
      <c r="A849" s="19">
        <v>1865</v>
      </c>
      <c r="B849" s="20">
        <v>25000</v>
      </c>
      <c r="C849" s="21" t="s">
        <v>14</v>
      </c>
      <c r="D849" s="21">
        <v>0</v>
      </c>
      <c r="E849" s="21">
        <v>1</v>
      </c>
      <c r="F849" s="21">
        <v>1</v>
      </c>
      <c r="G849" s="21">
        <v>0</v>
      </c>
      <c r="H849" s="21">
        <v>1</v>
      </c>
      <c r="I849" s="21" t="s">
        <v>16</v>
      </c>
      <c r="J849" s="21">
        <v>0</v>
      </c>
      <c r="K849" s="22">
        <v>0</v>
      </c>
      <c r="O849" s="20">
        <v>25000</v>
      </c>
      <c r="P849" s="21">
        <v>1</v>
      </c>
    </row>
    <row r="850" spans="1:16" x14ac:dyDescent="0.3">
      <c r="A850" s="15">
        <v>1867</v>
      </c>
      <c r="B850" s="16">
        <v>4000</v>
      </c>
      <c r="C850" s="17" t="s">
        <v>14</v>
      </c>
      <c r="D850" s="17">
        <v>0</v>
      </c>
      <c r="E850" s="17">
        <v>0</v>
      </c>
      <c r="F850" s="17">
        <v>0</v>
      </c>
      <c r="G850" s="17">
        <v>0</v>
      </c>
      <c r="H850" s="17">
        <v>1</v>
      </c>
      <c r="I850" s="17" t="s">
        <v>16</v>
      </c>
      <c r="J850" s="17">
        <v>0</v>
      </c>
      <c r="K850" s="18">
        <v>1</v>
      </c>
      <c r="O850" s="16">
        <v>4000</v>
      </c>
      <c r="P850" s="17">
        <v>0</v>
      </c>
    </row>
    <row r="851" spans="1:16" x14ac:dyDescent="0.3">
      <c r="A851" s="19">
        <v>1868</v>
      </c>
      <c r="B851" s="20">
        <v>3787.878788</v>
      </c>
      <c r="C851" s="21" t="s">
        <v>14</v>
      </c>
      <c r="D851" s="21">
        <v>0</v>
      </c>
      <c r="E851" s="21">
        <v>0</v>
      </c>
      <c r="F851" s="21">
        <v>0</v>
      </c>
      <c r="G851" s="21">
        <v>0</v>
      </c>
      <c r="H851" s="21">
        <v>1</v>
      </c>
      <c r="I851" s="21" t="s">
        <v>16</v>
      </c>
      <c r="J851" s="21">
        <v>0</v>
      </c>
      <c r="K851" s="22">
        <v>0</v>
      </c>
      <c r="O851" s="20">
        <v>3787.878788</v>
      </c>
      <c r="P851" s="21">
        <v>0</v>
      </c>
    </row>
    <row r="852" spans="1:16" x14ac:dyDescent="0.3">
      <c r="A852" s="15">
        <v>1870</v>
      </c>
      <c r="B852" s="16">
        <v>25000</v>
      </c>
      <c r="C852" s="17" t="s">
        <v>14</v>
      </c>
      <c r="D852" s="17">
        <v>0</v>
      </c>
      <c r="E852" s="17">
        <v>1</v>
      </c>
      <c r="F852" s="17">
        <v>1</v>
      </c>
      <c r="G852" s="17">
        <v>0</v>
      </c>
      <c r="H852" s="17">
        <v>1</v>
      </c>
      <c r="I852" s="17" t="s">
        <v>16</v>
      </c>
      <c r="J852" s="17">
        <v>0</v>
      </c>
      <c r="K852" s="18">
        <v>0</v>
      </c>
      <c r="O852" s="16">
        <v>25000</v>
      </c>
      <c r="P852" s="17">
        <v>1</v>
      </c>
    </row>
    <row r="853" spans="1:16" x14ac:dyDescent="0.3">
      <c r="A853" s="19">
        <v>1875</v>
      </c>
      <c r="B853" s="20">
        <v>7500</v>
      </c>
      <c r="C853" s="21" t="s">
        <v>14</v>
      </c>
      <c r="D853" s="21">
        <v>0</v>
      </c>
      <c r="E853" s="21">
        <v>0</v>
      </c>
      <c r="F853" s="21">
        <v>1</v>
      </c>
      <c r="G853" s="21">
        <v>0</v>
      </c>
      <c r="H853" s="21">
        <v>1</v>
      </c>
      <c r="I853" s="21" t="s">
        <v>16</v>
      </c>
      <c r="J853" s="21">
        <v>0</v>
      </c>
      <c r="K853" s="22">
        <v>1</v>
      </c>
      <c r="O853" s="20">
        <v>7500</v>
      </c>
      <c r="P853" s="21">
        <v>1</v>
      </c>
    </row>
    <row r="854" spans="1:16" x14ac:dyDescent="0.3">
      <c r="A854" s="15">
        <v>1878</v>
      </c>
      <c r="B854" s="16">
        <v>4545.4545449999996</v>
      </c>
      <c r="C854" s="17" t="s">
        <v>12</v>
      </c>
      <c r="D854" s="17">
        <v>1</v>
      </c>
      <c r="E854" s="17">
        <v>0</v>
      </c>
      <c r="F854" s="17">
        <v>1</v>
      </c>
      <c r="G854" s="17">
        <v>0</v>
      </c>
      <c r="H854" s="17">
        <v>1</v>
      </c>
      <c r="I854" s="17" t="s">
        <v>16</v>
      </c>
      <c r="J854" s="17">
        <v>0</v>
      </c>
      <c r="K854" s="18">
        <v>1</v>
      </c>
      <c r="O854" s="16">
        <v>4545.4545449999996</v>
      </c>
      <c r="P854" s="17">
        <v>1</v>
      </c>
    </row>
    <row r="855" spans="1:16" x14ac:dyDescent="0.3">
      <c r="A855" s="19">
        <v>1879</v>
      </c>
      <c r="B855" s="20">
        <v>2307.6923080000001</v>
      </c>
      <c r="C855" s="21" t="s">
        <v>14</v>
      </c>
      <c r="D855" s="21">
        <v>0</v>
      </c>
      <c r="E855" s="21">
        <v>0</v>
      </c>
      <c r="F855" s="21">
        <v>0</v>
      </c>
      <c r="G855" s="21">
        <v>0</v>
      </c>
      <c r="H855" s="21">
        <v>1</v>
      </c>
      <c r="I855" s="21" t="s">
        <v>16</v>
      </c>
      <c r="J855" s="21">
        <v>0</v>
      </c>
      <c r="K855" s="22">
        <v>0</v>
      </c>
      <c r="O855" s="20">
        <v>2307.6923080000001</v>
      </c>
      <c r="P855" s="21">
        <v>0</v>
      </c>
    </row>
    <row r="856" spans="1:16" x14ac:dyDescent="0.3">
      <c r="A856" s="15">
        <v>1880</v>
      </c>
      <c r="B856" s="16">
        <v>3387.0967740000001</v>
      </c>
      <c r="C856" s="17" t="s">
        <v>14</v>
      </c>
      <c r="D856" s="17">
        <v>0</v>
      </c>
      <c r="E856" s="17">
        <v>0</v>
      </c>
      <c r="F856" s="17">
        <v>0</v>
      </c>
      <c r="G856" s="17">
        <v>0</v>
      </c>
      <c r="H856" s="17">
        <v>1</v>
      </c>
      <c r="I856" s="17" t="s">
        <v>16</v>
      </c>
      <c r="J856" s="17">
        <v>0</v>
      </c>
      <c r="K856" s="18">
        <v>1</v>
      </c>
      <c r="O856" s="16">
        <v>3387.0967740000001</v>
      </c>
      <c r="P856" s="17">
        <v>0</v>
      </c>
    </row>
    <row r="857" spans="1:16" x14ac:dyDescent="0.3">
      <c r="A857" s="19">
        <v>1881</v>
      </c>
      <c r="B857" s="20">
        <v>10000</v>
      </c>
      <c r="C857" s="21" t="s">
        <v>14</v>
      </c>
      <c r="D857" s="21">
        <v>0</v>
      </c>
      <c r="E857" s="21">
        <v>0</v>
      </c>
      <c r="F857" s="21">
        <v>1</v>
      </c>
      <c r="G857" s="21">
        <v>0</v>
      </c>
      <c r="H857" s="21">
        <v>1</v>
      </c>
      <c r="I857" s="21" t="s">
        <v>16</v>
      </c>
      <c r="J857" s="21">
        <v>0</v>
      </c>
      <c r="K857" s="22">
        <v>0</v>
      </c>
      <c r="O857" s="20">
        <v>10000</v>
      </c>
      <c r="P857" s="21">
        <v>1</v>
      </c>
    </row>
    <row r="858" spans="1:16" x14ac:dyDescent="0.3">
      <c r="A858" s="15">
        <v>1882</v>
      </c>
      <c r="B858" s="16">
        <v>33333.333330000001</v>
      </c>
      <c r="C858" s="17" t="s">
        <v>14</v>
      </c>
      <c r="D858" s="17">
        <v>0</v>
      </c>
      <c r="E858" s="17">
        <v>0</v>
      </c>
      <c r="F858" s="17">
        <v>1</v>
      </c>
      <c r="G858" s="17">
        <v>0</v>
      </c>
      <c r="H858" s="17">
        <v>1</v>
      </c>
      <c r="I858" s="17" t="s">
        <v>16</v>
      </c>
      <c r="J858" s="17">
        <v>1</v>
      </c>
      <c r="K858" s="18">
        <v>0</v>
      </c>
      <c r="O858" s="16">
        <v>33333.333330000001</v>
      </c>
      <c r="P858" s="17">
        <v>1</v>
      </c>
    </row>
    <row r="859" spans="1:16" x14ac:dyDescent="0.3">
      <c r="A859" s="19">
        <v>1886</v>
      </c>
      <c r="B859" s="20">
        <v>6250</v>
      </c>
      <c r="C859" s="21" t="s">
        <v>12</v>
      </c>
      <c r="D859" s="21">
        <v>1</v>
      </c>
      <c r="E859" s="21">
        <v>0</v>
      </c>
      <c r="F859" s="21">
        <v>0</v>
      </c>
      <c r="G859" s="21">
        <v>0</v>
      </c>
      <c r="H859" s="21">
        <v>1</v>
      </c>
      <c r="I859" s="21" t="s">
        <v>16</v>
      </c>
      <c r="J859" s="21">
        <v>0</v>
      </c>
      <c r="K859" s="22">
        <v>1</v>
      </c>
      <c r="O859" s="20">
        <v>6250</v>
      </c>
      <c r="P859" s="21">
        <v>0</v>
      </c>
    </row>
    <row r="860" spans="1:16" x14ac:dyDescent="0.3">
      <c r="A860" s="15">
        <v>1887</v>
      </c>
      <c r="B860" s="16">
        <v>40000</v>
      </c>
      <c r="C860" s="17" t="s">
        <v>14</v>
      </c>
      <c r="D860" s="17">
        <v>0</v>
      </c>
      <c r="E860" s="17">
        <v>0</v>
      </c>
      <c r="F860" s="17">
        <v>0</v>
      </c>
      <c r="G860" s="17">
        <v>0</v>
      </c>
      <c r="H860" s="17">
        <v>1</v>
      </c>
      <c r="I860" s="17" t="s">
        <v>16</v>
      </c>
      <c r="J860" s="17">
        <v>1</v>
      </c>
      <c r="K860" s="18">
        <v>1</v>
      </c>
      <c r="O860" s="16">
        <v>40000</v>
      </c>
      <c r="P860" s="17">
        <v>0</v>
      </c>
    </row>
    <row r="861" spans="1:16" x14ac:dyDescent="0.3">
      <c r="A861" s="19">
        <v>1888</v>
      </c>
      <c r="B861" s="20">
        <v>6250</v>
      </c>
      <c r="C861" s="21" t="s">
        <v>14</v>
      </c>
      <c r="D861" s="21">
        <v>0</v>
      </c>
      <c r="E861" s="21">
        <v>0</v>
      </c>
      <c r="F861" s="21">
        <v>0</v>
      </c>
      <c r="G861" s="21">
        <v>0</v>
      </c>
      <c r="H861" s="21">
        <v>1</v>
      </c>
      <c r="I861" s="21" t="s">
        <v>16</v>
      </c>
      <c r="J861" s="21">
        <v>0</v>
      </c>
      <c r="K861" s="22">
        <v>0</v>
      </c>
      <c r="O861" s="20">
        <v>6250</v>
      </c>
      <c r="P861" s="21">
        <v>0</v>
      </c>
    </row>
    <row r="862" spans="1:16" x14ac:dyDescent="0.3">
      <c r="A862" s="15">
        <v>1891</v>
      </c>
      <c r="B862" s="16">
        <v>5000</v>
      </c>
      <c r="C862" s="17" t="s">
        <v>14</v>
      </c>
      <c r="D862" s="17">
        <v>0</v>
      </c>
      <c r="E862" s="17">
        <v>0</v>
      </c>
      <c r="F862" s="17">
        <v>0</v>
      </c>
      <c r="G862" s="17">
        <v>0</v>
      </c>
      <c r="H862" s="17">
        <v>1</v>
      </c>
      <c r="I862" s="17" t="s">
        <v>16</v>
      </c>
      <c r="J862" s="17">
        <v>0</v>
      </c>
      <c r="K862" s="18">
        <v>0</v>
      </c>
      <c r="O862" s="16">
        <v>5000</v>
      </c>
      <c r="P862" s="17">
        <v>0</v>
      </c>
    </row>
    <row r="863" spans="1:16" x14ac:dyDescent="0.3">
      <c r="A863" s="19">
        <v>1893</v>
      </c>
      <c r="B863" s="20">
        <v>4842.6150120000002</v>
      </c>
      <c r="C863" s="21" t="s">
        <v>14</v>
      </c>
      <c r="D863" s="21">
        <v>0</v>
      </c>
      <c r="E863" s="21">
        <v>0</v>
      </c>
      <c r="F863" s="21">
        <v>1</v>
      </c>
      <c r="G863" s="21">
        <v>0</v>
      </c>
      <c r="H863" s="21">
        <v>1</v>
      </c>
      <c r="I863" s="21" t="s">
        <v>16</v>
      </c>
      <c r="J863" s="21">
        <v>0</v>
      </c>
      <c r="K863" s="22">
        <v>1</v>
      </c>
      <c r="O863" s="20">
        <v>4842.6150120000002</v>
      </c>
      <c r="P863" s="21">
        <v>1</v>
      </c>
    </row>
    <row r="864" spans="1:16" x14ac:dyDescent="0.3">
      <c r="A864" s="15">
        <v>1897</v>
      </c>
      <c r="B864" s="16">
        <v>12500</v>
      </c>
      <c r="C864" s="17" t="s">
        <v>14</v>
      </c>
      <c r="D864" s="17">
        <v>0</v>
      </c>
      <c r="E864" s="17">
        <v>0</v>
      </c>
      <c r="F864" s="17">
        <v>0</v>
      </c>
      <c r="G864" s="17">
        <v>1</v>
      </c>
      <c r="H864" s="17">
        <v>0</v>
      </c>
      <c r="I864" s="17" t="s">
        <v>13</v>
      </c>
      <c r="J864" s="17">
        <v>1</v>
      </c>
      <c r="K864" s="18">
        <v>0</v>
      </c>
      <c r="O864" s="16">
        <v>12500</v>
      </c>
      <c r="P864" s="17">
        <v>0</v>
      </c>
    </row>
    <row r="865" spans="1:16" x14ac:dyDescent="0.3">
      <c r="A865" s="19">
        <v>1905</v>
      </c>
      <c r="B865" s="20">
        <v>18571.42857</v>
      </c>
      <c r="C865" s="21" t="s">
        <v>14</v>
      </c>
      <c r="D865" s="21">
        <v>0</v>
      </c>
      <c r="E865" s="21">
        <v>1</v>
      </c>
      <c r="F865" s="21">
        <v>0</v>
      </c>
      <c r="G865" s="21">
        <v>0</v>
      </c>
      <c r="H865" s="21">
        <v>1</v>
      </c>
      <c r="I865" s="21" t="s">
        <v>13</v>
      </c>
      <c r="J865" s="21">
        <v>1</v>
      </c>
      <c r="K865" s="22">
        <v>0</v>
      </c>
      <c r="O865" s="20">
        <v>18571.42857</v>
      </c>
      <c r="P865" s="21">
        <v>0</v>
      </c>
    </row>
    <row r="866" spans="1:16" x14ac:dyDescent="0.3">
      <c r="A866" s="15">
        <v>1906</v>
      </c>
      <c r="B866" s="16">
        <v>6038.6473429999996</v>
      </c>
      <c r="C866" s="17" t="s">
        <v>14</v>
      </c>
      <c r="D866" s="17">
        <v>0</v>
      </c>
      <c r="E866" s="17">
        <v>1</v>
      </c>
      <c r="F866" s="17">
        <v>0</v>
      </c>
      <c r="G866" s="17">
        <v>0</v>
      </c>
      <c r="H866" s="17">
        <v>1</v>
      </c>
      <c r="I866" s="17" t="s">
        <v>13</v>
      </c>
      <c r="J866" s="17">
        <v>1</v>
      </c>
      <c r="K866" s="18">
        <v>0</v>
      </c>
      <c r="O866" s="16">
        <v>6038.6473429999996</v>
      </c>
      <c r="P866" s="17">
        <v>0</v>
      </c>
    </row>
    <row r="867" spans="1:16" x14ac:dyDescent="0.3">
      <c r="A867" s="19">
        <v>1907</v>
      </c>
      <c r="B867" s="20">
        <v>12500</v>
      </c>
      <c r="C867" s="21" t="s">
        <v>14</v>
      </c>
      <c r="D867" s="21">
        <v>0</v>
      </c>
      <c r="E867" s="21">
        <v>0</v>
      </c>
      <c r="F867" s="21">
        <v>0</v>
      </c>
      <c r="G867" s="21">
        <v>1</v>
      </c>
      <c r="H867" s="21">
        <v>0</v>
      </c>
      <c r="I867" s="21" t="s">
        <v>13</v>
      </c>
      <c r="J867" s="21">
        <v>1</v>
      </c>
      <c r="K867" s="22">
        <v>0</v>
      </c>
      <c r="O867" s="20">
        <v>12500</v>
      </c>
      <c r="P867" s="21">
        <v>0</v>
      </c>
    </row>
    <row r="868" spans="1:16" x14ac:dyDescent="0.3">
      <c r="A868" s="15">
        <v>1917</v>
      </c>
      <c r="B868" s="16">
        <v>22222.22222</v>
      </c>
      <c r="C868" s="17" t="s">
        <v>14</v>
      </c>
      <c r="D868" s="17">
        <v>0</v>
      </c>
      <c r="E868" s="17">
        <v>1</v>
      </c>
      <c r="F868" s="17">
        <v>1</v>
      </c>
      <c r="G868" s="17">
        <v>0</v>
      </c>
      <c r="H868" s="17">
        <v>1</v>
      </c>
      <c r="I868" s="17" t="s">
        <v>13</v>
      </c>
      <c r="J868" s="17">
        <v>1</v>
      </c>
      <c r="K868" s="18">
        <v>0</v>
      </c>
      <c r="O868" s="16">
        <v>22222.22222</v>
      </c>
      <c r="P868" s="17">
        <v>1</v>
      </c>
    </row>
    <row r="869" spans="1:16" x14ac:dyDescent="0.3">
      <c r="A869" s="19">
        <v>1918</v>
      </c>
      <c r="B869" s="20">
        <v>25000</v>
      </c>
      <c r="C869" s="21" t="s">
        <v>12</v>
      </c>
      <c r="D869" s="21">
        <v>1</v>
      </c>
      <c r="E869" s="21">
        <v>1</v>
      </c>
      <c r="F869" s="21">
        <v>1</v>
      </c>
      <c r="G869" s="21">
        <v>0</v>
      </c>
      <c r="H869" s="21">
        <v>1</v>
      </c>
      <c r="I869" s="21" t="s">
        <v>13</v>
      </c>
      <c r="J869" s="21">
        <v>1</v>
      </c>
      <c r="K869" s="22">
        <v>0</v>
      </c>
      <c r="O869" s="20">
        <v>25000</v>
      </c>
      <c r="P869" s="21">
        <v>1</v>
      </c>
    </row>
    <row r="870" spans="1:16" x14ac:dyDescent="0.3">
      <c r="A870" s="15">
        <v>1926</v>
      </c>
      <c r="B870" s="16">
        <v>10000</v>
      </c>
      <c r="C870" s="17" t="s">
        <v>14</v>
      </c>
      <c r="D870" s="17">
        <v>0</v>
      </c>
      <c r="E870" s="17">
        <v>0</v>
      </c>
      <c r="F870" s="17">
        <v>0</v>
      </c>
      <c r="G870" s="17">
        <v>0</v>
      </c>
      <c r="H870" s="17">
        <v>1</v>
      </c>
      <c r="I870" s="17" t="s">
        <v>13</v>
      </c>
      <c r="J870" s="17">
        <v>1</v>
      </c>
      <c r="K870" s="18">
        <v>0</v>
      </c>
      <c r="O870" s="16">
        <v>10000</v>
      </c>
      <c r="P870" s="17">
        <v>0</v>
      </c>
    </row>
    <row r="871" spans="1:16" x14ac:dyDescent="0.3">
      <c r="A871" s="19">
        <v>1929</v>
      </c>
      <c r="B871" s="20">
        <v>12500</v>
      </c>
      <c r="C871" s="21" t="s">
        <v>14</v>
      </c>
      <c r="D871" s="21">
        <v>0</v>
      </c>
      <c r="E871" s="21">
        <v>0</v>
      </c>
      <c r="F871" s="21">
        <v>0</v>
      </c>
      <c r="G871" s="21">
        <v>1</v>
      </c>
      <c r="H871" s="21">
        <v>0</v>
      </c>
      <c r="I871" s="21" t="s">
        <v>13</v>
      </c>
      <c r="J871" s="21">
        <v>1</v>
      </c>
      <c r="K871" s="22">
        <v>0</v>
      </c>
      <c r="O871" s="20">
        <v>12500</v>
      </c>
      <c r="P871" s="21">
        <v>0</v>
      </c>
    </row>
    <row r="872" spans="1:16" x14ac:dyDescent="0.3">
      <c r="A872" s="15">
        <v>1938</v>
      </c>
      <c r="B872" s="16">
        <v>150000</v>
      </c>
      <c r="C872" s="17" t="s">
        <v>14</v>
      </c>
      <c r="D872" s="17">
        <v>0</v>
      </c>
      <c r="E872" s="17">
        <v>0</v>
      </c>
      <c r="F872" s="17">
        <v>0</v>
      </c>
      <c r="G872" s="17">
        <v>0</v>
      </c>
      <c r="H872" s="17">
        <v>1</v>
      </c>
      <c r="I872" s="17" t="s">
        <v>15</v>
      </c>
      <c r="J872" s="17">
        <v>1</v>
      </c>
      <c r="K872" s="18">
        <v>0</v>
      </c>
      <c r="O872" s="16">
        <v>150000</v>
      </c>
      <c r="P872" s="17">
        <v>0</v>
      </c>
    </row>
    <row r="873" spans="1:16" x14ac:dyDescent="0.3">
      <c r="A873" s="19">
        <v>1942</v>
      </c>
      <c r="B873" s="20">
        <v>90909.090909999999</v>
      </c>
      <c r="C873" s="21" t="s">
        <v>12</v>
      </c>
      <c r="D873" s="21">
        <v>1</v>
      </c>
      <c r="E873" s="21">
        <v>0</v>
      </c>
      <c r="F873" s="21">
        <v>0</v>
      </c>
      <c r="G873" s="21">
        <v>0</v>
      </c>
      <c r="H873" s="21">
        <v>1</v>
      </c>
      <c r="I873" s="21" t="s">
        <v>15</v>
      </c>
      <c r="J873" s="21">
        <v>1</v>
      </c>
      <c r="K873" s="22">
        <v>0</v>
      </c>
      <c r="O873" s="20">
        <v>90909.090909999999</v>
      </c>
      <c r="P873" s="21">
        <v>0</v>
      </c>
    </row>
    <row r="874" spans="1:16" x14ac:dyDescent="0.3">
      <c r="A874" s="15">
        <v>1953</v>
      </c>
      <c r="B874" s="16">
        <v>150000</v>
      </c>
      <c r="C874" s="17" t="s">
        <v>14</v>
      </c>
      <c r="D874" s="17">
        <v>0</v>
      </c>
      <c r="E874" s="17">
        <v>0</v>
      </c>
      <c r="F874" s="17">
        <v>0</v>
      </c>
      <c r="G874" s="17">
        <v>0</v>
      </c>
      <c r="H874" s="17">
        <v>1</v>
      </c>
      <c r="I874" s="17" t="s">
        <v>15</v>
      </c>
      <c r="J874" s="17">
        <v>0</v>
      </c>
      <c r="K874" s="18">
        <v>1</v>
      </c>
      <c r="O874" s="16">
        <v>150000</v>
      </c>
      <c r="P874" s="17">
        <v>0</v>
      </c>
    </row>
    <row r="875" spans="1:16" x14ac:dyDescent="0.3">
      <c r="A875" s="19">
        <v>1967</v>
      </c>
      <c r="B875" s="20">
        <v>75000</v>
      </c>
      <c r="C875" s="21" t="s">
        <v>14</v>
      </c>
      <c r="D875" s="21">
        <v>0</v>
      </c>
      <c r="E875" s="21">
        <v>0</v>
      </c>
      <c r="F875" s="21">
        <v>0</v>
      </c>
      <c r="G875" s="21">
        <v>0</v>
      </c>
      <c r="H875" s="21">
        <v>1</v>
      </c>
      <c r="I875" s="21" t="s">
        <v>15</v>
      </c>
      <c r="J875" s="21">
        <v>1</v>
      </c>
      <c r="K875" s="22">
        <v>1</v>
      </c>
      <c r="O875" s="20">
        <v>75000</v>
      </c>
      <c r="P875" s="21">
        <v>0</v>
      </c>
    </row>
    <row r="876" spans="1:16" x14ac:dyDescent="0.3">
      <c r="A876" s="15">
        <v>1968</v>
      </c>
      <c r="B876" s="16">
        <v>155000</v>
      </c>
      <c r="C876" s="17" t="s">
        <v>14</v>
      </c>
      <c r="D876" s="17">
        <v>0</v>
      </c>
      <c r="E876" s="17">
        <v>0</v>
      </c>
      <c r="F876" s="17">
        <v>0</v>
      </c>
      <c r="G876" s="17">
        <v>0</v>
      </c>
      <c r="H876" s="17">
        <v>1</v>
      </c>
      <c r="I876" s="17" t="s">
        <v>15</v>
      </c>
      <c r="J876" s="17">
        <v>1</v>
      </c>
      <c r="K876" s="18">
        <v>1</v>
      </c>
      <c r="O876" s="16">
        <v>155000</v>
      </c>
      <c r="P876" s="17">
        <v>0</v>
      </c>
    </row>
    <row r="877" spans="1:16" x14ac:dyDescent="0.3">
      <c r="A877" s="19">
        <v>1971</v>
      </c>
      <c r="B877" s="20">
        <v>87719.298250000007</v>
      </c>
      <c r="C877" s="21" t="s">
        <v>14</v>
      </c>
      <c r="D877" s="21">
        <v>0</v>
      </c>
      <c r="E877" s="21">
        <v>0</v>
      </c>
      <c r="F877" s="21">
        <v>0</v>
      </c>
      <c r="G877" s="21">
        <v>0</v>
      </c>
      <c r="H877" s="21">
        <v>1</v>
      </c>
      <c r="I877" s="21" t="s">
        <v>15</v>
      </c>
      <c r="J877" s="21">
        <v>1</v>
      </c>
      <c r="K877" s="22">
        <v>1</v>
      </c>
      <c r="O877" s="20">
        <v>87719.298250000007</v>
      </c>
      <c r="P877" s="21">
        <v>0</v>
      </c>
    </row>
    <row r="878" spans="1:16" x14ac:dyDescent="0.3">
      <c r="A878" s="15">
        <v>1973</v>
      </c>
      <c r="B878" s="16">
        <v>50000</v>
      </c>
      <c r="C878" s="17" t="s">
        <v>14</v>
      </c>
      <c r="D878" s="17">
        <v>0</v>
      </c>
      <c r="E878" s="17">
        <v>0</v>
      </c>
      <c r="F878" s="17">
        <v>0</v>
      </c>
      <c r="G878" s="17">
        <v>0</v>
      </c>
      <c r="H878" s="17">
        <v>1</v>
      </c>
      <c r="I878" s="17" t="s">
        <v>15</v>
      </c>
      <c r="J878" s="17">
        <v>1</v>
      </c>
      <c r="K878" s="18">
        <v>1</v>
      </c>
      <c r="O878" s="16">
        <v>50000</v>
      </c>
      <c r="P878" s="17">
        <v>0</v>
      </c>
    </row>
    <row r="879" spans="1:16" x14ac:dyDescent="0.3">
      <c r="A879" s="19">
        <v>1974</v>
      </c>
      <c r="B879" s="20">
        <v>118181.81819999999</v>
      </c>
      <c r="C879" s="21" t="s">
        <v>14</v>
      </c>
      <c r="D879" s="21">
        <v>0</v>
      </c>
      <c r="E879" s="21">
        <v>0</v>
      </c>
      <c r="F879" s="21">
        <v>0</v>
      </c>
      <c r="G879" s="21">
        <v>0</v>
      </c>
      <c r="H879" s="21">
        <v>1</v>
      </c>
      <c r="I879" s="21" t="s">
        <v>15</v>
      </c>
      <c r="J879" s="21">
        <v>1</v>
      </c>
      <c r="K879" s="22">
        <v>1</v>
      </c>
      <c r="O879" s="20">
        <v>118181.81819999999</v>
      </c>
      <c r="P879" s="21">
        <v>0</v>
      </c>
    </row>
    <row r="880" spans="1:16" x14ac:dyDescent="0.3">
      <c r="A880" s="15">
        <v>1975</v>
      </c>
      <c r="B880" s="16">
        <v>100000</v>
      </c>
      <c r="C880" s="17" t="s">
        <v>14</v>
      </c>
      <c r="D880" s="17">
        <v>0</v>
      </c>
      <c r="E880" s="17">
        <v>1</v>
      </c>
      <c r="F880" s="17">
        <v>0</v>
      </c>
      <c r="G880" s="17">
        <v>0</v>
      </c>
      <c r="H880" s="17">
        <v>1</v>
      </c>
      <c r="I880" s="17" t="s">
        <v>15</v>
      </c>
      <c r="J880" s="17">
        <v>0</v>
      </c>
      <c r="K880" s="18">
        <v>0</v>
      </c>
      <c r="O880" s="16">
        <v>100000</v>
      </c>
      <c r="P880" s="17">
        <v>0</v>
      </c>
    </row>
    <row r="881" spans="1:16" x14ac:dyDescent="0.3">
      <c r="A881" s="19">
        <v>1982</v>
      </c>
      <c r="B881" s="20">
        <v>90909.090909999999</v>
      </c>
      <c r="C881" s="21" t="s">
        <v>14</v>
      </c>
      <c r="D881" s="21">
        <v>0</v>
      </c>
      <c r="E881" s="21">
        <v>0</v>
      </c>
      <c r="F881" s="21">
        <v>0</v>
      </c>
      <c r="G881" s="21">
        <v>0</v>
      </c>
      <c r="H881" s="21">
        <v>1</v>
      </c>
      <c r="I881" s="21" t="s">
        <v>15</v>
      </c>
      <c r="J881" s="21">
        <v>0</v>
      </c>
      <c r="K881" s="22">
        <v>0</v>
      </c>
      <c r="O881" s="20">
        <v>90909.090909999999</v>
      </c>
      <c r="P881" s="21">
        <v>0</v>
      </c>
    </row>
    <row r="882" spans="1:16" x14ac:dyDescent="0.3">
      <c r="A882" s="15">
        <v>1989</v>
      </c>
      <c r="B882" s="16">
        <v>40000</v>
      </c>
      <c r="C882" s="17" t="s">
        <v>14</v>
      </c>
      <c r="D882" s="17">
        <v>0</v>
      </c>
      <c r="E882" s="17">
        <v>0</v>
      </c>
      <c r="F882" s="17">
        <v>0</v>
      </c>
      <c r="G882" s="17">
        <v>0</v>
      </c>
      <c r="H882" s="17">
        <v>1</v>
      </c>
      <c r="I882" s="17" t="s">
        <v>15</v>
      </c>
      <c r="J882" s="17">
        <v>1</v>
      </c>
      <c r="K882" s="18">
        <v>0</v>
      </c>
      <c r="O882" s="16">
        <v>40000</v>
      </c>
      <c r="P882" s="17">
        <v>0</v>
      </c>
    </row>
    <row r="883" spans="1:16" x14ac:dyDescent="0.3">
      <c r="A883" s="19">
        <v>1990</v>
      </c>
      <c r="B883" s="20">
        <v>150000</v>
      </c>
      <c r="C883" s="21" t="s">
        <v>14</v>
      </c>
      <c r="D883" s="21">
        <v>0</v>
      </c>
      <c r="E883" s="21">
        <v>0</v>
      </c>
      <c r="F883" s="21">
        <v>0</v>
      </c>
      <c r="G883" s="21">
        <v>0</v>
      </c>
      <c r="H883" s="21">
        <v>1</v>
      </c>
      <c r="I883" s="21" t="s">
        <v>15</v>
      </c>
      <c r="J883" s="21">
        <v>1</v>
      </c>
      <c r="K883" s="22">
        <v>0</v>
      </c>
      <c r="O883" s="20">
        <v>150000</v>
      </c>
      <c r="P883" s="21">
        <v>0</v>
      </c>
    </row>
    <row r="884" spans="1:16" x14ac:dyDescent="0.3">
      <c r="A884" s="15">
        <v>1994</v>
      </c>
      <c r="B884" s="16">
        <v>60000</v>
      </c>
      <c r="C884" s="17" t="s">
        <v>14</v>
      </c>
      <c r="D884" s="17">
        <v>0</v>
      </c>
      <c r="E884" s="17">
        <v>1</v>
      </c>
      <c r="F884" s="17">
        <v>0</v>
      </c>
      <c r="G884" s="17">
        <v>0</v>
      </c>
      <c r="H884" s="17">
        <v>1</v>
      </c>
      <c r="I884" s="17" t="s">
        <v>15</v>
      </c>
      <c r="J884" s="17">
        <v>1</v>
      </c>
      <c r="K884" s="18">
        <v>1</v>
      </c>
      <c r="O884" s="16">
        <v>60000</v>
      </c>
      <c r="P884" s="17">
        <v>0</v>
      </c>
    </row>
    <row r="885" spans="1:16" x14ac:dyDescent="0.3">
      <c r="A885" s="19">
        <v>1999</v>
      </c>
      <c r="B885" s="20">
        <v>63025.210079999997</v>
      </c>
      <c r="C885" s="21" t="s">
        <v>12</v>
      </c>
      <c r="D885" s="21">
        <v>1</v>
      </c>
      <c r="E885" s="21">
        <v>1</v>
      </c>
      <c r="F885" s="21">
        <v>0</v>
      </c>
      <c r="G885" s="21">
        <v>0</v>
      </c>
      <c r="H885" s="21">
        <v>1</v>
      </c>
      <c r="I885" s="21" t="s">
        <v>15</v>
      </c>
      <c r="J885" s="21">
        <v>1</v>
      </c>
      <c r="K885" s="22">
        <v>1</v>
      </c>
      <c r="O885" s="20">
        <v>63025.210079999997</v>
      </c>
      <c r="P885" s="21">
        <v>0</v>
      </c>
    </row>
    <row r="886" spans="1:16" x14ac:dyDescent="0.3">
      <c r="A886" s="15">
        <v>2000</v>
      </c>
      <c r="B886" s="16">
        <v>31250</v>
      </c>
      <c r="C886" s="17" t="s">
        <v>14</v>
      </c>
      <c r="D886" s="17">
        <v>0</v>
      </c>
      <c r="E886" s="17">
        <v>0</v>
      </c>
      <c r="F886" s="17">
        <v>0</v>
      </c>
      <c r="G886" s="17">
        <v>0</v>
      </c>
      <c r="H886" s="17">
        <v>1</v>
      </c>
      <c r="I886" s="17" t="s">
        <v>15</v>
      </c>
      <c r="J886" s="17">
        <v>1</v>
      </c>
      <c r="K886" s="18">
        <v>1</v>
      </c>
      <c r="O886" s="16">
        <v>31250</v>
      </c>
      <c r="P886" s="17">
        <v>0</v>
      </c>
    </row>
    <row r="887" spans="1:16" x14ac:dyDescent="0.3">
      <c r="A887" s="19">
        <v>2003</v>
      </c>
      <c r="B887" s="20">
        <v>22727.272730000001</v>
      </c>
      <c r="C887" s="21" t="s">
        <v>14</v>
      </c>
      <c r="D887" s="21">
        <v>0</v>
      </c>
      <c r="E887" s="21">
        <v>0</v>
      </c>
      <c r="F887" s="21">
        <v>1</v>
      </c>
      <c r="G887" s="21">
        <v>0</v>
      </c>
      <c r="H887" s="21">
        <v>1</v>
      </c>
      <c r="I887" s="21" t="s">
        <v>15</v>
      </c>
      <c r="J887" s="21">
        <v>1</v>
      </c>
      <c r="K887" s="22">
        <v>0</v>
      </c>
      <c r="O887" s="20">
        <v>22727.272730000001</v>
      </c>
      <c r="P887" s="21">
        <v>1</v>
      </c>
    </row>
    <row r="888" spans="1:16" x14ac:dyDescent="0.3">
      <c r="A888" s="15">
        <v>2004</v>
      </c>
      <c r="B888" s="16">
        <v>20000</v>
      </c>
      <c r="C888" s="17" t="s">
        <v>14</v>
      </c>
      <c r="D888" s="17">
        <v>0</v>
      </c>
      <c r="E888" s="17">
        <v>0</v>
      </c>
      <c r="F888" s="17">
        <v>1</v>
      </c>
      <c r="G888" s="17">
        <v>0</v>
      </c>
      <c r="H888" s="17">
        <v>1</v>
      </c>
      <c r="I888" s="17" t="s">
        <v>15</v>
      </c>
      <c r="J888" s="17">
        <v>1</v>
      </c>
      <c r="K888" s="18">
        <v>0</v>
      </c>
      <c r="O888" s="16">
        <v>20000</v>
      </c>
      <c r="P888" s="17">
        <v>1</v>
      </c>
    </row>
    <row r="889" spans="1:16" x14ac:dyDescent="0.3">
      <c r="A889" s="19">
        <v>2005</v>
      </c>
      <c r="B889" s="20">
        <v>0</v>
      </c>
      <c r="C889" s="21" t="s">
        <v>14</v>
      </c>
      <c r="D889" s="21">
        <v>0</v>
      </c>
      <c r="E889" s="21">
        <v>0</v>
      </c>
      <c r="F889" s="21">
        <v>0</v>
      </c>
      <c r="G889" s="21">
        <v>0</v>
      </c>
      <c r="H889" s="21">
        <v>1</v>
      </c>
      <c r="I889" s="21" t="s">
        <v>15</v>
      </c>
      <c r="J889" s="21">
        <v>1</v>
      </c>
      <c r="K889" s="22">
        <v>0</v>
      </c>
      <c r="O889" s="20">
        <v>0</v>
      </c>
      <c r="P889" s="21">
        <v>0</v>
      </c>
    </row>
    <row r="890" spans="1:16" x14ac:dyDescent="0.3">
      <c r="A890" s="15">
        <v>2006</v>
      </c>
      <c r="B890" s="16">
        <v>0</v>
      </c>
      <c r="C890" s="17" t="s">
        <v>14</v>
      </c>
      <c r="D890" s="17">
        <v>0</v>
      </c>
      <c r="E890" s="17">
        <v>1</v>
      </c>
      <c r="F890" s="17">
        <v>0</v>
      </c>
      <c r="G890" s="17">
        <v>0</v>
      </c>
      <c r="H890" s="17">
        <v>1</v>
      </c>
      <c r="I890" s="17" t="s">
        <v>15</v>
      </c>
      <c r="J890" s="17">
        <v>1</v>
      </c>
      <c r="K890" s="18">
        <v>1</v>
      </c>
      <c r="O890" s="16">
        <v>0</v>
      </c>
      <c r="P890" s="17">
        <v>0</v>
      </c>
    </row>
    <row r="891" spans="1:16" x14ac:dyDescent="0.3">
      <c r="A891" s="19">
        <v>2007</v>
      </c>
      <c r="B891" s="20">
        <v>25000</v>
      </c>
      <c r="C891" s="21" t="s">
        <v>14</v>
      </c>
      <c r="D891" s="21">
        <v>0</v>
      </c>
      <c r="E891" s="21">
        <v>1</v>
      </c>
      <c r="F891" s="21">
        <v>0</v>
      </c>
      <c r="G891" s="21">
        <v>0</v>
      </c>
      <c r="H891" s="21">
        <v>1</v>
      </c>
      <c r="I891" s="21" t="s">
        <v>15</v>
      </c>
      <c r="J891" s="21">
        <v>1</v>
      </c>
      <c r="K891" s="22">
        <v>0</v>
      </c>
      <c r="O891" s="20">
        <v>25000</v>
      </c>
      <c r="P891" s="21">
        <v>0</v>
      </c>
    </row>
    <row r="892" spans="1:16" x14ac:dyDescent="0.3">
      <c r="A892" s="15">
        <v>2008</v>
      </c>
      <c r="B892" s="16">
        <v>41666.666669999999</v>
      </c>
      <c r="C892" s="17" t="s">
        <v>14</v>
      </c>
      <c r="D892" s="17">
        <v>0</v>
      </c>
      <c r="E892" s="17">
        <v>0</v>
      </c>
      <c r="F892" s="17">
        <v>0</v>
      </c>
      <c r="G892" s="17">
        <v>0</v>
      </c>
      <c r="H892" s="17">
        <v>1</v>
      </c>
      <c r="I892" s="17" t="s">
        <v>15</v>
      </c>
      <c r="J892" s="17">
        <v>1</v>
      </c>
      <c r="K892" s="18">
        <v>0</v>
      </c>
      <c r="O892" s="16">
        <v>41666.666669999999</v>
      </c>
      <c r="P892" s="17">
        <v>0</v>
      </c>
    </row>
    <row r="893" spans="1:16" x14ac:dyDescent="0.3">
      <c r="A893" s="19">
        <v>2009</v>
      </c>
      <c r="B893" s="20">
        <v>50000</v>
      </c>
      <c r="C893" s="21" t="s">
        <v>14</v>
      </c>
      <c r="D893" s="21">
        <v>0</v>
      </c>
      <c r="E893" s="21">
        <v>0</v>
      </c>
      <c r="F893" s="21">
        <v>0</v>
      </c>
      <c r="G893" s="21">
        <v>0</v>
      </c>
      <c r="H893" s="21">
        <v>1</v>
      </c>
      <c r="I893" s="21" t="s">
        <v>15</v>
      </c>
      <c r="J893" s="21">
        <v>1</v>
      </c>
      <c r="K893" s="22">
        <v>0</v>
      </c>
      <c r="O893" s="20">
        <v>50000</v>
      </c>
      <c r="P893" s="21">
        <v>0</v>
      </c>
    </row>
    <row r="894" spans="1:16" x14ac:dyDescent="0.3">
      <c r="A894" s="15">
        <v>2011</v>
      </c>
      <c r="B894" s="16">
        <v>0</v>
      </c>
      <c r="C894" s="17" t="s">
        <v>14</v>
      </c>
      <c r="D894" s="17">
        <v>0</v>
      </c>
      <c r="E894" s="17">
        <v>0</v>
      </c>
      <c r="F894" s="17">
        <v>0</v>
      </c>
      <c r="G894" s="17">
        <v>0</v>
      </c>
      <c r="H894" s="17">
        <v>1</v>
      </c>
      <c r="I894" s="17" t="s">
        <v>15</v>
      </c>
      <c r="J894" s="17">
        <v>1</v>
      </c>
      <c r="K894" s="18">
        <v>0</v>
      </c>
      <c r="O894" s="16">
        <v>0</v>
      </c>
      <c r="P894" s="17">
        <v>0</v>
      </c>
    </row>
    <row r="895" spans="1:16" x14ac:dyDescent="0.3">
      <c r="A895" s="19">
        <v>2016</v>
      </c>
      <c r="B895" s="20">
        <v>11904.7619</v>
      </c>
      <c r="C895" s="21" t="s">
        <v>14</v>
      </c>
      <c r="D895" s="21">
        <v>0</v>
      </c>
      <c r="E895" s="21">
        <v>1</v>
      </c>
      <c r="F895" s="21">
        <v>1</v>
      </c>
      <c r="G895" s="21">
        <v>0</v>
      </c>
      <c r="H895" s="21">
        <v>1</v>
      </c>
      <c r="I895" s="21" t="s">
        <v>15</v>
      </c>
      <c r="J895" s="21">
        <v>1</v>
      </c>
      <c r="K895" s="22">
        <v>0</v>
      </c>
      <c r="O895" s="20">
        <v>11904.7619</v>
      </c>
      <c r="P895" s="21">
        <v>1</v>
      </c>
    </row>
    <row r="896" spans="1:16" x14ac:dyDescent="0.3">
      <c r="A896" s="15">
        <v>2017</v>
      </c>
      <c r="B896" s="16">
        <v>100000</v>
      </c>
      <c r="C896" s="17" t="s">
        <v>14</v>
      </c>
      <c r="D896" s="17">
        <v>0</v>
      </c>
      <c r="E896" s="17">
        <v>0</v>
      </c>
      <c r="F896" s="17">
        <v>0</v>
      </c>
      <c r="G896" s="17">
        <v>0</v>
      </c>
      <c r="H896" s="17">
        <v>1</v>
      </c>
      <c r="I896" s="17" t="s">
        <v>15</v>
      </c>
      <c r="J896" s="17">
        <v>1</v>
      </c>
      <c r="K896" s="18">
        <v>0</v>
      </c>
      <c r="O896" s="16">
        <v>100000</v>
      </c>
      <c r="P896" s="17">
        <v>0</v>
      </c>
    </row>
    <row r="897" spans="1:16" x14ac:dyDescent="0.3">
      <c r="A897" s="19">
        <v>2020</v>
      </c>
      <c r="B897" s="20">
        <v>25000</v>
      </c>
      <c r="C897" s="21" t="s">
        <v>14</v>
      </c>
      <c r="D897" s="21">
        <v>0</v>
      </c>
      <c r="E897" s="21">
        <v>0</v>
      </c>
      <c r="F897" s="21">
        <v>0</v>
      </c>
      <c r="G897" s="21">
        <v>0</v>
      </c>
      <c r="H897" s="21">
        <v>1</v>
      </c>
      <c r="I897" s="21" t="s">
        <v>15</v>
      </c>
      <c r="J897" s="21">
        <v>1</v>
      </c>
      <c r="K897" s="22">
        <v>0</v>
      </c>
      <c r="O897" s="20">
        <v>25000</v>
      </c>
      <c r="P897" s="21">
        <v>0</v>
      </c>
    </row>
    <row r="898" spans="1:16" x14ac:dyDescent="0.3">
      <c r="A898" s="15">
        <v>2022</v>
      </c>
      <c r="B898" s="16">
        <v>83333.333329999994</v>
      </c>
      <c r="C898" s="17" t="s">
        <v>12</v>
      </c>
      <c r="D898" s="17">
        <v>1</v>
      </c>
      <c r="E898" s="17">
        <v>0</v>
      </c>
      <c r="F898" s="17">
        <v>0</v>
      </c>
      <c r="G898" s="17">
        <v>0</v>
      </c>
      <c r="H898" s="17">
        <v>1</v>
      </c>
      <c r="I898" s="17" t="s">
        <v>15</v>
      </c>
      <c r="J898" s="17">
        <v>1</v>
      </c>
      <c r="K898" s="18">
        <v>0</v>
      </c>
      <c r="O898" s="16">
        <v>83333.333329999994</v>
      </c>
      <c r="P898" s="17">
        <v>0</v>
      </c>
    </row>
    <row r="899" spans="1:16" x14ac:dyDescent="0.3">
      <c r="A899" s="19">
        <v>2026</v>
      </c>
      <c r="B899" s="20">
        <v>100000</v>
      </c>
      <c r="C899" s="21" t="s">
        <v>14</v>
      </c>
      <c r="D899" s="21">
        <v>0</v>
      </c>
      <c r="E899" s="21">
        <v>0</v>
      </c>
      <c r="F899" s="21">
        <v>0</v>
      </c>
      <c r="G899" s="21">
        <v>0</v>
      </c>
      <c r="H899" s="21">
        <v>1</v>
      </c>
      <c r="I899" s="21" t="s">
        <v>15</v>
      </c>
      <c r="J899" s="21">
        <v>1</v>
      </c>
      <c r="K899" s="22">
        <v>0</v>
      </c>
      <c r="O899" s="20">
        <v>100000</v>
      </c>
      <c r="P899" s="21">
        <v>0</v>
      </c>
    </row>
    <row r="900" spans="1:16" x14ac:dyDescent="0.3">
      <c r="A900" s="15">
        <v>2029</v>
      </c>
      <c r="B900" s="16">
        <v>66666.666670000006</v>
      </c>
      <c r="C900" s="17" t="s">
        <v>14</v>
      </c>
      <c r="D900" s="17">
        <v>0</v>
      </c>
      <c r="E900" s="17">
        <v>0</v>
      </c>
      <c r="F900" s="17">
        <v>0</v>
      </c>
      <c r="G900" s="17">
        <v>0</v>
      </c>
      <c r="H900" s="17">
        <v>1</v>
      </c>
      <c r="I900" s="17" t="s">
        <v>15</v>
      </c>
      <c r="J900" s="17">
        <v>1</v>
      </c>
      <c r="K900" s="18">
        <v>0</v>
      </c>
      <c r="O900" s="16">
        <v>66666.666670000006</v>
      </c>
      <c r="P900" s="17">
        <v>0</v>
      </c>
    </row>
    <row r="901" spans="1:16" x14ac:dyDescent="0.3">
      <c r="A901" s="19">
        <v>2036</v>
      </c>
      <c r="B901" s="20">
        <v>20000</v>
      </c>
      <c r="C901" s="21" t="s">
        <v>14</v>
      </c>
      <c r="D901" s="21">
        <v>0</v>
      </c>
      <c r="E901" s="21">
        <v>0</v>
      </c>
      <c r="F901" s="21">
        <v>0</v>
      </c>
      <c r="G901" s="21">
        <v>0</v>
      </c>
      <c r="H901" s="21">
        <v>1</v>
      </c>
      <c r="I901" s="21" t="s">
        <v>15</v>
      </c>
      <c r="J901" s="21">
        <v>1</v>
      </c>
      <c r="K901" s="22">
        <v>0</v>
      </c>
      <c r="O901" s="20">
        <v>20000</v>
      </c>
      <c r="P901" s="21">
        <v>0</v>
      </c>
    </row>
    <row r="902" spans="1:16" x14ac:dyDescent="0.3">
      <c r="A902" s="15">
        <v>2040</v>
      </c>
      <c r="B902" s="16">
        <v>37590.909090000001</v>
      </c>
      <c r="C902" s="17" t="s">
        <v>14</v>
      </c>
      <c r="D902" s="17">
        <v>0</v>
      </c>
      <c r="E902" s="17">
        <v>1</v>
      </c>
      <c r="F902" s="17">
        <v>0</v>
      </c>
      <c r="G902" s="17">
        <v>0</v>
      </c>
      <c r="H902" s="17">
        <v>1</v>
      </c>
      <c r="I902" s="17" t="s">
        <v>15</v>
      </c>
      <c r="J902" s="17">
        <v>1</v>
      </c>
      <c r="K902" s="18">
        <v>1</v>
      </c>
      <c r="O902" s="16">
        <v>37590.909090000001</v>
      </c>
      <c r="P902" s="17">
        <v>0</v>
      </c>
    </row>
    <row r="903" spans="1:16" x14ac:dyDescent="0.3">
      <c r="A903" s="19">
        <v>2045</v>
      </c>
      <c r="B903" s="20">
        <v>-62500</v>
      </c>
      <c r="C903" s="21" t="s">
        <v>14</v>
      </c>
      <c r="D903" s="21">
        <v>0</v>
      </c>
      <c r="E903" s="21">
        <v>1</v>
      </c>
      <c r="F903" s="21">
        <v>0</v>
      </c>
      <c r="G903" s="21">
        <v>0</v>
      </c>
      <c r="H903" s="21">
        <v>1</v>
      </c>
      <c r="I903" s="21" t="s">
        <v>15</v>
      </c>
      <c r="J903" s="21">
        <v>1</v>
      </c>
      <c r="K903" s="22">
        <v>1</v>
      </c>
      <c r="O903" s="20">
        <v>-62500</v>
      </c>
      <c r="P903" s="21">
        <v>0</v>
      </c>
    </row>
    <row r="904" spans="1:16" x14ac:dyDescent="0.3">
      <c r="A904" s="15">
        <v>2047</v>
      </c>
      <c r="B904" s="16">
        <v>100000</v>
      </c>
      <c r="C904" s="17" t="s">
        <v>14</v>
      </c>
      <c r="D904" s="17">
        <v>0</v>
      </c>
      <c r="E904" s="17">
        <v>0</v>
      </c>
      <c r="F904" s="17">
        <v>0</v>
      </c>
      <c r="G904" s="17">
        <v>0</v>
      </c>
      <c r="H904" s="17">
        <v>1</v>
      </c>
      <c r="I904" s="17" t="s">
        <v>15</v>
      </c>
      <c r="J904" s="17">
        <v>1</v>
      </c>
      <c r="K904" s="18">
        <v>1</v>
      </c>
      <c r="O904" s="16">
        <v>100000</v>
      </c>
      <c r="P904" s="17">
        <v>0</v>
      </c>
    </row>
    <row r="905" spans="1:16" x14ac:dyDescent="0.3">
      <c r="A905" s="19">
        <v>2050</v>
      </c>
      <c r="B905" s="20">
        <v>63636.363640000003</v>
      </c>
      <c r="C905" s="21" t="s">
        <v>14</v>
      </c>
      <c r="D905" s="21">
        <v>0</v>
      </c>
      <c r="E905" s="21">
        <v>0</v>
      </c>
      <c r="F905" s="21">
        <v>0</v>
      </c>
      <c r="G905" s="21">
        <v>0</v>
      </c>
      <c r="H905" s="21">
        <v>1</v>
      </c>
      <c r="I905" s="21" t="s">
        <v>15</v>
      </c>
      <c r="J905" s="21">
        <v>1</v>
      </c>
      <c r="K905" s="22">
        <v>0</v>
      </c>
      <c r="O905" s="20">
        <v>63636.363640000003</v>
      </c>
      <c r="P905" s="21">
        <v>0</v>
      </c>
    </row>
    <row r="906" spans="1:16" x14ac:dyDescent="0.3">
      <c r="A906" s="15">
        <v>2051</v>
      </c>
      <c r="B906" s="16">
        <v>125000</v>
      </c>
      <c r="C906" s="17" t="s">
        <v>14</v>
      </c>
      <c r="D906" s="17">
        <v>0</v>
      </c>
      <c r="E906" s="17">
        <v>0</v>
      </c>
      <c r="F906" s="17">
        <v>0</v>
      </c>
      <c r="G906" s="17">
        <v>0</v>
      </c>
      <c r="H906" s="17">
        <v>1</v>
      </c>
      <c r="I906" s="17" t="s">
        <v>15</v>
      </c>
      <c r="J906" s="17">
        <v>1</v>
      </c>
      <c r="K906" s="18">
        <v>0</v>
      </c>
      <c r="O906" s="16">
        <v>125000</v>
      </c>
      <c r="P906" s="17">
        <v>0</v>
      </c>
    </row>
    <row r="907" spans="1:16" x14ac:dyDescent="0.3">
      <c r="A907" s="19">
        <v>2052</v>
      </c>
      <c r="B907" s="20">
        <v>45365.853660000001</v>
      </c>
      <c r="C907" s="21" t="s">
        <v>14</v>
      </c>
      <c r="D907" s="21">
        <v>0</v>
      </c>
      <c r="E907" s="21">
        <v>0</v>
      </c>
      <c r="F907" s="21">
        <v>0</v>
      </c>
      <c r="G907" s="21">
        <v>0</v>
      </c>
      <c r="H907" s="21">
        <v>1</v>
      </c>
      <c r="I907" s="21" t="s">
        <v>15</v>
      </c>
      <c r="J907" s="21">
        <v>1</v>
      </c>
      <c r="K907" s="22">
        <v>0</v>
      </c>
      <c r="O907" s="20">
        <v>45365.853660000001</v>
      </c>
      <c r="P907" s="21">
        <v>0</v>
      </c>
    </row>
    <row r="908" spans="1:16" x14ac:dyDescent="0.3">
      <c r="A908" s="15">
        <v>2053</v>
      </c>
      <c r="B908" s="16">
        <v>73333.333329999994</v>
      </c>
      <c r="C908" s="17" t="s">
        <v>14</v>
      </c>
      <c r="D908" s="17">
        <v>0</v>
      </c>
      <c r="E908" s="17">
        <v>0</v>
      </c>
      <c r="F908" s="17">
        <v>0</v>
      </c>
      <c r="G908" s="17">
        <v>0</v>
      </c>
      <c r="H908" s="17">
        <v>1</v>
      </c>
      <c r="I908" s="17" t="s">
        <v>15</v>
      </c>
      <c r="J908" s="17">
        <v>1</v>
      </c>
      <c r="K908" s="18">
        <v>0</v>
      </c>
      <c r="O908" s="16">
        <v>73333.333329999994</v>
      </c>
      <c r="P908" s="17">
        <v>0</v>
      </c>
    </row>
    <row r="909" spans="1:16" x14ac:dyDescent="0.3">
      <c r="A909" s="19">
        <v>2055</v>
      </c>
      <c r="B909" s="20">
        <v>114000</v>
      </c>
      <c r="C909" s="21" t="s">
        <v>14</v>
      </c>
      <c r="D909" s="21">
        <v>0</v>
      </c>
      <c r="E909" s="21">
        <v>0</v>
      </c>
      <c r="F909" s="21">
        <v>0</v>
      </c>
      <c r="G909" s="21">
        <v>0</v>
      </c>
      <c r="H909" s="21">
        <v>1</v>
      </c>
      <c r="I909" s="21" t="s">
        <v>15</v>
      </c>
      <c r="J909" s="21">
        <v>1</v>
      </c>
      <c r="K909" s="22">
        <v>1</v>
      </c>
      <c r="O909" s="20">
        <v>114000</v>
      </c>
      <c r="P909" s="21">
        <v>0</v>
      </c>
    </row>
    <row r="910" spans="1:16" x14ac:dyDescent="0.3">
      <c r="A910" s="15">
        <v>2056</v>
      </c>
      <c r="B910" s="16">
        <v>150000</v>
      </c>
      <c r="C910" s="17" t="s">
        <v>14</v>
      </c>
      <c r="D910" s="17">
        <v>0</v>
      </c>
      <c r="E910" s="17">
        <v>0</v>
      </c>
      <c r="F910" s="17">
        <v>0</v>
      </c>
      <c r="G910" s="17">
        <v>0</v>
      </c>
      <c r="H910" s="17">
        <v>1</v>
      </c>
      <c r="I910" s="17" t="s">
        <v>15</v>
      </c>
      <c r="J910" s="17">
        <v>0</v>
      </c>
      <c r="K910" s="18">
        <v>1</v>
      </c>
      <c r="O910" s="16">
        <v>150000</v>
      </c>
      <c r="P910" s="17">
        <v>0</v>
      </c>
    </row>
    <row r="911" spans="1:16" x14ac:dyDescent="0.3">
      <c r="A911" s="19">
        <v>2065</v>
      </c>
      <c r="B911" s="20">
        <v>66666.666670000006</v>
      </c>
      <c r="C911" s="21" t="s">
        <v>14</v>
      </c>
      <c r="D911" s="21">
        <v>0</v>
      </c>
      <c r="E911" s="21">
        <v>0</v>
      </c>
      <c r="F911" s="21">
        <v>0</v>
      </c>
      <c r="G911" s="21">
        <v>0</v>
      </c>
      <c r="H911" s="21">
        <v>1</v>
      </c>
      <c r="I911" s="21" t="s">
        <v>15</v>
      </c>
      <c r="J911" s="21">
        <v>1</v>
      </c>
      <c r="K911" s="22">
        <v>0</v>
      </c>
      <c r="O911" s="20">
        <v>66666.666670000006</v>
      </c>
      <c r="P911" s="21">
        <v>0</v>
      </c>
    </row>
    <row r="912" spans="1:16" x14ac:dyDescent="0.3">
      <c r="A912" s="15">
        <v>2066</v>
      </c>
      <c r="B912" s="16">
        <v>47619.047619999998</v>
      </c>
      <c r="C912" s="17" t="s">
        <v>14</v>
      </c>
      <c r="D912" s="17">
        <v>0</v>
      </c>
      <c r="E912" s="17">
        <v>1</v>
      </c>
      <c r="F912" s="17">
        <v>0</v>
      </c>
      <c r="G912" s="17">
        <v>0</v>
      </c>
      <c r="H912" s="17">
        <v>1</v>
      </c>
      <c r="I912" s="17" t="s">
        <v>15</v>
      </c>
      <c r="J912" s="17">
        <v>1</v>
      </c>
      <c r="K912" s="18">
        <v>0</v>
      </c>
      <c r="O912" s="16">
        <v>47619.047619999998</v>
      </c>
      <c r="P912" s="17">
        <v>0</v>
      </c>
    </row>
    <row r="913" spans="1:16" x14ac:dyDescent="0.3">
      <c r="A913" s="19">
        <v>2069</v>
      </c>
      <c r="B913" s="20">
        <v>29585.79882</v>
      </c>
      <c r="C913" s="21" t="s">
        <v>14</v>
      </c>
      <c r="D913" s="21">
        <v>0</v>
      </c>
      <c r="E913" s="21">
        <v>1</v>
      </c>
      <c r="F913" s="21">
        <v>0</v>
      </c>
      <c r="G913" s="21">
        <v>0</v>
      </c>
      <c r="H913" s="21">
        <v>1</v>
      </c>
      <c r="I913" s="21" t="s">
        <v>15</v>
      </c>
      <c r="J913" s="21">
        <v>1</v>
      </c>
      <c r="K913" s="22">
        <v>0</v>
      </c>
      <c r="O913" s="20">
        <v>29585.79882</v>
      </c>
      <c r="P913" s="21">
        <v>0</v>
      </c>
    </row>
    <row r="914" spans="1:16" x14ac:dyDescent="0.3">
      <c r="A914" s="15">
        <v>2070</v>
      </c>
      <c r="B914" s="16">
        <v>50000</v>
      </c>
      <c r="C914" s="17" t="s">
        <v>14</v>
      </c>
      <c r="D914" s="17">
        <v>0</v>
      </c>
      <c r="E914" s="17">
        <v>0</v>
      </c>
      <c r="F914" s="17">
        <v>0</v>
      </c>
      <c r="G914" s="17">
        <v>0</v>
      </c>
      <c r="H914" s="17">
        <v>1</v>
      </c>
      <c r="I914" s="17" t="s">
        <v>15</v>
      </c>
      <c r="J914" s="17">
        <v>1</v>
      </c>
      <c r="K914" s="18">
        <v>0</v>
      </c>
      <c r="O914" s="16">
        <v>50000</v>
      </c>
      <c r="P914" s="17">
        <v>0</v>
      </c>
    </row>
    <row r="915" spans="1:16" x14ac:dyDescent="0.3">
      <c r="A915" s="19">
        <v>2071</v>
      </c>
      <c r="B915" s="20">
        <v>45454.545449999998</v>
      </c>
      <c r="C915" s="21" t="s">
        <v>14</v>
      </c>
      <c r="D915" s="21">
        <v>0</v>
      </c>
      <c r="E915" s="21">
        <v>1</v>
      </c>
      <c r="F915" s="21">
        <v>0</v>
      </c>
      <c r="G915" s="21">
        <v>0</v>
      </c>
      <c r="H915" s="21">
        <v>1</v>
      </c>
      <c r="I915" s="21" t="s">
        <v>15</v>
      </c>
      <c r="J915" s="21">
        <v>1</v>
      </c>
      <c r="K915" s="22">
        <v>0</v>
      </c>
      <c r="O915" s="20">
        <v>45454.545449999998</v>
      </c>
      <c r="P915" s="21">
        <v>0</v>
      </c>
    </row>
    <row r="916" spans="1:16" x14ac:dyDescent="0.3">
      <c r="A916" s="15">
        <v>2076</v>
      </c>
      <c r="B916" s="16">
        <v>100000</v>
      </c>
      <c r="C916" s="17" t="s">
        <v>14</v>
      </c>
      <c r="D916" s="17">
        <v>0</v>
      </c>
      <c r="E916" s="17">
        <v>0</v>
      </c>
      <c r="F916" s="17">
        <v>0</v>
      </c>
      <c r="G916" s="17">
        <v>0</v>
      </c>
      <c r="H916" s="17">
        <v>1</v>
      </c>
      <c r="I916" s="17" t="s">
        <v>15</v>
      </c>
      <c r="J916" s="17">
        <v>1</v>
      </c>
      <c r="K916" s="18">
        <v>0</v>
      </c>
      <c r="O916" s="16">
        <v>100000</v>
      </c>
      <c r="P916" s="17">
        <v>0</v>
      </c>
    </row>
    <row r="917" spans="1:16" x14ac:dyDescent="0.3">
      <c r="A917" s="19">
        <v>2077</v>
      </c>
      <c r="B917" s="20">
        <v>75000</v>
      </c>
      <c r="C917" s="21" t="s">
        <v>14</v>
      </c>
      <c r="D917" s="21">
        <v>0</v>
      </c>
      <c r="E917" s="21">
        <v>0</v>
      </c>
      <c r="F917" s="21">
        <v>0</v>
      </c>
      <c r="G917" s="21">
        <v>0</v>
      </c>
      <c r="H917" s="21">
        <v>1</v>
      </c>
      <c r="I917" s="21" t="s">
        <v>15</v>
      </c>
      <c r="J917" s="21">
        <v>1</v>
      </c>
      <c r="K917" s="22">
        <v>0</v>
      </c>
      <c r="O917" s="20">
        <v>75000</v>
      </c>
      <c r="P917" s="21">
        <v>0</v>
      </c>
    </row>
    <row r="918" spans="1:16" x14ac:dyDescent="0.3">
      <c r="A918" s="15">
        <v>2078</v>
      </c>
      <c r="B918" s="16">
        <v>45454.545449999998</v>
      </c>
      <c r="C918" s="17" t="s">
        <v>14</v>
      </c>
      <c r="D918" s="17">
        <v>0</v>
      </c>
      <c r="E918" s="17">
        <v>0</v>
      </c>
      <c r="F918" s="17">
        <v>0</v>
      </c>
      <c r="G918" s="17">
        <v>0</v>
      </c>
      <c r="H918" s="17">
        <v>1</v>
      </c>
      <c r="I918" s="17" t="s">
        <v>15</v>
      </c>
      <c r="J918" s="17">
        <v>0</v>
      </c>
      <c r="K918" s="18">
        <v>0</v>
      </c>
      <c r="O918" s="16">
        <v>45454.545449999998</v>
      </c>
      <c r="P918" s="17">
        <v>0</v>
      </c>
    </row>
    <row r="919" spans="1:16" x14ac:dyDescent="0.3">
      <c r="A919" s="19">
        <v>2079</v>
      </c>
      <c r="B919" s="20">
        <v>64516.129029999996</v>
      </c>
      <c r="C919" s="21" t="s">
        <v>14</v>
      </c>
      <c r="D919" s="21">
        <v>0</v>
      </c>
      <c r="E919" s="21">
        <v>0</v>
      </c>
      <c r="F919" s="21">
        <v>0</v>
      </c>
      <c r="G919" s="21">
        <v>0</v>
      </c>
      <c r="H919" s="21">
        <v>1</v>
      </c>
      <c r="I919" s="21" t="s">
        <v>15</v>
      </c>
      <c r="J919" s="21">
        <v>1</v>
      </c>
      <c r="K919" s="22">
        <v>0</v>
      </c>
      <c r="O919" s="20">
        <v>64516.129029999996</v>
      </c>
      <c r="P919" s="21">
        <v>0</v>
      </c>
    </row>
    <row r="920" spans="1:16" x14ac:dyDescent="0.3">
      <c r="A920" s="15">
        <v>2080</v>
      </c>
      <c r="B920" s="16">
        <v>90909.090909999999</v>
      </c>
      <c r="C920" s="17" t="s">
        <v>14</v>
      </c>
      <c r="D920" s="17">
        <v>0</v>
      </c>
      <c r="E920" s="17">
        <v>0</v>
      </c>
      <c r="F920" s="17">
        <v>0</v>
      </c>
      <c r="G920" s="17">
        <v>0</v>
      </c>
      <c r="H920" s="17">
        <v>1</v>
      </c>
      <c r="I920" s="17" t="s">
        <v>15</v>
      </c>
      <c r="J920" s="17">
        <v>1</v>
      </c>
      <c r="K920" s="18">
        <v>0</v>
      </c>
      <c r="O920" s="16">
        <v>90909.090909999999</v>
      </c>
      <c r="P920" s="17">
        <v>0</v>
      </c>
    </row>
    <row r="921" spans="1:16" x14ac:dyDescent="0.3">
      <c r="A921" s="19">
        <v>2081</v>
      </c>
      <c r="B921" s="20">
        <v>83333.333329999994</v>
      </c>
      <c r="C921" s="21" t="s">
        <v>14</v>
      </c>
      <c r="D921" s="21">
        <v>0</v>
      </c>
      <c r="E921" s="21">
        <v>0</v>
      </c>
      <c r="F921" s="21">
        <v>0</v>
      </c>
      <c r="G921" s="21">
        <v>0</v>
      </c>
      <c r="H921" s="21">
        <v>1</v>
      </c>
      <c r="I921" s="21" t="s">
        <v>15</v>
      </c>
      <c r="J921" s="21">
        <v>1</v>
      </c>
      <c r="K921" s="22">
        <v>1</v>
      </c>
      <c r="O921" s="20">
        <v>83333.333329999994</v>
      </c>
      <c r="P921" s="21">
        <v>0</v>
      </c>
    </row>
    <row r="922" spans="1:16" x14ac:dyDescent="0.3">
      <c r="A922" s="15">
        <v>2084</v>
      </c>
      <c r="B922" s="16">
        <v>46875</v>
      </c>
      <c r="C922" s="17" t="s">
        <v>14</v>
      </c>
      <c r="D922" s="17">
        <v>0</v>
      </c>
      <c r="E922" s="17">
        <v>0</v>
      </c>
      <c r="F922" s="17">
        <v>0</v>
      </c>
      <c r="G922" s="17">
        <v>0</v>
      </c>
      <c r="H922" s="17">
        <v>1</v>
      </c>
      <c r="I922" s="17" t="s">
        <v>15</v>
      </c>
      <c r="J922" s="17">
        <v>1</v>
      </c>
      <c r="K922" s="18">
        <v>1</v>
      </c>
      <c r="O922" s="16">
        <v>46875</v>
      </c>
      <c r="P922" s="17">
        <v>0</v>
      </c>
    </row>
    <row r="923" spans="1:16" x14ac:dyDescent="0.3">
      <c r="A923" s="19">
        <v>2086</v>
      </c>
      <c r="B923" s="20">
        <v>66666.666670000006</v>
      </c>
      <c r="C923" s="21" t="s">
        <v>14</v>
      </c>
      <c r="D923" s="21">
        <v>0</v>
      </c>
      <c r="E923" s="21">
        <v>0</v>
      </c>
      <c r="F923" s="21">
        <v>0</v>
      </c>
      <c r="G923" s="21">
        <v>0</v>
      </c>
      <c r="H923" s="21">
        <v>1</v>
      </c>
      <c r="I923" s="21" t="s">
        <v>15</v>
      </c>
      <c r="J923" s="21">
        <v>1</v>
      </c>
      <c r="K923" s="22">
        <v>0</v>
      </c>
      <c r="O923" s="20">
        <v>66666.666670000006</v>
      </c>
      <c r="P923" s="21">
        <v>0</v>
      </c>
    </row>
    <row r="924" spans="1:16" x14ac:dyDescent="0.3">
      <c r="A924" s="15">
        <v>2088</v>
      </c>
      <c r="B924" s="16">
        <v>25000</v>
      </c>
      <c r="C924" s="17" t="s">
        <v>14</v>
      </c>
      <c r="D924" s="17">
        <v>0</v>
      </c>
      <c r="E924" s="17">
        <v>1</v>
      </c>
      <c r="F924" s="17">
        <v>1</v>
      </c>
      <c r="G924" s="17">
        <v>0</v>
      </c>
      <c r="H924" s="17">
        <v>1</v>
      </c>
      <c r="I924" s="17" t="s">
        <v>15</v>
      </c>
      <c r="J924" s="17">
        <v>1</v>
      </c>
      <c r="K924" s="18">
        <v>0</v>
      </c>
      <c r="O924" s="16">
        <v>25000</v>
      </c>
      <c r="P924" s="17">
        <v>1</v>
      </c>
    </row>
    <row r="925" spans="1:16" x14ac:dyDescent="0.3">
      <c r="A925" s="19">
        <v>2089</v>
      </c>
      <c r="B925" s="20">
        <v>83333.333329999994</v>
      </c>
      <c r="C925" s="21" t="s">
        <v>14</v>
      </c>
      <c r="D925" s="21">
        <v>0</v>
      </c>
      <c r="E925" s="21">
        <v>0</v>
      </c>
      <c r="F925" s="21">
        <v>0</v>
      </c>
      <c r="G925" s="21">
        <v>0</v>
      </c>
      <c r="H925" s="21">
        <v>1</v>
      </c>
      <c r="I925" s="21" t="s">
        <v>15</v>
      </c>
      <c r="J925" s="21">
        <v>1</v>
      </c>
      <c r="K925" s="22">
        <v>0</v>
      </c>
      <c r="O925" s="20">
        <v>83333.333329999994</v>
      </c>
      <c r="P925" s="21">
        <v>0</v>
      </c>
    </row>
    <row r="926" spans="1:16" x14ac:dyDescent="0.3">
      <c r="A926" s="15">
        <v>2090</v>
      </c>
      <c r="B926" s="16">
        <v>0</v>
      </c>
      <c r="C926" s="17" t="s">
        <v>14</v>
      </c>
      <c r="D926" s="17">
        <v>0</v>
      </c>
      <c r="E926" s="17">
        <v>0</v>
      </c>
      <c r="F926" s="17">
        <v>1</v>
      </c>
      <c r="G926" s="17">
        <v>0</v>
      </c>
      <c r="H926" s="17">
        <v>1</v>
      </c>
      <c r="I926" s="17" t="s">
        <v>15</v>
      </c>
      <c r="J926" s="17">
        <v>1</v>
      </c>
      <c r="K926" s="18">
        <v>0</v>
      </c>
      <c r="O926" s="16">
        <v>0</v>
      </c>
      <c r="P926" s="17">
        <v>1</v>
      </c>
    </row>
    <row r="927" spans="1:16" x14ac:dyDescent="0.3">
      <c r="A927" s="19">
        <v>2093</v>
      </c>
      <c r="B927" s="20">
        <v>83333.333329999994</v>
      </c>
      <c r="C927" s="21" t="s">
        <v>14</v>
      </c>
      <c r="D927" s="21">
        <v>0</v>
      </c>
      <c r="E927" s="21">
        <v>0</v>
      </c>
      <c r="F927" s="21">
        <v>0</v>
      </c>
      <c r="G927" s="21">
        <v>0</v>
      </c>
      <c r="H927" s="21">
        <v>1</v>
      </c>
      <c r="I927" s="21" t="s">
        <v>15</v>
      </c>
      <c r="J927" s="21">
        <v>1</v>
      </c>
      <c r="K927" s="22">
        <v>0</v>
      </c>
      <c r="O927" s="20">
        <v>83333.333329999994</v>
      </c>
      <c r="P927" s="21">
        <v>0</v>
      </c>
    </row>
    <row r="928" spans="1:16" x14ac:dyDescent="0.3">
      <c r="A928" s="15">
        <v>2096</v>
      </c>
      <c r="B928" s="16">
        <v>90909.090909999999</v>
      </c>
      <c r="C928" s="17" t="s">
        <v>14</v>
      </c>
      <c r="D928" s="17">
        <v>0</v>
      </c>
      <c r="E928" s="17">
        <v>0</v>
      </c>
      <c r="F928" s="17">
        <v>0</v>
      </c>
      <c r="G928" s="17">
        <v>0</v>
      </c>
      <c r="H928" s="17">
        <v>1</v>
      </c>
      <c r="I928" s="17" t="s">
        <v>15</v>
      </c>
      <c r="J928" s="17">
        <v>1</v>
      </c>
      <c r="K928" s="18">
        <v>0</v>
      </c>
      <c r="O928" s="16">
        <v>90909.090909999999</v>
      </c>
      <c r="P928" s="17">
        <v>0</v>
      </c>
    </row>
    <row r="929" spans="1:16" x14ac:dyDescent="0.3">
      <c r="A929" s="19">
        <v>2097</v>
      </c>
      <c r="B929" s="20">
        <v>100000</v>
      </c>
      <c r="C929" s="21" t="s">
        <v>14</v>
      </c>
      <c r="D929" s="21">
        <v>0</v>
      </c>
      <c r="E929" s="21">
        <v>0</v>
      </c>
      <c r="F929" s="21">
        <v>0</v>
      </c>
      <c r="G929" s="21">
        <v>0</v>
      </c>
      <c r="H929" s="21">
        <v>1</v>
      </c>
      <c r="I929" s="21" t="s">
        <v>15</v>
      </c>
      <c r="J929" s="21">
        <v>1</v>
      </c>
      <c r="K929" s="22">
        <v>0</v>
      </c>
      <c r="O929" s="20">
        <v>100000</v>
      </c>
      <c r="P929" s="21">
        <v>0</v>
      </c>
    </row>
    <row r="930" spans="1:16" x14ac:dyDescent="0.3">
      <c r="A930" s="15">
        <v>2098</v>
      </c>
      <c r="B930" s="16">
        <v>100000</v>
      </c>
      <c r="C930" s="17" t="s">
        <v>14</v>
      </c>
      <c r="D930" s="17">
        <v>0</v>
      </c>
      <c r="E930" s="17">
        <v>0</v>
      </c>
      <c r="F930" s="17">
        <v>0</v>
      </c>
      <c r="G930" s="17">
        <v>0</v>
      </c>
      <c r="H930" s="17">
        <v>1</v>
      </c>
      <c r="I930" s="17" t="s">
        <v>15</v>
      </c>
      <c r="J930" s="17">
        <v>1</v>
      </c>
      <c r="K930" s="18">
        <v>0</v>
      </c>
      <c r="O930" s="16">
        <v>100000</v>
      </c>
      <c r="P930" s="17">
        <v>0</v>
      </c>
    </row>
    <row r="931" spans="1:16" x14ac:dyDescent="0.3">
      <c r="A931" s="19">
        <v>2106</v>
      </c>
      <c r="B931" s="20">
        <v>153846.1538</v>
      </c>
      <c r="C931" s="21" t="s">
        <v>14</v>
      </c>
      <c r="D931" s="21">
        <v>0</v>
      </c>
      <c r="E931" s="21">
        <v>1</v>
      </c>
      <c r="F931" s="21">
        <v>0</v>
      </c>
      <c r="G931" s="21">
        <v>0</v>
      </c>
      <c r="H931" s="21">
        <v>1</v>
      </c>
      <c r="I931" s="21" t="s">
        <v>15</v>
      </c>
      <c r="J931" s="21">
        <v>1</v>
      </c>
      <c r="K931" s="22">
        <v>0</v>
      </c>
      <c r="O931" s="20">
        <v>153846.1538</v>
      </c>
      <c r="P931" s="21">
        <v>0</v>
      </c>
    </row>
    <row r="932" spans="1:16" x14ac:dyDescent="0.3">
      <c r="A932" s="15">
        <v>2107</v>
      </c>
      <c r="B932" s="16">
        <v>83333.333329999994</v>
      </c>
      <c r="C932" s="17" t="s">
        <v>14</v>
      </c>
      <c r="D932" s="17">
        <v>0</v>
      </c>
      <c r="E932" s="17">
        <v>0</v>
      </c>
      <c r="F932" s="17">
        <v>0</v>
      </c>
      <c r="G932" s="17">
        <v>0</v>
      </c>
      <c r="H932" s="17">
        <v>1</v>
      </c>
      <c r="I932" s="17" t="s">
        <v>15</v>
      </c>
      <c r="J932" s="17">
        <v>1</v>
      </c>
      <c r="K932" s="18">
        <v>0</v>
      </c>
      <c r="O932" s="16">
        <v>83333.333329999994</v>
      </c>
      <c r="P932" s="17">
        <v>0</v>
      </c>
    </row>
    <row r="933" spans="1:16" x14ac:dyDescent="0.3">
      <c r="A933" s="19">
        <v>2110</v>
      </c>
      <c r="B933" s="20">
        <v>111111.11109999999</v>
      </c>
      <c r="C933" s="21" t="s">
        <v>14</v>
      </c>
      <c r="D933" s="21">
        <v>0</v>
      </c>
      <c r="E933" s="21">
        <v>0</v>
      </c>
      <c r="F933" s="21">
        <v>0</v>
      </c>
      <c r="G933" s="21">
        <v>0</v>
      </c>
      <c r="H933" s="21">
        <v>1</v>
      </c>
      <c r="I933" s="21" t="s">
        <v>15</v>
      </c>
      <c r="J933" s="21">
        <v>1</v>
      </c>
      <c r="K933" s="22">
        <v>0</v>
      </c>
      <c r="O933" s="20">
        <v>111111.11109999999</v>
      </c>
      <c r="P933" s="21">
        <v>0</v>
      </c>
    </row>
    <row r="934" spans="1:16" x14ac:dyDescent="0.3">
      <c r="A934" s="15">
        <v>2114</v>
      </c>
      <c r="B934" s="16">
        <v>50000</v>
      </c>
      <c r="C934" s="17" t="s">
        <v>14</v>
      </c>
      <c r="D934" s="17">
        <v>0</v>
      </c>
      <c r="E934" s="17">
        <v>0</v>
      </c>
      <c r="F934" s="17">
        <v>0</v>
      </c>
      <c r="G934" s="17">
        <v>0</v>
      </c>
      <c r="H934" s="17">
        <v>1</v>
      </c>
      <c r="I934" s="17" t="s">
        <v>15</v>
      </c>
      <c r="J934" s="17">
        <v>1</v>
      </c>
      <c r="K934" s="18">
        <v>0</v>
      </c>
      <c r="O934" s="16">
        <v>50000</v>
      </c>
      <c r="P934" s="17">
        <v>0</v>
      </c>
    </row>
    <row r="935" spans="1:16" x14ac:dyDescent="0.3">
      <c r="A935" s="19">
        <v>2116</v>
      </c>
      <c r="B935" s="20">
        <v>136363.63639999999</v>
      </c>
      <c r="C935" s="21" t="s">
        <v>14</v>
      </c>
      <c r="D935" s="21">
        <v>0</v>
      </c>
      <c r="E935" s="21">
        <v>0</v>
      </c>
      <c r="F935" s="21">
        <v>0</v>
      </c>
      <c r="G935" s="21">
        <v>0</v>
      </c>
      <c r="H935" s="21">
        <v>1</v>
      </c>
      <c r="I935" s="21" t="s">
        <v>15</v>
      </c>
      <c r="J935" s="21">
        <v>1</v>
      </c>
      <c r="K935" s="22">
        <v>0</v>
      </c>
      <c r="O935" s="20">
        <v>136363.63639999999</v>
      </c>
      <c r="P935" s="21">
        <v>0</v>
      </c>
    </row>
    <row r="936" spans="1:16" x14ac:dyDescent="0.3">
      <c r="A936" s="15">
        <v>2121</v>
      </c>
      <c r="B936" s="16">
        <v>25000</v>
      </c>
      <c r="C936" s="17" t="s">
        <v>14</v>
      </c>
      <c r="D936" s="17">
        <v>0</v>
      </c>
      <c r="E936" s="17">
        <v>1</v>
      </c>
      <c r="F936" s="17">
        <v>1</v>
      </c>
      <c r="G936" s="17">
        <v>0</v>
      </c>
      <c r="H936" s="17">
        <v>1</v>
      </c>
      <c r="I936" s="17" t="s">
        <v>15</v>
      </c>
      <c r="J936" s="17">
        <v>1</v>
      </c>
      <c r="K936" s="18">
        <v>0</v>
      </c>
      <c r="O936" s="16">
        <v>25000</v>
      </c>
      <c r="P936" s="17">
        <v>1</v>
      </c>
    </row>
    <row r="937" spans="1:16" x14ac:dyDescent="0.3">
      <c r="A937" s="19">
        <v>2123</v>
      </c>
      <c r="B937" s="20">
        <v>66666.666670000006</v>
      </c>
      <c r="C937" s="21" t="s">
        <v>14</v>
      </c>
      <c r="D937" s="21">
        <v>0</v>
      </c>
      <c r="E937" s="21">
        <v>0</v>
      </c>
      <c r="F937" s="21">
        <v>0</v>
      </c>
      <c r="G937" s="21">
        <v>0</v>
      </c>
      <c r="H937" s="21">
        <v>1</v>
      </c>
      <c r="I937" s="21" t="s">
        <v>15</v>
      </c>
      <c r="J937" s="21">
        <v>1</v>
      </c>
      <c r="K937" s="22">
        <v>0</v>
      </c>
      <c r="O937" s="20">
        <v>66666.666670000006</v>
      </c>
      <c r="P937" s="21">
        <v>0</v>
      </c>
    </row>
    <row r="938" spans="1:16" x14ac:dyDescent="0.3">
      <c r="A938" s="15">
        <v>2124</v>
      </c>
      <c r="B938" s="16">
        <v>100000</v>
      </c>
      <c r="C938" s="17" t="s">
        <v>14</v>
      </c>
      <c r="D938" s="17">
        <v>0</v>
      </c>
      <c r="E938" s="17">
        <v>0</v>
      </c>
      <c r="F938" s="17">
        <v>0</v>
      </c>
      <c r="G938" s="17">
        <v>0</v>
      </c>
      <c r="H938" s="17">
        <v>1</v>
      </c>
      <c r="I938" s="17" t="s">
        <v>15</v>
      </c>
      <c r="J938" s="17">
        <v>1</v>
      </c>
      <c r="K938" s="18">
        <v>0</v>
      </c>
      <c r="O938" s="16">
        <v>100000</v>
      </c>
      <c r="P938" s="17">
        <v>0</v>
      </c>
    </row>
    <row r="939" spans="1:16" x14ac:dyDescent="0.3">
      <c r="A939" s="19">
        <v>2126</v>
      </c>
      <c r="B939" s="20">
        <v>25000</v>
      </c>
      <c r="C939" s="21" t="s">
        <v>14</v>
      </c>
      <c r="D939" s="21">
        <v>0</v>
      </c>
      <c r="E939" s="21">
        <v>0</v>
      </c>
      <c r="F939" s="21">
        <v>1</v>
      </c>
      <c r="G939" s="21">
        <v>0</v>
      </c>
      <c r="H939" s="21">
        <v>1</v>
      </c>
      <c r="I939" s="21" t="s">
        <v>15</v>
      </c>
      <c r="J939" s="21">
        <v>1</v>
      </c>
      <c r="K939" s="22">
        <v>1</v>
      </c>
      <c r="O939" s="20">
        <v>25000</v>
      </c>
      <c r="P939" s="21">
        <v>1</v>
      </c>
    </row>
    <row r="940" spans="1:16" x14ac:dyDescent="0.3">
      <c r="A940" s="15">
        <v>2127</v>
      </c>
      <c r="B940" s="16">
        <v>83333.333329999994</v>
      </c>
      <c r="C940" s="17" t="s">
        <v>14</v>
      </c>
      <c r="D940" s="17">
        <v>0</v>
      </c>
      <c r="E940" s="17">
        <v>1</v>
      </c>
      <c r="F940" s="17">
        <v>1</v>
      </c>
      <c r="G940" s="17">
        <v>0</v>
      </c>
      <c r="H940" s="17">
        <v>1</v>
      </c>
      <c r="I940" s="17" t="s">
        <v>15</v>
      </c>
      <c r="J940" s="17">
        <v>1</v>
      </c>
      <c r="K940" s="18">
        <v>0</v>
      </c>
      <c r="O940" s="16">
        <v>83333.333329999994</v>
      </c>
      <c r="P940" s="17">
        <v>1</v>
      </c>
    </row>
    <row r="941" spans="1:16" x14ac:dyDescent="0.3">
      <c r="A941" s="19">
        <v>2134</v>
      </c>
      <c r="B941" s="20">
        <v>136363.63639999999</v>
      </c>
      <c r="C941" s="21" t="s">
        <v>14</v>
      </c>
      <c r="D941" s="21">
        <v>0</v>
      </c>
      <c r="E941" s="21">
        <v>0</v>
      </c>
      <c r="F941" s="21">
        <v>0</v>
      </c>
      <c r="G941" s="21">
        <v>0</v>
      </c>
      <c r="H941" s="21">
        <v>1</v>
      </c>
      <c r="I941" s="21" t="s">
        <v>15</v>
      </c>
      <c r="J941" s="21">
        <v>1</v>
      </c>
      <c r="K941" s="22">
        <v>0</v>
      </c>
      <c r="O941" s="20">
        <v>136363.63639999999</v>
      </c>
      <c r="P941" s="21">
        <v>0</v>
      </c>
    </row>
    <row r="942" spans="1:16" x14ac:dyDescent="0.3">
      <c r="A942" s="15">
        <v>2136</v>
      </c>
      <c r="B942" s="16">
        <v>6250</v>
      </c>
      <c r="C942" s="17" t="s">
        <v>14</v>
      </c>
      <c r="D942" s="17">
        <v>0</v>
      </c>
      <c r="E942" s="17">
        <v>0</v>
      </c>
      <c r="F942" s="17">
        <v>0</v>
      </c>
      <c r="G942" s="17">
        <v>0</v>
      </c>
      <c r="H942" s="17">
        <v>1</v>
      </c>
      <c r="I942" s="17" t="s">
        <v>15</v>
      </c>
      <c r="J942" s="17">
        <v>1</v>
      </c>
      <c r="K942" s="18">
        <v>1</v>
      </c>
      <c r="O942" s="16">
        <v>6250</v>
      </c>
      <c r="P942" s="17">
        <v>0</v>
      </c>
    </row>
    <row r="943" spans="1:16" x14ac:dyDescent="0.3">
      <c r="A943" s="19">
        <v>2144</v>
      </c>
      <c r="B943" s="20">
        <v>150000</v>
      </c>
      <c r="C943" s="21" t="s">
        <v>14</v>
      </c>
      <c r="D943" s="21">
        <v>0</v>
      </c>
      <c r="E943" s="21">
        <v>0</v>
      </c>
      <c r="F943" s="21">
        <v>0</v>
      </c>
      <c r="G943" s="21">
        <v>0</v>
      </c>
      <c r="H943" s="21">
        <v>1</v>
      </c>
      <c r="I943" s="21" t="s">
        <v>15</v>
      </c>
      <c r="J943" s="21">
        <v>1</v>
      </c>
      <c r="K943" s="22">
        <v>0</v>
      </c>
      <c r="O943" s="20">
        <v>150000</v>
      </c>
      <c r="P943" s="21">
        <v>0</v>
      </c>
    </row>
    <row r="944" spans="1:16" x14ac:dyDescent="0.3">
      <c r="A944" s="15">
        <v>2148</v>
      </c>
      <c r="B944" s="16">
        <v>40000</v>
      </c>
      <c r="C944" s="17" t="s">
        <v>14</v>
      </c>
      <c r="D944" s="17">
        <v>0</v>
      </c>
      <c r="E944" s="17">
        <v>1</v>
      </c>
      <c r="F944" s="17">
        <v>0</v>
      </c>
      <c r="G944" s="17">
        <v>1</v>
      </c>
      <c r="H944" s="17">
        <v>0</v>
      </c>
      <c r="I944" s="17" t="s">
        <v>17</v>
      </c>
      <c r="J944" s="17">
        <v>1</v>
      </c>
      <c r="K944" s="18">
        <v>0</v>
      </c>
      <c r="O944" s="16">
        <v>40000</v>
      </c>
      <c r="P944" s="17">
        <v>0</v>
      </c>
    </row>
    <row r="945" spans="1:16" x14ac:dyDescent="0.3">
      <c r="A945" s="19">
        <v>2155</v>
      </c>
      <c r="B945" s="20">
        <v>16129.03226</v>
      </c>
      <c r="C945" s="21" t="s">
        <v>14</v>
      </c>
      <c r="D945" s="21">
        <v>0</v>
      </c>
      <c r="E945" s="21">
        <v>1</v>
      </c>
      <c r="F945" s="21">
        <v>1</v>
      </c>
      <c r="G945" s="21">
        <v>0</v>
      </c>
      <c r="H945" s="21">
        <v>1</v>
      </c>
      <c r="I945" s="21" t="s">
        <v>17</v>
      </c>
      <c r="J945" s="21">
        <v>1</v>
      </c>
      <c r="K945" s="22">
        <v>0</v>
      </c>
      <c r="O945" s="20">
        <v>16129.03226</v>
      </c>
      <c r="P945" s="21">
        <v>1</v>
      </c>
    </row>
    <row r="946" spans="1:16" x14ac:dyDescent="0.3">
      <c r="A946" s="15">
        <v>2159</v>
      </c>
      <c r="B946" s="16">
        <v>18750</v>
      </c>
      <c r="C946" s="17" t="s">
        <v>14</v>
      </c>
      <c r="D946" s="17">
        <v>0</v>
      </c>
      <c r="E946" s="17">
        <v>1</v>
      </c>
      <c r="F946" s="17">
        <v>0</v>
      </c>
      <c r="G946" s="17">
        <v>1</v>
      </c>
      <c r="H946" s="17">
        <v>0</v>
      </c>
      <c r="I946" s="17" t="s">
        <v>17</v>
      </c>
      <c r="J946" s="17">
        <v>1</v>
      </c>
      <c r="K946" s="18">
        <v>0</v>
      </c>
      <c r="O946" s="16">
        <v>18750</v>
      </c>
      <c r="P946" s="17">
        <v>0</v>
      </c>
    </row>
    <row r="947" spans="1:16" x14ac:dyDescent="0.3">
      <c r="A947" s="19">
        <v>2164</v>
      </c>
      <c r="B947" s="20">
        <v>0</v>
      </c>
      <c r="C947" s="21" t="s">
        <v>14</v>
      </c>
      <c r="D947" s="21">
        <v>0</v>
      </c>
      <c r="E947" s="21">
        <v>1</v>
      </c>
      <c r="F947" s="21">
        <v>0</v>
      </c>
      <c r="G947" s="21">
        <v>1</v>
      </c>
      <c r="H947" s="21">
        <v>0</v>
      </c>
      <c r="I947" s="21" t="s">
        <v>17</v>
      </c>
      <c r="J947" s="21">
        <v>1</v>
      </c>
      <c r="K947" s="22">
        <v>0</v>
      </c>
      <c r="O947" s="20">
        <v>0</v>
      </c>
      <c r="P947" s="21">
        <v>0</v>
      </c>
    </row>
    <row r="948" spans="1:16" x14ac:dyDescent="0.3">
      <c r="A948" s="15">
        <v>2166</v>
      </c>
      <c r="B948" s="16">
        <v>35000</v>
      </c>
      <c r="C948" s="17" t="s">
        <v>14</v>
      </c>
      <c r="D948" s="17">
        <v>0</v>
      </c>
      <c r="E948" s="17">
        <v>0</v>
      </c>
      <c r="F948" s="17">
        <v>0</v>
      </c>
      <c r="G948" s="17">
        <v>1</v>
      </c>
      <c r="H948" s="17">
        <v>0</v>
      </c>
      <c r="I948" s="17" t="s">
        <v>17</v>
      </c>
      <c r="J948" s="17">
        <v>1</v>
      </c>
      <c r="K948" s="18">
        <v>0</v>
      </c>
      <c r="O948" s="16">
        <v>35000</v>
      </c>
      <c r="P948" s="17">
        <v>0</v>
      </c>
    </row>
    <row r="949" spans="1:16" x14ac:dyDescent="0.3">
      <c r="A949" s="19">
        <v>2168</v>
      </c>
      <c r="B949" s="20">
        <v>9375</v>
      </c>
      <c r="C949" s="21" t="s">
        <v>14</v>
      </c>
      <c r="D949" s="21">
        <v>0</v>
      </c>
      <c r="E949" s="21">
        <v>1</v>
      </c>
      <c r="F949" s="21">
        <v>1</v>
      </c>
      <c r="G949" s="21">
        <v>1</v>
      </c>
      <c r="H949" s="21">
        <v>0</v>
      </c>
      <c r="I949" s="21" t="s">
        <v>17</v>
      </c>
      <c r="J949" s="21">
        <v>1</v>
      </c>
      <c r="K949" s="22">
        <v>0</v>
      </c>
      <c r="O949" s="20">
        <v>9375</v>
      </c>
      <c r="P949" s="21">
        <v>1</v>
      </c>
    </row>
    <row r="950" spans="1:16" x14ac:dyDescent="0.3">
      <c r="A950" s="15">
        <v>2254</v>
      </c>
      <c r="B950" s="16">
        <v>47826.086960000001</v>
      </c>
      <c r="C950" s="17" t="s">
        <v>14</v>
      </c>
      <c r="D950" s="17">
        <v>0</v>
      </c>
      <c r="E950" s="17">
        <v>1</v>
      </c>
      <c r="F950" s="17">
        <v>0</v>
      </c>
      <c r="G950" s="17">
        <v>1</v>
      </c>
      <c r="H950" s="17">
        <v>0</v>
      </c>
      <c r="I950" s="17" t="s">
        <v>17</v>
      </c>
      <c r="J950" s="17">
        <v>1</v>
      </c>
      <c r="K950" s="18">
        <v>0</v>
      </c>
      <c r="O950" s="16">
        <v>47826.086960000001</v>
      </c>
      <c r="P950" s="17">
        <v>0</v>
      </c>
    </row>
    <row r="951" spans="1:16" x14ac:dyDescent="0.3">
      <c r="A951" s="19">
        <v>2255</v>
      </c>
      <c r="B951" s="20">
        <v>5000</v>
      </c>
      <c r="C951" s="21" t="s">
        <v>14</v>
      </c>
      <c r="D951" s="21">
        <v>0</v>
      </c>
      <c r="E951" s="21">
        <v>1</v>
      </c>
      <c r="F951" s="21">
        <v>0</v>
      </c>
      <c r="G951" s="21">
        <v>1</v>
      </c>
      <c r="H951" s="21">
        <v>0</v>
      </c>
      <c r="I951" s="21" t="s">
        <v>17</v>
      </c>
      <c r="J951" s="21">
        <v>1</v>
      </c>
      <c r="K951" s="22">
        <v>0</v>
      </c>
      <c r="O951" s="20">
        <v>5000</v>
      </c>
      <c r="P951" s="21">
        <v>0</v>
      </c>
    </row>
    <row r="952" spans="1:16" x14ac:dyDescent="0.3">
      <c r="A952" s="15">
        <v>2265</v>
      </c>
      <c r="B952" s="16">
        <v>29761.904760000001</v>
      </c>
      <c r="C952" s="17" t="s">
        <v>14</v>
      </c>
      <c r="D952" s="17">
        <v>0</v>
      </c>
      <c r="E952" s="17">
        <v>0</v>
      </c>
      <c r="F952" s="17">
        <v>0</v>
      </c>
      <c r="G952" s="17">
        <v>1</v>
      </c>
      <c r="H952" s="17">
        <v>0</v>
      </c>
      <c r="I952" s="17" t="s">
        <v>17</v>
      </c>
      <c r="J952" s="17">
        <v>1</v>
      </c>
      <c r="K952" s="18">
        <v>0</v>
      </c>
      <c r="O952" s="16">
        <v>29761.904760000001</v>
      </c>
      <c r="P952" s="17">
        <v>0</v>
      </c>
    </row>
    <row r="953" spans="1:16" x14ac:dyDescent="0.3">
      <c r="A953" s="19">
        <v>2341</v>
      </c>
      <c r="B953" s="20">
        <v>4285.7142860000004</v>
      </c>
      <c r="C953" s="21" t="s">
        <v>14</v>
      </c>
      <c r="D953" s="21">
        <v>0</v>
      </c>
      <c r="E953" s="21">
        <v>0</v>
      </c>
      <c r="F953" s="21">
        <v>0</v>
      </c>
      <c r="G953" s="21">
        <v>1</v>
      </c>
      <c r="H953" s="21">
        <v>0</v>
      </c>
      <c r="I953" s="21" t="s">
        <v>16</v>
      </c>
      <c r="J953" s="21">
        <v>0</v>
      </c>
      <c r="K953" s="22">
        <v>1</v>
      </c>
      <c r="O953" s="20">
        <v>4285.7142860000004</v>
      </c>
      <c r="P953" s="21">
        <v>0</v>
      </c>
    </row>
    <row r="954" spans="1:16" x14ac:dyDescent="0.3">
      <c r="A954" s="15">
        <v>2351</v>
      </c>
      <c r="B954" s="16">
        <v>9708.7378640000006</v>
      </c>
      <c r="C954" s="17" t="s">
        <v>14</v>
      </c>
      <c r="D954" s="17">
        <v>0</v>
      </c>
      <c r="E954" s="17">
        <v>1</v>
      </c>
      <c r="F954" s="17">
        <v>0</v>
      </c>
      <c r="G954" s="17">
        <v>1</v>
      </c>
      <c r="H954" s="17">
        <v>0</v>
      </c>
      <c r="I954" s="17" t="s">
        <v>16</v>
      </c>
      <c r="J954" s="17">
        <v>0</v>
      </c>
      <c r="K954" s="18">
        <v>1</v>
      </c>
      <c r="O954" s="16">
        <v>9708.7378640000006</v>
      </c>
      <c r="P954" s="17">
        <v>0</v>
      </c>
    </row>
    <row r="955" spans="1:16" x14ac:dyDescent="0.3">
      <c r="A955" s="19">
        <v>2353</v>
      </c>
      <c r="B955" s="20">
        <v>6000</v>
      </c>
      <c r="C955" s="21" t="s">
        <v>12</v>
      </c>
      <c r="D955" s="21">
        <v>1</v>
      </c>
      <c r="E955" s="21">
        <v>1</v>
      </c>
      <c r="F955" s="21">
        <v>0</v>
      </c>
      <c r="G955" s="21">
        <v>1</v>
      </c>
      <c r="H955" s="21">
        <v>0</v>
      </c>
      <c r="I955" s="21" t="s">
        <v>16</v>
      </c>
      <c r="J955" s="21">
        <v>0</v>
      </c>
      <c r="K955" s="22">
        <v>1</v>
      </c>
      <c r="O955" s="20">
        <v>6000</v>
      </c>
      <c r="P955" s="21">
        <v>0</v>
      </c>
    </row>
    <row r="956" spans="1:16" x14ac:dyDescent="0.3">
      <c r="A956" s="15">
        <v>2355</v>
      </c>
      <c r="B956" s="16">
        <v>7075.4716980000003</v>
      </c>
      <c r="C956" s="17" t="s">
        <v>14</v>
      </c>
      <c r="D956" s="17">
        <v>0</v>
      </c>
      <c r="E956" s="17">
        <v>0</v>
      </c>
      <c r="F956" s="17">
        <v>0</v>
      </c>
      <c r="G956" s="17">
        <v>1</v>
      </c>
      <c r="H956" s="17">
        <v>0</v>
      </c>
      <c r="I956" s="17" t="s">
        <v>16</v>
      </c>
      <c r="J956" s="17">
        <v>1</v>
      </c>
      <c r="K956" s="18">
        <v>1</v>
      </c>
      <c r="O956" s="16">
        <v>7075.4716980000003</v>
      </c>
      <c r="P956" s="17">
        <v>0</v>
      </c>
    </row>
    <row r="957" spans="1:16" x14ac:dyDescent="0.3">
      <c r="A957" s="19">
        <v>2358</v>
      </c>
      <c r="B957" s="20">
        <v>3333.333333</v>
      </c>
      <c r="C957" s="21" t="s">
        <v>14</v>
      </c>
      <c r="D957" s="21">
        <v>0</v>
      </c>
      <c r="E957" s="21">
        <v>0</v>
      </c>
      <c r="F957" s="21">
        <v>0</v>
      </c>
      <c r="G957" s="21">
        <v>1</v>
      </c>
      <c r="H957" s="21">
        <v>0</v>
      </c>
      <c r="I957" s="21" t="s">
        <v>16</v>
      </c>
      <c r="J957" s="21">
        <v>0</v>
      </c>
      <c r="K957" s="22">
        <v>1</v>
      </c>
      <c r="O957" s="20">
        <v>3333.333333</v>
      </c>
      <c r="P957" s="21">
        <v>0</v>
      </c>
    </row>
    <row r="958" spans="1:16" x14ac:dyDescent="0.3">
      <c r="A958" s="15">
        <v>2388</v>
      </c>
      <c r="B958" s="16">
        <v>5882.3529410000001</v>
      </c>
      <c r="C958" s="17" t="s">
        <v>14</v>
      </c>
      <c r="D958" s="17">
        <v>0</v>
      </c>
      <c r="E958" s="17">
        <v>1</v>
      </c>
      <c r="F958" s="17">
        <v>0</v>
      </c>
      <c r="G958" s="17">
        <v>1</v>
      </c>
      <c r="H958" s="17">
        <v>0</v>
      </c>
      <c r="I958" s="17" t="s">
        <v>16</v>
      </c>
      <c r="J958" s="17">
        <v>1</v>
      </c>
      <c r="K958" s="18">
        <v>1</v>
      </c>
      <c r="O958" s="16">
        <v>5882.3529410000001</v>
      </c>
      <c r="P958" s="17">
        <v>0</v>
      </c>
    </row>
    <row r="959" spans="1:16" x14ac:dyDescent="0.3">
      <c r="A959" s="19">
        <v>2389</v>
      </c>
      <c r="B959" s="20">
        <v>4201.6806720000004</v>
      </c>
      <c r="C959" s="21" t="s">
        <v>12</v>
      </c>
      <c r="D959" s="21">
        <v>1</v>
      </c>
      <c r="E959" s="21">
        <v>1</v>
      </c>
      <c r="F959" s="21">
        <v>0</v>
      </c>
      <c r="G959" s="21">
        <v>1</v>
      </c>
      <c r="H959" s="21">
        <v>0</v>
      </c>
      <c r="I959" s="21" t="s">
        <v>16</v>
      </c>
      <c r="J959" s="21">
        <v>1</v>
      </c>
      <c r="K959" s="22">
        <v>1</v>
      </c>
      <c r="O959" s="20">
        <v>4201.6806720000004</v>
      </c>
      <c r="P959" s="21">
        <v>0</v>
      </c>
    </row>
    <row r="960" spans="1:16" x14ac:dyDescent="0.3">
      <c r="A960" s="15">
        <v>2392</v>
      </c>
      <c r="B960" s="16">
        <v>7500</v>
      </c>
      <c r="C960" s="17" t="s">
        <v>14</v>
      </c>
      <c r="D960" s="17">
        <v>0</v>
      </c>
      <c r="E960" s="17">
        <v>0</v>
      </c>
      <c r="F960" s="17">
        <v>0</v>
      </c>
      <c r="G960" s="17">
        <v>1</v>
      </c>
      <c r="H960" s="17">
        <v>0</v>
      </c>
      <c r="I960" s="17" t="s">
        <v>16</v>
      </c>
      <c r="J960" s="17">
        <v>1</v>
      </c>
      <c r="K960" s="18">
        <v>0</v>
      </c>
      <c r="O960" s="16">
        <v>7500</v>
      </c>
      <c r="P960" s="17">
        <v>0</v>
      </c>
    </row>
    <row r="961" spans="1:16" x14ac:dyDescent="0.3">
      <c r="A961" s="19">
        <v>2394</v>
      </c>
      <c r="B961" s="20">
        <v>9090.9090909999995</v>
      </c>
      <c r="C961" s="21" t="s">
        <v>14</v>
      </c>
      <c r="D961" s="21">
        <v>0</v>
      </c>
      <c r="E961" s="21">
        <v>1</v>
      </c>
      <c r="F961" s="21">
        <v>0</v>
      </c>
      <c r="G961" s="21">
        <v>1</v>
      </c>
      <c r="H961" s="21">
        <v>0</v>
      </c>
      <c r="I961" s="21" t="s">
        <v>16</v>
      </c>
      <c r="J961" s="21">
        <v>0</v>
      </c>
      <c r="K961" s="22">
        <v>0</v>
      </c>
      <c r="O961" s="20">
        <v>9090.9090909999995</v>
      </c>
      <c r="P961" s="21">
        <v>0</v>
      </c>
    </row>
    <row r="962" spans="1:16" x14ac:dyDescent="0.3">
      <c r="A962" s="15">
        <v>2411</v>
      </c>
      <c r="B962" s="16">
        <v>25000</v>
      </c>
      <c r="C962" s="17" t="s">
        <v>14</v>
      </c>
      <c r="D962" s="17">
        <v>0</v>
      </c>
      <c r="E962" s="17">
        <v>1</v>
      </c>
      <c r="F962" s="17">
        <v>0</v>
      </c>
      <c r="G962" s="17">
        <v>1</v>
      </c>
      <c r="H962" s="17">
        <v>0</v>
      </c>
      <c r="I962" s="17" t="s">
        <v>16</v>
      </c>
      <c r="J962" s="17">
        <v>1</v>
      </c>
      <c r="K962" s="18">
        <v>1</v>
      </c>
      <c r="O962" s="16">
        <v>25000</v>
      </c>
      <c r="P962" s="17">
        <v>0</v>
      </c>
    </row>
    <row r="963" spans="1:16" x14ac:dyDescent="0.3">
      <c r="A963" s="19">
        <v>2412</v>
      </c>
      <c r="B963" s="20">
        <v>7500</v>
      </c>
      <c r="C963" s="21" t="s">
        <v>14</v>
      </c>
      <c r="D963" s="21">
        <v>0</v>
      </c>
      <c r="E963" s="21">
        <v>1</v>
      </c>
      <c r="F963" s="21">
        <v>0</v>
      </c>
      <c r="G963" s="21">
        <v>1</v>
      </c>
      <c r="H963" s="21">
        <v>0</v>
      </c>
      <c r="I963" s="21" t="s">
        <v>16</v>
      </c>
      <c r="J963" s="21">
        <v>1</v>
      </c>
      <c r="K963" s="22">
        <v>1</v>
      </c>
      <c r="O963" s="20">
        <v>7500</v>
      </c>
      <c r="P963" s="21">
        <v>0</v>
      </c>
    </row>
    <row r="964" spans="1:16" x14ac:dyDescent="0.3">
      <c r="A964" s="15">
        <v>2413</v>
      </c>
      <c r="B964" s="16">
        <v>41666.666669999999</v>
      </c>
      <c r="C964" s="17" t="s">
        <v>14</v>
      </c>
      <c r="D964" s="17">
        <v>0</v>
      </c>
      <c r="E964" s="17">
        <v>0</v>
      </c>
      <c r="F964" s="17">
        <v>0</v>
      </c>
      <c r="G964" s="17">
        <v>1</v>
      </c>
      <c r="H964" s="17">
        <v>0</v>
      </c>
      <c r="I964" s="17" t="s">
        <v>16</v>
      </c>
      <c r="J964" s="17">
        <v>1</v>
      </c>
      <c r="K964" s="18">
        <v>0</v>
      </c>
      <c r="O964" s="16">
        <v>41666.666669999999</v>
      </c>
      <c r="P964" s="17">
        <v>0</v>
      </c>
    </row>
    <row r="965" spans="1:16" x14ac:dyDescent="0.3">
      <c r="A965" s="19">
        <v>2554</v>
      </c>
      <c r="B965" s="20">
        <v>155172.41380000001</v>
      </c>
      <c r="C965" s="21" t="s">
        <v>14</v>
      </c>
      <c r="D965" s="21">
        <v>0</v>
      </c>
      <c r="E965" s="21">
        <v>1</v>
      </c>
      <c r="F965" s="21">
        <v>0</v>
      </c>
      <c r="G965" s="21">
        <v>0</v>
      </c>
      <c r="H965" s="21">
        <v>1</v>
      </c>
      <c r="I965" s="21" t="s">
        <v>18</v>
      </c>
      <c r="J965" s="21">
        <v>1</v>
      </c>
      <c r="K965" s="22">
        <v>1</v>
      </c>
      <c r="O965" s="20">
        <v>155172.41380000001</v>
      </c>
      <c r="P965" s="21">
        <v>0</v>
      </c>
    </row>
    <row r="966" spans="1:16" x14ac:dyDescent="0.3">
      <c r="A966" s="15">
        <v>2581</v>
      </c>
      <c r="B966" s="16">
        <v>5000</v>
      </c>
      <c r="C966" s="17" t="s">
        <v>12</v>
      </c>
      <c r="D966" s="17">
        <v>1</v>
      </c>
      <c r="E966" s="17">
        <v>0</v>
      </c>
      <c r="F966" s="17">
        <v>0</v>
      </c>
      <c r="G966" s="17">
        <v>0</v>
      </c>
      <c r="H966" s="17">
        <v>1</v>
      </c>
      <c r="I966" s="17" t="s">
        <v>18</v>
      </c>
      <c r="J966" s="17">
        <v>1</v>
      </c>
      <c r="K966" s="18">
        <v>0</v>
      </c>
      <c r="O966" s="16">
        <v>5000</v>
      </c>
      <c r="P966" s="17">
        <v>0</v>
      </c>
    </row>
    <row r="967" spans="1:16" x14ac:dyDescent="0.3">
      <c r="A967" s="19">
        <v>2596</v>
      </c>
      <c r="B967" s="20">
        <v>48387.096769999996</v>
      </c>
      <c r="C967" s="21" t="s">
        <v>14</v>
      </c>
      <c r="D967" s="21">
        <v>0</v>
      </c>
      <c r="E967" s="21">
        <v>0</v>
      </c>
      <c r="F967" s="21">
        <v>0</v>
      </c>
      <c r="G967" s="21">
        <v>0</v>
      </c>
      <c r="H967" s="21">
        <v>1</v>
      </c>
      <c r="I967" s="21" t="s">
        <v>18</v>
      </c>
      <c r="J967" s="21">
        <v>1</v>
      </c>
      <c r="K967" s="22">
        <v>0</v>
      </c>
      <c r="O967" s="20">
        <v>48387.096769999996</v>
      </c>
      <c r="P967" s="21">
        <v>0</v>
      </c>
    </row>
    <row r="968" spans="1:16" x14ac:dyDescent="0.3">
      <c r="A968" s="15">
        <v>2601</v>
      </c>
      <c r="B968" s="16">
        <v>3797.4683540000001</v>
      </c>
      <c r="C968" s="17" t="s">
        <v>14</v>
      </c>
      <c r="D968" s="17">
        <v>0</v>
      </c>
      <c r="E968" s="17">
        <v>0</v>
      </c>
      <c r="F968" s="17">
        <v>0</v>
      </c>
      <c r="G968" s="17">
        <v>0</v>
      </c>
      <c r="H968" s="17">
        <v>1</v>
      </c>
      <c r="I968" s="17" t="s">
        <v>18</v>
      </c>
      <c r="J968" s="17">
        <v>1</v>
      </c>
      <c r="K968" s="18">
        <v>0</v>
      </c>
      <c r="O968" s="16">
        <v>3797.4683540000001</v>
      </c>
      <c r="P968" s="17">
        <v>0</v>
      </c>
    </row>
    <row r="969" spans="1:16" x14ac:dyDescent="0.3">
      <c r="A969" s="19">
        <v>2602</v>
      </c>
      <c r="B969" s="20">
        <v>10000</v>
      </c>
      <c r="C969" s="21" t="s">
        <v>14</v>
      </c>
      <c r="D969" s="21">
        <v>0</v>
      </c>
      <c r="E969" s="21">
        <v>0</v>
      </c>
      <c r="F969" s="21">
        <v>0</v>
      </c>
      <c r="G969" s="21">
        <v>0</v>
      </c>
      <c r="H969" s="21">
        <v>1</v>
      </c>
      <c r="I969" s="21" t="s">
        <v>18</v>
      </c>
      <c r="J969" s="21">
        <v>1</v>
      </c>
      <c r="K969" s="22">
        <v>0</v>
      </c>
      <c r="O969" s="20">
        <v>10000</v>
      </c>
      <c r="P969" s="21">
        <v>0</v>
      </c>
    </row>
    <row r="970" spans="1:16" x14ac:dyDescent="0.3">
      <c r="A970" s="15">
        <v>2604</v>
      </c>
      <c r="B970" s="16">
        <v>2564.1025639999998</v>
      </c>
      <c r="C970" s="17" t="s">
        <v>14</v>
      </c>
      <c r="D970" s="17">
        <v>0</v>
      </c>
      <c r="E970" s="17">
        <v>0</v>
      </c>
      <c r="F970" s="17">
        <v>1</v>
      </c>
      <c r="G970" s="17">
        <v>0</v>
      </c>
      <c r="H970" s="17">
        <v>1</v>
      </c>
      <c r="I970" s="17" t="s">
        <v>18</v>
      </c>
      <c r="J970" s="17">
        <v>1</v>
      </c>
      <c r="K970" s="18">
        <v>0</v>
      </c>
      <c r="O970" s="16">
        <v>2564.1025639999998</v>
      </c>
      <c r="P970" s="17">
        <v>1</v>
      </c>
    </row>
    <row r="971" spans="1:16" x14ac:dyDescent="0.3">
      <c r="A971" s="19">
        <v>2605</v>
      </c>
      <c r="B971" s="20">
        <v>5000</v>
      </c>
      <c r="C971" s="21" t="s">
        <v>14</v>
      </c>
      <c r="D971" s="21">
        <v>0</v>
      </c>
      <c r="E971" s="21">
        <v>0</v>
      </c>
      <c r="F971" s="21">
        <v>1</v>
      </c>
      <c r="G971" s="21">
        <v>0</v>
      </c>
      <c r="H971" s="21">
        <v>1</v>
      </c>
      <c r="I971" s="21" t="s">
        <v>18</v>
      </c>
      <c r="J971" s="21">
        <v>1</v>
      </c>
      <c r="K971" s="22">
        <v>0</v>
      </c>
      <c r="O971" s="20">
        <v>5000</v>
      </c>
      <c r="P971" s="21">
        <v>1</v>
      </c>
    </row>
    <row r="972" spans="1:16" x14ac:dyDescent="0.3">
      <c r="A972" s="15">
        <v>2609</v>
      </c>
      <c r="B972" s="16">
        <v>150000</v>
      </c>
      <c r="C972" s="17" t="s">
        <v>14</v>
      </c>
      <c r="D972" s="17">
        <v>0</v>
      </c>
      <c r="E972" s="17">
        <v>1</v>
      </c>
      <c r="F972" s="17">
        <v>0</v>
      </c>
      <c r="G972" s="17">
        <v>1</v>
      </c>
      <c r="H972" s="17">
        <v>0</v>
      </c>
      <c r="I972" s="17" t="s">
        <v>17</v>
      </c>
      <c r="J972" s="17">
        <v>1</v>
      </c>
      <c r="K972" s="18">
        <v>0</v>
      </c>
      <c r="O972" s="16">
        <v>150000</v>
      </c>
      <c r="P972" s="17">
        <v>0</v>
      </c>
    </row>
    <row r="973" spans="1:16" x14ac:dyDescent="0.3">
      <c r="A973" s="19">
        <v>2611</v>
      </c>
      <c r="B973" s="20">
        <v>125000</v>
      </c>
      <c r="C973" s="21" t="s">
        <v>14</v>
      </c>
      <c r="D973" s="21">
        <v>0</v>
      </c>
      <c r="E973" s="21">
        <v>1</v>
      </c>
      <c r="F973" s="21">
        <v>0</v>
      </c>
      <c r="G973" s="21">
        <v>1</v>
      </c>
      <c r="H973" s="21">
        <v>0</v>
      </c>
      <c r="I973" s="21" t="s">
        <v>17</v>
      </c>
      <c r="J973" s="21">
        <v>1</v>
      </c>
      <c r="K973" s="22">
        <v>0</v>
      </c>
      <c r="O973" s="20">
        <v>125000</v>
      </c>
      <c r="P973" s="21">
        <v>0</v>
      </c>
    </row>
    <row r="974" spans="1:16" x14ac:dyDescent="0.3">
      <c r="A974" s="15">
        <v>2614</v>
      </c>
      <c r="B974" s="16">
        <v>150000</v>
      </c>
      <c r="C974" s="17" t="s">
        <v>14</v>
      </c>
      <c r="D974" s="17">
        <v>0</v>
      </c>
      <c r="E974" s="17">
        <v>0</v>
      </c>
      <c r="F974" s="17">
        <v>0</v>
      </c>
      <c r="G974" s="17">
        <v>1</v>
      </c>
      <c r="H974" s="17">
        <v>0</v>
      </c>
      <c r="I974" s="17" t="s">
        <v>17</v>
      </c>
      <c r="J974" s="17">
        <v>1</v>
      </c>
      <c r="K974" s="18">
        <v>0</v>
      </c>
      <c r="O974" s="16">
        <v>150000</v>
      </c>
      <c r="P974" s="17">
        <v>0</v>
      </c>
    </row>
    <row r="975" spans="1:16" x14ac:dyDescent="0.3">
      <c r="A975" s="19">
        <v>2619</v>
      </c>
      <c r="B975" s="20">
        <v>47318.611989999998</v>
      </c>
      <c r="C975" s="21" t="s">
        <v>14</v>
      </c>
      <c r="D975" s="21">
        <v>0</v>
      </c>
      <c r="E975" s="21">
        <v>0</v>
      </c>
      <c r="F975" s="21">
        <v>0</v>
      </c>
      <c r="G975" s="21">
        <v>1</v>
      </c>
      <c r="H975" s="21">
        <v>0</v>
      </c>
      <c r="I975" s="21" t="s">
        <v>17</v>
      </c>
      <c r="J975" s="21">
        <v>1</v>
      </c>
      <c r="K975" s="22">
        <v>0</v>
      </c>
      <c r="O975" s="20">
        <v>47318.611989999998</v>
      </c>
      <c r="P975" s="21">
        <v>0</v>
      </c>
    </row>
    <row r="976" spans="1:16" x14ac:dyDescent="0.3">
      <c r="A976" s="15">
        <v>2621</v>
      </c>
      <c r="B976" s="16">
        <v>125000</v>
      </c>
      <c r="C976" s="17" t="s">
        <v>14</v>
      </c>
      <c r="D976" s="17">
        <v>0</v>
      </c>
      <c r="E976" s="17">
        <v>1</v>
      </c>
      <c r="F976" s="17">
        <v>0</v>
      </c>
      <c r="G976" s="17">
        <v>1</v>
      </c>
      <c r="H976" s="17">
        <v>0</v>
      </c>
      <c r="I976" s="17" t="s">
        <v>17</v>
      </c>
      <c r="J976" s="17">
        <v>1</v>
      </c>
      <c r="K976" s="18">
        <v>0</v>
      </c>
      <c r="O976" s="16">
        <v>125000</v>
      </c>
      <c r="P976" s="17">
        <v>0</v>
      </c>
    </row>
    <row r="977" spans="1:16" x14ac:dyDescent="0.3">
      <c r="A977" s="19">
        <v>2626</v>
      </c>
      <c r="B977" s="20">
        <v>150000</v>
      </c>
      <c r="C977" s="21" t="s">
        <v>14</v>
      </c>
      <c r="D977" s="21">
        <v>0</v>
      </c>
      <c r="E977" s="21">
        <v>1</v>
      </c>
      <c r="F977" s="21">
        <v>0</v>
      </c>
      <c r="G977" s="21">
        <v>1</v>
      </c>
      <c r="H977" s="21">
        <v>0</v>
      </c>
      <c r="I977" s="21" t="s">
        <v>17</v>
      </c>
      <c r="J977" s="21">
        <v>1</v>
      </c>
      <c r="K977" s="22">
        <v>0</v>
      </c>
      <c r="O977" s="20">
        <v>150000</v>
      </c>
      <c r="P977" s="21">
        <v>0</v>
      </c>
    </row>
    <row r="978" spans="1:16" x14ac:dyDescent="0.3">
      <c r="A978" s="15">
        <v>2645</v>
      </c>
      <c r="B978" s="16">
        <v>0</v>
      </c>
      <c r="C978" s="17" t="s">
        <v>14</v>
      </c>
      <c r="D978" s="17">
        <v>0</v>
      </c>
      <c r="E978" s="17">
        <v>0</v>
      </c>
      <c r="F978" s="17">
        <v>0</v>
      </c>
      <c r="G978" s="17">
        <v>0</v>
      </c>
      <c r="H978" s="17">
        <v>1</v>
      </c>
      <c r="I978" s="17" t="s">
        <v>18</v>
      </c>
      <c r="J978" s="17">
        <v>1</v>
      </c>
      <c r="K978" s="18">
        <v>0</v>
      </c>
      <c r="O978" s="16">
        <v>0</v>
      </c>
      <c r="P978" s="17">
        <v>0</v>
      </c>
    </row>
    <row r="979" spans="1:16" x14ac:dyDescent="0.3">
      <c r="A979" s="19">
        <v>2648</v>
      </c>
      <c r="B979" s="20">
        <v>15000</v>
      </c>
      <c r="C979" s="21" t="s">
        <v>14</v>
      </c>
      <c r="D979" s="21">
        <v>0</v>
      </c>
      <c r="E979" s="21">
        <v>0</v>
      </c>
      <c r="F979" s="21">
        <v>0</v>
      </c>
      <c r="G979" s="21">
        <v>0</v>
      </c>
      <c r="H979" s="21">
        <v>1</v>
      </c>
      <c r="I979" s="21" t="s">
        <v>18</v>
      </c>
      <c r="J979" s="21">
        <v>1</v>
      </c>
      <c r="K979" s="22">
        <v>1</v>
      </c>
      <c r="O979" s="20">
        <v>15000</v>
      </c>
      <c r="P979" s="21">
        <v>0</v>
      </c>
    </row>
    <row r="980" spans="1:16" x14ac:dyDescent="0.3">
      <c r="A980" s="15">
        <v>2664</v>
      </c>
      <c r="B980" s="16">
        <v>150000</v>
      </c>
      <c r="C980" s="17" t="s">
        <v>14</v>
      </c>
      <c r="D980" s="17">
        <v>0</v>
      </c>
      <c r="E980" s="17">
        <v>1</v>
      </c>
      <c r="F980" s="17">
        <v>0</v>
      </c>
      <c r="G980" s="17">
        <v>1</v>
      </c>
      <c r="H980" s="17">
        <v>0</v>
      </c>
      <c r="I980" s="17" t="s">
        <v>17</v>
      </c>
      <c r="J980" s="17">
        <v>1</v>
      </c>
      <c r="K980" s="18">
        <v>0</v>
      </c>
      <c r="O980" s="16">
        <v>150000</v>
      </c>
      <c r="P980" s="17">
        <v>0</v>
      </c>
    </row>
    <row r="981" spans="1:16" x14ac:dyDescent="0.3">
      <c r="A981" s="19">
        <v>2667</v>
      </c>
      <c r="B981" s="20">
        <v>150000</v>
      </c>
      <c r="C981" s="21" t="s">
        <v>14</v>
      </c>
      <c r="D981" s="21">
        <v>0</v>
      </c>
      <c r="E981" s="21">
        <v>0</v>
      </c>
      <c r="F981" s="21">
        <v>0</v>
      </c>
      <c r="G981" s="21">
        <v>1</v>
      </c>
      <c r="H981" s="21">
        <v>0</v>
      </c>
      <c r="I981" s="21" t="s">
        <v>17</v>
      </c>
      <c r="J981" s="21">
        <v>1</v>
      </c>
      <c r="K981" s="22">
        <v>0</v>
      </c>
      <c r="O981" s="20">
        <v>150000</v>
      </c>
      <c r="P981" s="21">
        <v>0</v>
      </c>
    </row>
    <row r="982" spans="1:16" x14ac:dyDescent="0.3">
      <c r="A982" s="15">
        <v>2674</v>
      </c>
      <c r="B982" s="16">
        <v>125000</v>
      </c>
      <c r="C982" s="17" t="s">
        <v>14</v>
      </c>
      <c r="D982" s="17">
        <v>0</v>
      </c>
      <c r="E982" s="17">
        <v>1</v>
      </c>
      <c r="F982" s="17">
        <v>0</v>
      </c>
      <c r="G982" s="17">
        <v>1</v>
      </c>
      <c r="H982" s="17">
        <v>0</v>
      </c>
      <c r="I982" s="17" t="s">
        <v>17</v>
      </c>
      <c r="J982" s="17">
        <v>1</v>
      </c>
      <c r="K982" s="18">
        <v>0</v>
      </c>
      <c r="O982" s="16">
        <v>125000</v>
      </c>
      <c r="P982" s="17">
        <v>0</v>
      </c>
    </row>
    <row r="983" spans="1:16" x14ac:dyDescent="0.3">
      <c r="A983" s="19">
        <v>2681</v>
      </c>
      <c r="B983" s="20">
        <v>150000</v>
      </c>
      <c r="C983" s="21" t="s">
        <v>14</v>
      </c>
      <c r="D983" s="21">
        <v>0</v>
      </c>
      <c r="E983" s="21">
        <v>0</v>
      </c>
      <c r="F983" s="21">
        <v>0</v>
      </c>
      <c r="G983" s="21">
        <v>1</v>
      </c>
      <c r="H983" s="21">
        <v>0</v>
      </c>
      <c r="I983" s="21" t="s">
        <v>17</v>
      </c>
      <c r="J983" s="21">
        <v>1</v>
      </c>
      <c r="K983" s="22">
        <v>0</v>
      </c>
      <c r="O983" s="20">
        <v>150000</v>
      </c>
      <c r="P983" s="21">
        <v>0</v>
      </c>
    </row>
    <row r="984" spans="1:16" x14ac:dyDescent="0.3">
      <c r="A984" s="15">
        <v>2685</v>
      </c>
      <c r="B984" s="16">
        <v>150000</v>
      </c>
      <c r="C984" s="17" t="s">
        <v>14</v>
      </c>
      <c r="D984" s="17">
        <v>0</v>
      </c>
      <c r="E984" s="17">
        <v>1</v>
      </c>
      <c r="F984" s="17">
        <v>0</v>
      </c>
      <c r="G984" s="17">
        <v>1</v>
      </c>
      <c r="H984" s="17">
        <v>0</v>
      </c>
      <c r="I984" s="17" t="s">
        <v>17</v>
      </c>
      <c r="J984" s="17">
        <v>1</v>
      </c>
      <c r="K984" s="18">
        <v>0</v>
      </c>
      <c r="O984" s="16">
        <v>150000</v>
      </c>
      <c r="P984" s="17">
        <v>0</v>
      </c>
    </row>
    <row r="985" spans="1:16" x14ac:dyDescent="0.3">
      <c r="A985" s="19">
        <v>2686</v>
      </c>
      <c r="B985" s="20">
        <v>-25000</v>
      </c>
      <c r="C985" s="21" t="s">
        <v>14</v>
      </c>
      <c r="D985" s="21">
        <v>0</v>
      </c>
      <c r="E985" s="21">
        <v>0</v>
      </c>
      <c r="F985" s="21">
        <v>0</v>
      </c>
      <c r="G985" s="21">
        <v>1</v>
      </c>
      <c r="H985" s="21">
        <v>0</v>
      </c>
      <c r="I985" s="21" t="s">
        <v>17</v>
      </c>
      <c r="J985" s="21">
        <v>1</v>
      </c>
      <c r="K985" s="22">
        <v>0</v>
      </c>
      <c r="O985" s="20">
        <v>-25000</v>
      </c>
      <c r="P985" s="21">
        <v>0</v>
      </c>
    </row>
    <row r="986" spans="1:16" x14ac:dyDescent="0.3">
      <c r="A986" s="15">
        <v>2688</v>
      </c>
      <c r="B986" s="16">
        <v>150000</v>
      </c>
      <c r="C986" s="17" t="s">
        <v>14</v>
      </c>
      <c r="D986" s="17">
        <v>0</v>
      </c>
      <c r="E986" s="17">
        <v>0</v>
      </c>
      <c r="F986" s="17">
        <v>0</v>
      </c>
      <c r="G986" s="17">
        <v>1</v>
      </c>
      <c r="H986" s="17">
        <v>0</v>
      </c>
      <c r="I986" s="17" t="s">
        <v>17</v>
      </c>
      <c r="J986" s="17">
        <v>1</v>
      </c>
      <c r="K986" s="18">
        <v>0</v>
      </c>
      <c r="O986" s="16">
        <v>150000</v>
      </c>
      <c r="P986" s="17">
        <v>0</v>
      </c>
    </row>
    <row r="987" spans="1:16" x14ac:dyDescent="0.3">
      <c r="A987" s="19">
        <v>2693</v>
      </c>
      <c r="B987" s="20">
        <v>-20833.333330000001</v>
      </c>
      <c r="C987" s="21" t="s">
        <v>14</v>
      </c>
      <c r="D987" s="21">
        <v>0</v>
      </c>
      <c r="E987" s="21">
        <v>0</v>
      </c>
      <c r="F987" s="21">
        <v>0</v>
      </c>
      <c r="G987" s="21">
        <v>1</v>
      </c>
      <c r="H987" s="21">
        <v>0</v>
      </c>
      <c r="I987" s="21" t="s">
        <v>17</v>
      </c>
      <c r="J987" s="21">
        <v>1</v>
      </c>
      <c r="K987" s="22">
        <v>0</v>
      </c>
      <c r="O987" s="20">
        <v>-20833.333330000001</v>
      </c>
      <c r="P987" s="21">
        <v>0</v>
      </c>
    </row>
    <row r="988" spans="1:16" x14ac:dyDescent="0.3">
      <c r="A988" s="15">
        <v>2695</v>
      </c>
      <c r="B988" s="16">
        <v>150000</v>
      </c>
      <c r="C988" s="17" t="s">
        <v>14</v>
      </c>
      <c r="D988" s="17">
        <v>0</v>
      </c>
      <c r="E988" s="17">
        <v>1</v>
      </c>
      <c r="F988" s="17">
        <v>0</v>
      </c>
      <c r="G988" s="17">
        <v>1</v>
      </c>
      <c r="H988" s="17">
        <v>0</v>
      </c>
      <c r="I988" s="17" t="s">
        <v>17</v>
      </c>
      <c r="J988" s="17">
        <v>1</v>
      </c>
      <c r="K988" s="18">
        <v>0</v>
      </c>
      <c r="O988" s="16">
        <v>150000</v>
      </c>
      <c r="P988" s="17">
        <v>0</v>
      </c>
    </row>
    <row r="989" spans="1:16" x14ac:dyDescent="0.3">
      <c r="A989" s="19">
        <v>2697</v>
      </c>
      <c r="B989" s="20">
        <v>125000</v>
      </c>
      <c r="C989" s="21" t="s">
        <v>14</v>
      </c>
      <c r="D989" s="21">
        <v>0</v>
      </c>
      <c r="E989" s="21">
        <v>1</v>
      </c>
      <c r="F989" s="21">
        <v>0</v>
      </c>
      <c r="G989" s="21">
        <v>1</v>
      </c>
      <c r="H989" s="21">
        <v>0</v>
      </c>
      <c r="I989" s="21" t="s">
        <v>17</v>
      </c>
      <c r="J989" s="21">
        <v>1</v>
      </c>
      <c r="K989" s="22">
        <v>0</v>
      </c>
      <c r="O989" s="20">
        <v>125000</v>
      </c>
      <c r="P989" s="21">
        <v>0</v>
      </c>
    </row>
    <row r="990" spans="1:16" x14ac:dyDescent="0.3">
      <c r="A990" s="15">
        <v>2705</v>
      </c>
      <c r="B990" s="16">
        <v>50000</v>
      </c>
      <c r="C990" s="17" t="s">
        <v>14</v>
      </c>
      <c r="D990" s="17">
        <v>0</v>
      </c>
      <c r="E990" s="17">
        <v>1</v>
      </c>
      <c r="F990" s="17">
        <v>0</v>
      </c>
      <c r="G990" s="17">
        <v>1</v>
      </c>
      <c r="H990" s="17">
        <v>0</v>
      </c>
      <c r="I990" s="17" t="s">
        <v>17</v>
      </c>
      <c r="J990" s="17">
        <v>1</v>
      </c>
      <c r="K990" s="18">
        <v>0</v>
      </c>
      <c r="O990" s="16">
        <v>50000</v>
      </c>
      <c r="P990" s="17">
        <v>0</v>
      </c>
    </row>
    <row r="991" spans="1:16" x14ac:dyDescent="0.3">
      <c r="A991" s="19">
        <v>2714</v>
      </c>
      <c r="B991" s="20">
        <v>150000</v>
      </c>
      <c r="C991" s="21" t="s">
        <v>14</v>
      </c>
      <c r="D991" s="21">
        <v>0</v>
      </c>
      <c r="E991" s="21">
        <v>1</v>
      </c>
      <c r="F991" s="21">
        <v>0</v>
      </c>
      <c r="G991" s="21">
        <v>1</v>
      </c>
      <c r="H991" s="21">
        <v>0</v>
      </c>
      <c r="I991" s="21" t="s">
        <v>17</v>
      </c>
      <c r="J991" s="21">
        <v>1</v>
      </c>
      <c r="K991" s="22">
        <v>0</v>
      </c>
      <c r="O991" s="20">
        <v>150000</v>
      </c>
      <c r="P991" s="21">
        <v>0</v>
      </c>
    </row>
    <row r="992" spans="1:16" x14ac:dyDescent="0.3">
      <c r="A992" s="15">
        <v>2720</v>
      </c>
      <c r="B992" s="16">
        <v>50000</v>
      </c>
      <c r="C992" s="17" t="s">
        <v>14</v>
      </c>
      <c r="D992" s="17">
        <v>0</v>
      </c>
      <c r="E992" s="17">
        <v>1</v>
      </c>
      <c r="F992" s="17">
        <v>0</v>
      </c>
      <c r="G992" s="17">
        <v>1</v>
      </c>
      <c r="H992" s="17">
        <v>0</v>
      </c>
      <c r="I992" s="17" t="s">
        <v>17</v>
      </c>
      <c r="J992" s="17">
        <v>1</v>
      </c>
      <c r="K992" s="18">
        <v>0</v>
      </c>
      <c r="O992" s="16">
        <v>50000</v>
      </c>
      <c r="P992" s="17">
        <v>0</v>
      </c>
    </row>
    <row r="993" spans="1:16" x14ac:dyDescent="0.3">
      <c r="A993" s="19">
        <v>2723</v>
      </c>
      <c r="B993" s="20">
        <v>75000</v>
      </c>
      <c r="C993" s="21" t="s">
        <v>14</v>
      </c>
      <c r="D993" s="21">
        <v>0</v>
      </c>
      <c r="E993" s="21">
        <v>0</v>
      </c>
      <c r="F993" s="21">
        <v>0</v>
      </c>
      <c r="G993" s="21">
        <v>1</v>
      </c>
      <c r="H993" s="21">
        <v>0</v>
      </c>
      <c r="I993" s="21" t="s">
        <v>17</v>
      </c>
      <c r="J993" s="21">
        <v>1</v>
      </c>
      <c r="K993" s="22">
        <v>0</v>
      </c>
      <c r="O993" s="20">
        <v>75000</v>
      </c>
      <c r="P993" s="21">
        <v>0</v>
      </c>
    </row>
    <row r="994" spans="1:16" x14ac:dyDescent="0.3">
      <c r="A994" s="15">
        <v>2728</v>
      </c>
      <c r="B994" s="16">
        <v>150000</v>
      </c>
      <c r="C994" s="17" t="s">
        <v>14</v>
      </c>
      <c r="D994" s="17">
        <v>0</v>
      </c>
      <c r="E994" s="17">
        <v>0</v>
      </c>
      <c r="F994" s="17">
        <v>0</v>
      </c>
      <c r="G994" s="17">
        <v>1</v>
      </c>
      <c r="H994" s="17">
        <v>0</v>
      </c>
      <c r="I994" s="17" t="s">
        <v>17</v>
      </c>
      <c r="J994" s="17">
        <v>1</v>
      </c>
      <c r="K994" s="18">
        <v>0</v>
      </c>
      <c r="O994" s="16">
        <v>150000</v>
      </c>
      <c r="P994" s="17">
        <v>0</v>
      </c>
    </row>
    <row r="995" spans="1:16" x14ac:dyDescent="0.3">
      <c r="A995" s="19">
        <v>2734</v>
      </c>
      <c r="B995" s="20">
        <v>75000</v>
      </c>
      <c r="C995" s="21" t="s">
        <v>14</v>
      </c>
      <c r="D995" s="21">
        <v>0</v>
      </c>
      <c r="E995" s="21">
        <v>1</v>
      </c>
      <c r="F995" s="21">
        <v>0</v>
      </c>
      <c r="G995" s="21">
        <v>1</v>
      </c>
      <c r="H995" s="21">
        <v>0</v>
      </c>
      <c r="I995" s="21" t="s">
        <v>17</v>
      </c>
      <c r="J995" s="21">
        <v>1</v>
      </c>
      <c r="K995" s="22">
        <v>0</v>
      </c>
      <c r="O995" s="20">
        <v>75000</v>
      </c>
      <c r="P995" s="21">
        <v>0</v>
      </c>
    </row>
    <row r="996" spans="1:16" x14ac:dyDescent="0.3">
      <c r="A996" s="15">
        <v>2735</v>
      </c>
      <c r="B996" s="16">
        <v>150000</v>
      </c>
      <c r="C996" s="17" t="s">
        <v>14</v>
      </c>
      <c r="D996" s="17">
        <v>0</v>
      </c>
      <c r="E996" s="17">
        <v>1</v>
      </c>
      <c r="F996" s="17">
        <v>0</v>
      </c>
      <c r="G996" s="17">
        <v>1</v>
      </c>
      <c r="H996" s="17">
        <v>0</v>
      </c>
      <c r="I996" s="17" t="s">
        <v>17</v>
      </c>
      <c r="J996" s="17">
        <v>1</v>
      </c>
      <c r="K996" s="18">
        <v>0</v>
      </c>
      <c r="O996" s="16">
        <v>150000</v>
      </c>
      <c r="P996" s="17">
        <v>0</v>
      </c>
    </row>
    <row r="997" spans="1:16" x14ac:dyDescent="0.3">
      <c r="A997" s="19">
        <v>2738</v>
      </c>
      <c r="B997" s="20">
        <v>125000</v>
      </c>
      <c r="C997" s="21" t="s">
        <v>14</v>
      </c>
      <c r="D997" s="21">
        <v>0</v>
      </c>
      <c r="E997" s="21">
        <v>0</v>
      </c>
      <c r="F997" s="21">
        <v>0</v>
      </c>
      <c r="G997" s="21">
        <v>1</v>
      </c>
      <c r="H997" s="21">
        <v>0</v>
      </c>
      <c r="I997" s="21" t="s">
        <v>17</v>
      </c>
      <c r="J997" s="21">
        <v>1</v>
      </c>
      <c r="K997" s="22">
        <v>0</v>
      </c>
      <c r="O997" s="20">
        <v>125000</v>
      </c>
      <c r="P997" s="21">
        <v>0</v>
      </c>
    </row>
    <row r="998" spans="1:16" x14ac:dyDescent="0.3">
      <c r="A998" s="15">
        <v>2739</v>
      </c>
      <c r="B998" s="16">
        <v>150000</v>
      </c>
      <c r="C998" s="17" t="s">
        <v>14</v>
      </c>
      <c r="D998" s="17">
        <v>0</v>
      </c>
      <c r="E998" s="17">
        <v>1</v>
      </c>
      <c r="F998" s="17">
        <v>0</v>
      </c>
      <c r="G998" s="17">
        <v>1</v>
      </c>
      <c r="H998" s="17">
        <v>0</v>
      </c>
      <c r="I998" s="17" t="s">
        <v>17</v>
      </c>
      <c r="J998" s="17">
        <v>1</v>
      </c>
      <c r="K998" s="18">
        <v>0</v>
      </c>
      <c r="O998" s="16">
        <v>150000</v>
      </c>
      <c r="P998" s="17">
        <v>0</v>
      </c>
    </row>
    <row r="999" spans="1:16" x14ac:dyDescent="0.3">
      <c r="A999" s="19">
        <v>2740</v>
      </c>
      <c r="B999" s="20">
        <v>125000</v>
      </c>
      <c r="C999" s="21" t="s">
        <v>14</v>
      </c>
      <c r="D999" s="21">
        <v>0</v>
      </c>
      <c r="E999" s="21">
        <v>1</v>
      </c>
      <c r="F999" s="21">
        <v>0</v>
      </c>
      <c r="G999" s="21">
        <v>1</v>
      </c>
      <c r="H999" s="21">
        <v>0</v>
      </c>
      <c r="I999" s="21" t="s">
        <v>17</v>
      </c>
      <c r="J999" s="21">
        <v>1</v>
      </c>
      <c r="K999" s="22">
        <v>0</v>
      </c>
      <c r="O999" s="20">
        <v>125000</v>
      </c>
      <c r="P999" s="21">
        <v>0</v>
      </c>
    </row>
    <row r="1000" spans="1:16" x14ac:dyDescent="0.3">
      <c r="A1000" s="15">
        <v>2744</v>
      </c>
      <c r="B1000" s="16">
        <v>50000</v>
      </c>
      <c r="C1000" s="17" t="s">
        <v>14</v>
      </c>
      <c r="D1000" s="17">
        <v>0</v>
      </c>
      <c r="E1000" s="17">
        <v>1</v>
      </c>
      <c r="F1000" s="17">
        <v>0</v>
      </c>
      <c r="G1000" s="17">
        <v>1</v>
      </c>
      <c r="H1000" s="17">
        <v>0</v>
      </c>
      <c r="I1000" s="17" t="s">
        <v>17</v>
      </c>
      <c r="J1000" s="17">
        <v>1</v>
      </c>
      <c r="K1000" s="18">
        <v>0</v>
      </c>
      <c r="O1000" s="16">
        <v>50000</v>
      </c>
      <c r="P1000" s="17">
        <v>0</v>
      </c>
    </row>
    <row r="1001" spans="1:16" x14ac:dyDescent="0.3">
      <c r="A1001" s="19">
        <v>2754</v>
      </c>
      <c r="B1001" s="20">
        <v>18000</v>
      </c>
      <c r="C1001" s="21" t="s">
        <v>14</v>
      </c>
      <c r="D1001" s="21">
        <v>0</v>
      </c>
      <c r="E1001" s="21">
        <v>0</v>
      </c>
      <c r="F1001" s="21">
        <v>0</v>
      </c>
      <c r="G1001" s="21">
        <v>0</v>
      </c>
      <c r="H1001" s="21">
        <v>1</v>
      </c>
      <c r="I1001" s="21" t="s">
        <v>18</v>
      </c>
      <c r="J1001" s="21">
        <v>0</v>
      </c>
      <c r="K1001" s="22">
        <v>0</v>
      </c>
      <c r="O1001" s="20">
        <v>18000</v>
      </c>
      <c r="P1001" s="21">
        <v>0</v>
      </c>
    </row>
    <row r="1002" spans="1:16" x14ac:dyDescent="0.3">
      <c r="A1002" s="15">
        <v>2755</v>
      </c>
      <c r="B1002" s="16">
        <v>38793.103450000002</v>
      </c>
      <c r="C1002" s="17" t="s">
        <v>14</v>
      </c>
      <c r="D1002" s="17">
        <v>0</v>
      </c>
      <c r="E1002" s="17">
        <v>0</v>
      </c>
      <c r="F1002" s="17">
        <v>0</v>
      </c>
      <c r="G1002" s="17">
        <v>0</v>
      </c>
      <c r="H1002" s="17">
        <v>1</v>
      </c>
      <c r="I1002" s="17" t="s">
        <v>18</v>
      </c>
      <c r="J1002" s="17">
        <v>1</v>
      </c>
      <c r="K1002" s="18">
        <v>0</v>
      </c>
      <c r="O1002" s="16">
        <v>38793.103450000002</v>
      </c>
      <c r="P1002" s="17">
        <v>0</v>
      </c>
    </row>
    <row r="1003" spans="1:16" x14ac:dyDescent="0.3">
      <c r="A1003" s="19">
        <v>2760</v>
      </c>
      <c r="B1003" s="20">
        <v>121621.6216</v>
      </c>
      <c r="C1003" s="21" t="s">
        <v>14</v>
      </c>
      <c r="D1003" s="21">
        <v>0</v>
      </c>
      <c r="E1003" s="21">
        <v>0</v>
      </c>
      <c r="F1003" s="21">
        <v>0</v>
      </c>
      <c r="G1003" s="21">
        <v>0</v>
      </c>
      <c r="H1003" s="21">
        <v>1</v>
      </c>
      <c r="I1003" s="21" t="s">
        <v>18</v>
      </c>
      <c r="J1003" s="21">
        <v>1</v>
      </c>
      <c r="K1003" s="22">
        <v>0</v>
      </c>
      <c r="O1003" s="20">
        <v>121621.6216</v>
      </c>
      <c r="P1003" s="21">
        <v>0</v>
      </c>
    </row>
    <row r="1004" spans="1:16" x14ac:dyDescent="0.3">
      <c r="A1004" s="15">
        <v>2763</v>
      </c>
      <c r="B1004" s="16">
        <v>3750</v>
      </c>
      <c r="C1004" s="17" t="s">
        <v>14</v>
      </c>
      <c r="D1004" s="17">
        <v>0</v>
      </c>
      <c r="E1004" s="17">
        <v>0</v>
      </c>
      <c r="F1004" s="17">
        <v>0</v>
      </c>
      <c r="G1004" s="17">
        <v>0</v>
      </c>
      <c r="H1004" s="17">
        <v>1</v>
      </c>
      <c r="I1004" s="17" t="s">
        <v>18</v>
      </c>
      <c r="J1004" s="17">
        <v>1</v>
      </c>
      <c r="K1004" s="18">
        <v>0</v>
      </c>
      <c r="O1004" s="16">
        <v>3750</v>
      </c>
      <c r="P1004" s="17">
        <v>0</v>
      </c>
    </row>
    <row r="1005" spans="1:16" x14ac:dyDescent="0.3">
      <c r="A1005" s="19">
        <v>2767</v>
      </c>
      <c r="B1005" s="20">
        <v>22500</v>
      </c>
      <c r="C1005" s="21" t="s">
        <v>14</v>
      </c>
      <c r="D1005" s="21">
        <v>0</v>
      </c>
      <c r="E1005" s="21">
        <v>0</v>
      </c>
      <c r="F1005" s="21">
        <v>0</v>
      </c>
      <c r="G1005" s="21">
        <v>0</v>
      </c>
      <c r="H1005" s="21">
        <v>1</v>
      </c>
      <c r="I1005" s="21" t="s">
        <v>18</v>
      </c>
      <c r="J1005" s="21">
        <v>1</v>
      </c>
      <c r="K1005" s="22">
        <v>0</v>
      </c>
      <c r="O1005" s="20">
        <v>22500</v>
      </c>
      <c r="P1005" s="21">
        <v>0</v>
      </c>
    </row>
    <row r="1006" spans="1:16" x14ac:dyDescent="0.3">
      <c r="A1006" s="15">
        <v>2771</v>
      </c>
      <c r="B1006" s="16">
        <v>20930.23256</v>
      </c>
      <c r="C1006" s="17" t="s">
        <v>14</v>
      </c>
      <c r="D1006" s="17">
        <v>0</v>
      </c>
      <c r="E1006" s="17">
        <v>0</v>
      </c>
      <c r="F1006" s="17">
        <v>0</v>
      </c>
      <c r="G1006" s="17">
        <v>0</v>
      </c>
      <c r="H1006" s="17">
        <v>1</v>
      </c>
      <c r="I1006" s="17" t="s">
        <v>18</v>
      </c>
      <c r="J1006" s="17">
        <v>0</v>
      </c>
      <c r="K1006" s="18">
        <v>0</v>
      </c>
      <c r="O1006" s="16">
        <v>20930.23256</v>
      </c>
      <c r="P1006" s="17">
        <v>0</v>
      </c>
    </row>
    <row r="1007" spans="1:16" x14ac:dyDescent="0.3">
      <c r="A1007" s="19">
        <v>2772</v>
      </c>
      <c r="B1007" s="20">
        <v>37500</v>
      </c>
      <c r="C1007" s="21" t="s">
        <v>14</v>
      </c>
      <c r="D1007" s="21">
        <v>0</v>
      </c>
      <c r="E1007" s="21">
        <v>0</v>
      </c>
      <c r="F1007" s="21">
        <v>0</v>
      </c>
      <c r="G1007" s="21">
        <v>0</v>
      </c>
      <c r="H1007" s="21">
        <v>1</v>
      </c>
      <c r="I1007" s="21" t="s">
        <v>18</v>
      </c>
      <c r="J1007" s="21">
        <v>1</v>
      </c>
      <c r="K1007" s="22">
        <v>0</v>
      </c>
      <c r="O1007" s="20">
        <v>37500</v>
      </c>
      <c r="P1007" s="21">
        <v>0</v>
      </c>
    </row>
    <row r="1008" spans="1:16" x14ac:dyDescent="0.3">
      <c r="A1008" s="15">
        <v>2773</v>
      </c>
      <c r="B1008" s="16">
        <v>93846.153850000002</v>
      </c>
      <c r="C1008" s="17" t="s">
        <v>14</v>
      </c>
      <c r="D1008" s="17">
        <v>0</v>
      </c>
      <c r="E1008" s="17">
        <v>0</v>
      </c>
      <c r="F1008" s="17">
        <v>0</v>
      </c>
      <c r="G1008" s="17">
        <v>0</v>
      </c>
      <c r="H1008" s="17">
        <v>1</v>
      </c>
      <c r="I1008" s="17" t="s">
        <v>18</v>
      </c>
      <c r="J1008" s="17">
        <v>1</v>
      </c>
      <c r="K1008" s="18">
        <v>0</v>
      </c>
      <c r="O1008" s="16">
        <v>93846.153850000002</v>
      </c>
      <c r="P1008" s="17">
        <v>0</v>
      </c>
    </row>
    <row r="1009" spans="1:16" x14ac:dyDescent="0.3">
      <c r="A1009" s="19">
        <v>2779</v>
      </c>
      <c r="B1009" s="20">
        <v>-3289.473684</v>
      </c>
      <c r="C1009" s="21" t="s">
        <v>14</v>
      </c>
      <c r="D1009" s="21">
        <v>0</v>
      </c>
      <c r="E1009" s="21">
        <v>0</v>
      </c>
      <c r="F1009" s="21">
        <v>0</v>
      </c>
      <c r="G1009" s="21">
        <v>0</v>
      </c>
      <c r="H1009" s="21">
        <v>1</v>
      </c>
      <c r="I1009" s="21" t="s">
        <v>18</v>
      </c>
      <c r="J1009" s="21">
        <v>1</v>
      </c>
      <c r="K1009" s="22">
        <v>0</v>
      </c>
      <c r="O1009" s="20">
        <v>-3289.473684</v>
      </c>
      <c r="P1009" s="21">
        <v>0</v>
      </c>
    </row>
    <row r="1010" spans="1:16" x14ac:dyDescent="0.3">
      <c r="A1010" s="15">
        <v>2791</v>
      </c>
      <c r="B1010" s="16">
        <v>-4926.1083740000004</v>
      </c>
      <c r="C1010" s="17" t="s">
        <v>14</v>
      </c>
      <c r="D1010" s="17">
        <v>0</v>
      </c>
      <c r="E1010" s="17">
        <v>0</v>
      </c>
      <c r="F1010" s="17">
        <v>0</v>
      </c>
      <c r="G1010" s="17">
        <v>0</v>
      </c>
      <c r="H1010" s="17">
        <v>1</v>
      </c>
      <c r="I1010" s="17" t="s">
        <v>18</v>
      </c>
      <c r="J1010" s="17">
        <v>1</v>
      </c>
      <c r="K1010" s="18">
        <v>0</v>
      </c>
      <c r="O1010" s="16">
        <v>-4926.1083740000004</v>
      </c>
      <c r="P1010" s="17">
        <v>0</v>
      </c>
    </row>
    <row r="1011" spans="1:16" x14ac:dyDescent="0.3">
      <c r="A1011" s="19">
        <v>2851</v>
      </c>
      <c r="B1011" s="20">
        <v>9090.9090909999995</v>
      </c>
      <c r="C1011" s="21" t="s">
        <v>14</v>
      </c>
      <c r="D1011" s="21">
        <v>0</v>
      </c>
      <c r="E1011" s="21">
        <v>0</v>
      </c>
      <c r="F1011" s="21">
        <v>0</v>
      </c>
      <c r="G1011" s="21">
        <v>0</v>
      </c>
      <c r="H1011" s="21">
        <v>1</v>
      </c>
      <c r="I1011" s="21" t="s">
        <v>18</v>
      </c>
      <c r="J1011" s="21">
        <v>1</v>
      </c>
      <c r="K1011" s="22">
        <v>0</v>
      </c>
      <c r="O1011" s="20">
        <v>9090.9090909999995</v>
      </c>
      <c r="P1011" s="21">
        <v>0</v>
      </c>
    </row>
    <row r="1012" spans="1:16" x14ac:dyDescent="0.3">
      <c r="A1012" s="15">
        <v>2853</v>
      </c>
      <c r="B1012" s="16">
        <v>-4761.9047620000001</v>
      </c>
      <c r="C1012" s="17" t="s">
        <v>14</v>
      </c>
      <c r="D1012" s="17">
        <v>0</v>
      </c>
      <c r="E1012" s="17">
        <v>0</v>
      </c>
      <c r="F1012" s="17">
        <v>0</v>
      </c>
      <c r="G1012" s="17">
        <v>0</v>
      </c>
      <c r="H1012" s="17">
        <v>1</v>
      </c>
      <c r="I1012" s="17" t="s">
        <v>18</v>
      </c>
      <c r="J1012" s="17">
        <v>1</v>
      </c>
      <c r="K1012" s="18">
        <v>0</v>
      </c>
      <c r="O1012" s="16">
        <v>-4761.9047620000001</v>
      </c>
      <c r="P1012" s="17">
        <v>0</v>
      </c>
    </row>
    <row r="1013" spans="1:16" x14ac:dyDescent="0.3">
      <c r="A1013" s="19">
        <v>2865</v>
      </c>
      <c r="B1013" s="20">
        <v>16666.666669999999</v>
      </c>
      <c r="C1013" s="21" t="s">
        <v>14</v>
      </c>
      <c r="D1013" s="21">
        <v>0</v>
      </c>
      <c r="E1013" s="21">
        <v>0</v>
      </c>
      <c r="F1013" s="21">
        <v>0</v>
      </c>
      <c r="G1013" s="21">
        <v>0</v>
      </c>
      <c r="H1013" s="21">
        <v>1</v>
      </c>
      <c r="I1013" s="21" t="s">
        <v>18</v>
      </c>
      <c r="J1013" s="21">
        <v>1</v>
      </c>
      <c r="K1013" s="22">
        <v>0</v>
      </c>
      <c r="O1013" s="20">
        <v>16666.666669999999</v>
      </c>
      <c r="P1013" s="21">
        <v>0</v>
      </c>
    </row>
    <row r="1014" spans="1:16" x14ac:dyDescent="0.3">
      <c r="A1014" s="15">
        <v>2867</v>
      </c>
      <c r="B1014" s="16">
        <v>1492.537313</v>
      </c>
      <c r="C1014" s="17" t="s">
        <v>14</v>
      </c>
      <c r="D1014" s="17">
        <v>0</v>
      </c>
      <c r="E1014" s="17">
        <v>0</v>
      </c>
      <c r="F1014" s="17">
        <v>0</v>
      </c>
      <c r="G1014" s="17">
        <v>0</v>
      </c>
      <c r="H1014" s="17">
        <v>1</v>
      </c>
      <c r="I1014" s="17" t="s">
        <v>18</v>
      </c>
      <c r="J1014" s="17">
        <v>1</v>
      </c>
      <c r="K1014" s="18">
        <v>0</v>
      </c>
      <c r="O1014" s="16">
        <v>1492.537313</v>
      </c>
      <c r="P1014" s="17">
        <v>0</v>
      </c>
    </row>
    <row r="1015" spans="1:16" x14ac:dyDescent="0.3">
      <c r="A1015" s="19">
        <v>2868</v>
      </c>
      <c r="B1015" s="20">
        <v>2314.8148150000002</v>
      </c>
      <c r="C1015" s="21" t="s">
        <v>14</v>
      </c>
      <c r="D1015" s="21">
        <v>0</v>
      </c>
      <c r="E1015" s="21">
        <v>0</v>
      </c>
      <c r="F1015" s="21">
        <v>0</v>
      </c>
      <c r="G1015" s="21">
        <v>0</v>
      </c>
      <c r="H1015" s="21">
        <v>1</v>
      </c>
      <c r="I1015" s="21" t="s">
        <v>18</v>
      </c>
      <c r="J1015" s="21">
        <v>1</v>
      </c>
      <c r="K1015" s="22">
        <v>0</v>
      </c>
      <c r="O1015" s="20">
        <v>2314.8148150000002</v>
      </c>
      <c r="P1015" s="21">
        <v>0</v>
      </c>
    </row>
    <row r="1016" spans="1:16" x14ac:dyDescent="0.3">
      <c r="A1016" s="15">
        <v>2869</v>
      </c>
      <c r="B1016" s="16">
        <v>-2314.8148150000002</v>
      </c>
      <c r="C1016" s="17" t="s">
        <v>14</v>
      </c>
      <c r="D1016" s="17">
        <v>0</v>
      </c>
      <c r="E1016" s="17">
        <v>0</v>
      </c>
      <c r="F1016" s="17">
        <v>0</v>
      </c>
      <c r="G1016" s="17">
        <v>0</v>
      </c>
      <c r="H1016" s="17">
        <v>1</v>
      </c>
      <c r="I1016" s="17" t="s">
        <v>18</v>
      </c>
      <c r="J1016" s="17">
        <v>1</v>
      </c>
      <c r="K1016" s="18">
        <v>0</v>
      </c>
      <c r="O1016" s="16">
        <v>-2314.8148150000002</v>
      </c>
      <c r="P1016" s="17">
        <v>0</v>
      </c>
    </row>
    <row r="1017" spans="1:16" x14ac:dyDescent="0.3">
      <c r="A1017" s="19">
        <v>2870</v>
      </c>
      <c r="B1017" s="20">
        <v>-16129.03226</v>
      </c>
      <c r="C1017" s="21" t="s">
        <v>14</v>
      </c>
      <c r="D1017" s="21">
        <v>0</v>
      </c>
      <c r="E1017" s="21">
        <v>0</v>
      </c>
      <c r="F1017" s="21">
        <v>0</v>
      </c>
      <c r="G1017" s="21">
        <v>0</v>
      </c>
      <c r="H1017" s="21">
        <v>1</v>
      </c>
      <c r="I1017" s="21" t="s">
        <v>18</v>
      </c>
      <c r="J1017" s="21">
        <v>1</v>
      </c>
      <c r="K1017" s="22">
        <v>0</v>
      </c>
      <c r="O1017" s="20">
        <v>-16129.03226</v>
      </c>
      <c r="P1017" s="21">
        <v>0</v>
      </c>
    </row>
    <row r="1018" spans="1:16" x14ac:dyDescent="0.3">
      <c r="A1018" s="15">
        <v>2965</v>
      </c>
      <c r="B1018" s="16">
        <v>18181.818179999998</v>
      </c>
      <c r="C1018" s="17" t="s">
        <v>14</v>
      </c>
      <c r="D1018" s="17">
        <v>0</v>
      </c>
      <c r="E1018" s="17">
        <v>0</v>
      </c>
      <c r="F1018" s="17">
        <v>0</v>
      </c>
      <c r="G1018" s="17">
        <v>1</v>
      </c>
      <c r="H1018" s="17">
        <v>0</v>
      </c>
      <c r="I1018" s="17" t="s">
        <v>16</v>
      </c>
      <c r="J1018" s="17">
        <v>1</v>
      </c>
      <c r="K1018" s="18">
        <v>0</v>
      </c>
      <c r="O1018" s="16">
        <v>18181.818179999998</v>
      </c>
      <c r="P1018" s="17">
        <v>0</v>
      </c>
    </row>
    <row r="1019" spans="1:16" x14ac:dyDescent="0.3">
      <c r="A1019" s="19">
        <v>2966</v>
      </c>
      <c r="B1019" s="20">
        <v>10683.760679999999</v>
      </c>
      <c r="C1019" s="21" t="s">
        <v>14</v>
      </c>
      <c r="D1019" s="21">
        <v>0</v>
      </c>
      <c r="E1019" s="21">
        <v>1</v>
      </c>
      <c r="F1019" s="21">
        <v>1</v>
      </c>
      <c r="G1019" s="21">
        <v>1</v>
      </c>
      <c r="H1019" s="21">
        <v>0</v>
      </c>
      <c r="I1019" s="21" t="s">
        <v>16</v>
      </c>
      <c r="J1019" s="21">
        <v>1</v>
      </c>
      <c r="K1019" s="22">
        <v>0</v>
      </c>
      <c r="O1019" s="20">
        <v>10683.760679999999</v>
      </c>
      <c r="P1019" s="21">
        <v>1</v>
      </c>
    </row>
    <row r="1020" spans="1:16" x14ac:dyDescent="0.3">
      <c r="A1020" s="15">
        <v>2969</v>
      </c>
      <c r="B1020" s="16">
        <v>13636.36364</v>
      </c>
      <c r="C1020" s="17" t="s">
        <v>14</v>
      </c>
      <c r="D1020" s="17">
        <v>0</v>
      </c>
      <c r="E1020" s="17">
        <v>1</v>
      </c>
      <c r="F1020" s="17">
        <v>0</v>
      </c>
      <c r="G1020" s="17">
        <v>1</v>
      </c>
      <c r="H1020" s="17">
        <v>0</v>
      </c>
      <c r="I1020" s="17" t="s">
        <v>16</v>
      </c>
      <c r="J1020" s="17">
        <v>0</v>
      </c>
      <c r="K1020" s="18">
        <v>1</v>
      </c>
      <c r="O1020" s="16">
        <v>13636.36364</v>
      </c>
      <c r="P1020" s="17">
        <v>0</v>
      </c>
    </row>
    <row r="1021" spans="1:16" x14ac:dyDescent="0.3">
      <c r="A1021" s="19">
        <v>2970</v>
      </c>
      <c r="B1021" s="20">
        <v>16666.666669999999</v>
      </c>
      <c r="C1021" s="21" t="s">
        <v>14</v>
      </c>
      <c r="D1021" s="21">
        <v>0</v>
      </c>
      <c r="E1021" s="21">
        <v>1</v>
      </c>
      <c r="F1021" s="21">
        <v>0</v>
      </c>
      <c r="G1021" s="21">
        <v>0</v>
      </c>
      <c r="H1021" s="21">
        <v>1</v>
      </c>
      <c r="I1021" s="21" t="s">
        <v>16</v>
      </c>
      <c r="J1021" s="21">
        <v>0</v>
      </c>
      <c r="K1021" s="22">
        <v>1</v>
      </c>
      <c r="O1021" s="20">
        <v>16666.666669999999</v>
      </c>
      <c r="P1021" s="21">
        <v>0</v>
      </c>
    </row>
    <row r="1022" spans="1:16" x14ac:dyDescent="0.3">
      <c r="A1022" s="15">
        <v>2971</v>
      </c>
      <c r="B1022" s="16">
        <v>5882.3529410000001</v>
      </c>
      <c r="C1022" s="17" t="s">
        <v>14</v>
      </c>
      <c r="D1022" s="17">
        <v>0</v>
      </c>
      <c r="E1022" s="17">
        <v>1</v>
      </c>
      <c r="F1022" s="17">
        <v>0</v>
      </c>
      <c r="G1022" s="17">
        <v>1</v>
      </c>
      <c r="H1022" s="17">
        <v>0</v>
      </c>
      <c r="I1022" s="17" t="s">
        <v>16</v>
      </c>
      <c r="J1022" s="17">
        <v>0</v>
      </c>
      <c r="K1022" s="18">
        <v>1</v>
      </c>
      <c r="O1022" s="16">
        <v>5882.3529410000001</v>
      </c>
      <c r="P1022" s="17">
        <v>0</v>
      </c>
    </row>
    <row r="1023" spans="1:16" x14ac:dyDescent="0.3">
      <c r="A1023" s="19">
        <v>2979</v>
      </c>
      <c r="B1023" s="20">
        <v>2500</v>
      </c>
      <c r="C1023" s="21" t="s">
        <v>12</v>
      </c>
      <c r="D1023" s="21">
        <v>1</v>
      </c>
      <c r="E1023" s="21">
        <v>0</v>
      </c>
      <c r="F1023" s="21">
        <v>0</v>
      </c>
      <c r="G1023" s="21">
        <v>0</v>
      </c>
      <c r="H1023" s="21">
        <v>1</v>
      </c>
      <c r="I1023" s="21" t="s">
        <v>16</v>
      </c>
      <c r="J1023" s="21">
        <v>0</v>
      </c>
      <c r="K1023" s="22">
        <v>1</v>
      </c>
      <c r="O1023" s="20">
        <v>2500</v>
      </c>
      <c r="P1023" s="21">
        <v>0</v>
      </c>
    </row>
    <row r="1024" spans="1:16" x14ac:dyDescent="0.3">
      <c r="A1024" s="15">
        <v>2983</v>
      </c>
      <c r="B1024" s="16">
        <v>8333.3333330000005</v>
      </c>
      <c r="C1024" s="17" t="s">
        <v>14</v>
      </c>
      <c r="D1024" s="17">
        <v>0</v>
      </c>
      <c r="E1024" s="17">
        <v>0</v>
      </c>
      <c r="F1024" s="17">
        <v>1</v>
      </c>
      <c r="G1024" s="17">
        <v>1</v>
      </c>
      <c r="H1024" s="17">
        <v>0</v>
      </c>
      <c r="I1024" s="17" t="s">
        <v>16</v>
      </c>
      <c r="J1024" s="17">
        <v>1</v>
      </c>
      <c r="K1024" s="18">
        <v>1</v>
      </c>
      <c r="O1024" s="16">
        <v>8333.3333330000005</v>
      </c>
      <c r="P1024" s="17">
        <v>1</v>
      </c>
    </row>
    <row r="1025" spans="1:16" x14ac:dyDescent="0.3">
      <c r="A1025" s="19">
        <v>2984</v>
      </c>
      <c r="B1025" s="20">
        <v>2500</v>
      </c>
      <c r="C1025" s="21" t="s">
        <v>14</v>
      </c>
      <c r="D1025" s="21">
        <v>0</v>
      </c>
      <c r="E1025" s="21">
        <v>1</v>
      </c>
      <c r="F1025" s="21">
        <v>1</v>
      </c>
      <c r="G1025" s="21">
        <v>1</v>
      </c>
      <c r="H1025" s="21">
        <v>0</v>
      </c>
      <c r="I1025" s="21" t="s">
        <v>16</v>
      </c>
      <c r="J1025" s="21">
        <v>0</v>
      </c>
      <c r="K1025" s="22">
        <v>1</v>
      </c>
      <c r="O1025" s="20">
        <v>2500</v>
      </c>
      <c r="P1025" s="21">
        <v>1</v>
      </c>
    </row>
    <row r="1026" spans="1:16" x14ac:dyDescent="0.3">
      <c r="A1026" s="15">
        <v>3047</v>
      </c>
      <c r="B1026" s="16">
        <v>25000</v>
      </c>
      <c r="C1026" s="17" t="s">
        <v>14</v>
      </c>
      <c r="D1026" s="17">
        <v>0</v>
      </c>
      <c r="E1026" s="17">
        <v>0</v>
      </c>
      <c r="F1026" s="17">
        <v>1</v>
      </c>
      <c r="G1026" s="17">
        <v>0</v>
      </c>
      <c r="H1026" s="17">
        <v>1</v>
      </c>
      <c r="I1026" s="17" t="s">
        <v>18</v>
      </c>
      <c r="J1026" s="17">
        <v>1</v>
      </c>
      <c r="K1026" s="18">
        <v>0</v>
      </c>
      <c r="O1026" s="16">
        <v>25000</v>
      </c>
      <c r="P1026" s="17">
        <v>1</v>
      </c>
    </row>
    <row r="1027" spans="1:16" x14ac:dyDescent="0.3">
      <c r="A1027" s="19">
        <v>3050</v>
      </c>
      <c r="B1027" s="20">
        <v>58333.333330000001</v>
      </c>
      <c r="C1027" s="21" t="s">
        <v>14</v>
      </c>
      <c r="D1027" s="21">
        <v>0</v>
      </c>
      <c r="E1027" s="21">
        <v>0</v>
      </c>
      <c r="F1027" s="21">
        <v>0</v>
      </c>
      <c r="G1027" s="21">
        <v>0</v>
      </c>
      <c r="H1027" s="21">
        <v>1</v>
      </c>
      <c r="I1027" s="21" t="s">
        <v>18</v>
      </c>
      <c r="J1027" s="21">
        <v>1</v>
      </c>
      <c r="K1027" s="22">
        <v>0</v>
      </c>
      <c r="O1027" s="20">
        <v>58333.333330000001</v>
      </c>
      <c r="P1027" s="21">
        <v>0</v>
      </c>
    </row>
    <row r="1028" spans="1:16" x14ac:dyDescent="0.3">
      <c r="A1028" s="15">
        <v>3051</v>
      </c>
      <c r="B1028" s="16">
        <v>25000</v>
      </c>
      <c r="C1028" s="17" t="s">
        <v>14</v>
      </c>
      <c r="D1028" s="17">
        <v>0</v>
      </c>
      <c r="E1028" s="17">
        <v>0</v>
      </c>
      <c r="F1028" s="17">
        <v>0</v>
      </c>
      <c r="G1028" s="17">
        <v>0</v>
      </c>
      <c r="H1028" s="17">
        <v>1</v>
      </c>
      <c r="I1028" s="17" t="s">
        <v>18</v>
      </c>
      <c r="J1028" s="17">
        <v>1</v>
      </c>
      <c r="K1028" s="18">
        <v>0</v>
      </c>
      <c r="O1028" s="16">
        <v>25000</v>
      </c>
      <c r="P1028" s="17">
        <v>0</v>
      </c>
    </row>
    <row r="1029" spans="1:16" x14ac:dyDescent="0.3">
      <c r="A1029" s="19">
        <v>3053</v>
      </c>
      <c r="B1029" s="20">
        <v>72000</v>
      </c>
      <c r="C1029" s="21" t="s">
        <v>14</v>
      </c>
      <c r="D1029" s="21">
        <v>0</v>
      </c>
      <c r="E1029" s="21">
        <v>0</v>
      </c>
      <c r="F1029" s="21">
        <v>1</v>
      </c>
      <c r="G1029" s="21">
        <v>0</v>
      </c>
      <c r="H1029" s="21">
        <v>1</v>
      </c>
      <c r="I1029" s="21" t="s">
        <v>18</v>
      </c>
      <c r="J1029" s="21">
        <v>1</v>
      </c>
      <c r="K1029" s="22">
        <v>0</v>
      </c>
      <c r="O1029" s="20">
        <v>72000</v>
      </c>
      <c r="P1029" s="21">
        <v>1</v>
      </c>
    </row>
    <row r="1030" spans="1:16" x14ac:dyDescent="0.3">
      <c r="A1030" s="15">
        <v>3054</v>
      </c>
      <c r="B1030" s="16">
        <v>25000</v>
      </c>
      <c r="C1030" s="17" t="s">
        <v>14</v>
      </c>
      <c r="D1030" s="17">
        <v>0</v>
      </c>
      <c r="E1030" s="17">
        <v>0</v>
      </c>
      <c r="F1030" s="17">
        <v>1</v>
      </c>
      <c r="G1030" s="17">
        <v>0</v>
      </c>
      <c r="H1030" s="17">
        <v>1</v>
      </c>
      <c r="I1030" s="17" t="s">
        <v>18</v>
      </c>
      <c r="J1030" s="17">
        <v>1</v>
      </c>
      <c r="K1030" s="18">
        <v>0</v>
      </c>
      <c r="O1030" s="16">
        <v>25000</v>
      </c>
      <c r="P1030" s="17">
        <v>1</v>
      </c>
    </row>
    <row r="1031" spans="1:16" x14ac:dyDescent="0.3">
      <c r="A1031" s="19">
        <v>3056</v>
      </c>
      <c r="B1031" s="20">
        <v>50000</v>
      </c>
      <c r="C1031" s="21" t="s">
        <v>14</v>
      </c>
      <c r="D1031" s="21">
        <v>0</v>
      </c>
      <c r="E1031" s="21">
        <v>0</v>
      </c>
      <c r="F1031" s="21">
        <v>1</v>
      </c>
      <c r="G1031" s="21">
        <v>0</v>
      </c>
      <c r="H1031" s="21">
        <v>1</v>
      </c>
      <c r="I1031" s="21" t="s">
        <v>18</v>
      </c>
      <c r="J1031" s="21">
        <v>1</v>
      </c>
      <c r="K1031" s="22">
        <v>0</v>
      </c>
      <c r="O1031" s="20">
        <v>50000</v>
      </c>
      <c r="P1031" s="21">
        <v>1</v>
      </c>
    </row>
    <row r="1032" spans="1:16" x14ac:dyDescent="0.3">
      <c r="A1032" s="15">
        <v>3062</v>
      </c>
      <c r="B1032" s="16">
        <v>50000</v>
      </c>
      <c r="C1032" s="17" t="s">
        <v>14</v>
      </c>
      <c r="D1032" s="17">
        <v>0</v>
      </c>
      <c r="E1032" s="17">
        <v>0</v>
      </c>
      <c r="F1032" s="17">
        <v>1</v>
      </c>
      <c r="G1032" s="17">
        <v>0</v>
      </c>
      <c r="H1032" s="17">
        <v>1</v>
      </c>
      <c r="I1032" s="17" t="s">
        <v>18</v>
      </c>
      <c r="J1032" s="17">
        <v>0</v>
      </c>
      <c r="K1032" s="18">
        <v>0</v>
      </c>
      <c r="O1032" s="16">
        <v>50000</v>
      </c>
      <c r="P1032" s="17">
        <v>1</v>
      </c>
    </row>
    <row r="1033" spans="1:16" x14ac:dyDescent="0.3">
      <c r="A1033" s="19">
        <v>3064</v>
      </c>
      <c r="B1033" s="20">
        <v>23809.523809999999</v>
      </c>
      <c r="C1033" s="21" t="s">
        <v>14</v>
      </c>
      <c r="D1033" s="21">
        <v>0</v>
      </c>
      <c r="E1033" s="21">
        <v>0</v>
      </c>
      <c r="F1033" s="21">
        <v>0</v>
      </c>
      <c r="G1033" s="21">
        <v>0</v>
      </c>
      <c r="H1033" s="21">
        <v>1</v>
      </c>
      <c r="I1033" s="21" t="s">
        <v>18</v>
      </c>
      <c r="J1033" s="21">
        <v>1</v>
      </c>
      <c r="K1033" s="22">
        <v>0</v>
      </c>
      <c r="O1033" s="20">
        <v>23809.523809999999</v>
      </c>
      <c r="P1033" s="21">
        <v>0</v>
      </c>
    </row>
    <row r="1034" spans="1:16" x14ac:dyDescent="0.3">
      <c r="A1034" s="15">
        <v>3066</v>
      </c>
      <c r="B1034" s="16">
        <v>50000</v>
      </c>
      <c r="C1034" s="17" t="s">
        <v>14</v>
      </c>
      <c r="D1034" s="17">
        <v>0</v>
      </c>
      <c r="E1034" s="17">
        <v>0</v>
      </c>
      <c r="F1034" s="17">
        <v>1</v>
      </c>
      <c r="G1034" s="17">
        <v>0</v>
      </c>
      <c r="H1034" s="17">
        <v>1</v>
      </c>
      <c r="I1034" s="17" t="s">
        <v>18</v>
      </c>
      <c r="J1034" s="17">
        <v>1</v>
      </c>
      <c r="K1034" s="18">
        <v>0</v>
      </c>
      <c r="O1034" s="16">
        <v>50000</v>
      </c>
      <c r="P1034" s="17">
        <v>1</v>
      </c>
    </row>
    <row r="1035" spans="1:16" x14ac:dyDescent="0.3">
      <c r="A1035" s="19">
        <v>3096</v>
      </c>
      <c r="B1035" s="20">
        <v>140000</v>
      </c>
      <c r="C1035" s="21" t="s">
        <v>14</v>
      </c>
      <c r="D1035" s="21">
        <v>0</v>
      </c>
      <c r="E1035" s="21">
        <v>0</v>
      </c>
      <c r="F1035" s="21">
        <v>0</v>
      </c>
      <c r="G1035" s="21">
        <v>1</v>
      </c>
      <c r="H1035" s="21">
        <v>0</v>
      </c>
      <c r="I1035" s="21" t="s">
        <v>17</v>
      </c>
      <c r="J1035" s="21">
        <v>1</v>
      </c>
      <c r="K1035" s="22">
        <v>0</v>
      </c>
      <c r="O1035" s="20">
        <v>140000</v>
      </c>
      <c r="P1035" s="21">
        <v>0</v>
      </c>
    </row>
    <row r="1036" spans="1:16" x14ac:dyDescent="0.3">
      <c r="A1036" s="15">
        <v>3101</v>
      </c>
      <c r="B1036" s="16">
        <v>150000</v>
      </c>
      <c r="C1036" s="17" t="s">
        <v>14</v>
      </c>
      <c r="D1036" s="17">
        <v>0</v>
      </c>
      <c r="E1036" s="17">
        <v>1</v>
      </c>
      <c r="F1036" s="17">
        <v>0</v>
      </c>
      <c r="G1036" s="17">
        <v>1</v>
      </c>
      <c r="H1036" s="17">
        <v>0</v>
      </c>
      <c r="I1036" s="17" t="s">
        <v>17</v>
      </c>
      <c r="J1036" s="17">
        <v>0</v>
      </c>
      <c r="K1036" s="18">
        <v>0</v>
      </c>
      <c r="O1036" s="16">
        <v>150000</v>
      </c>
      <c r="P1036" s="17">
        <v>0</v>
      </c>
    </row>
    <row r="1037" spans="1:16" x14ac:dyDescent="0.3">
      <c r="A1037" s="19">
        <v>3105</v>
      </c>
      <c r="B1037" s="20">
        <v>150000</v>
      </c>
      <c r="C1037" s="21" t="s">
        <v>14</v>
      </c>
      <c r="D1037" s="21">
        <v>0</v>
      </c>
      <c r="E1037" s="21">
        <v>0</v>
      </c>
      <c r="F1037" s="21">
        <v>0</v>
      </c>
      <c r="G1037" s="21">
        <v>1</v>
      </c>
      <c r="H1037" s="21">
        <v>0</v>
      </c>
      <c r="I1037" s="21" t="s">
        <v>17</v>
      </c>
      <c r="J1037" s="21">
        <v>1</v>
      </c>
      <c r="K1037" s="22">
        <v>0</v>
      </c>
      <c r="O1037" s="20">
        <v>150000</v>
      </c>
      <c r="P1037" s="21">
        <v>0</v>
      </c>
    </row>
    <row r="1038" spans="1:16" x14ac:dyDescent="0.3">
      <c r="A1038" s="15">
        <v>3106</v>
      </c>
      <c r="B1038" s="16">
        <v>150000</v>
      </c>
      <c r="C1038" s="17" t="s">
        <v>14</v>
      </c>
      <c r="D1038" s="17">
        <v>0</v>
      </c>
      <c r="E1038" s="17">
        <v>1</v>
      </c>
      <c r="F1038" s="17">
        <v>0</v>
      </c>
      <c r="G1038" s="17">
        <v>1</v>
      </c>
      <c r="H1038" s="17">
        <v>0</v>
      </c>
      <c r="I1038" s="17" t="s">
        <v>17</v>
      </c>
      <c r="J1038" s="17">
        <v>1</v>
      </c>
      <c r="K1038" s="18">
        <v>0</v>
      </c>
      <c r="O1038" s="16">
        <v>150000</v>
      </c>
      <c r="P1038" s="17">
        <v>0</v>
      </c>
    </row>
    <row r="1039" spans="1:16" x14ac:dyDescent="0.3">
      <c r="A1039" s="19">
        <v>3108</v>
      </c>
      <c r="B1039" s="20">
        <v>125000</v>
      </c>
      <c r="C1039" s="21" t="s">
        <v>14</v>
      </c>
      <c r="D1039" s="21">
        <v>0</v>
      </c>
      <c r="E1039" s="21">
        <v>0</v>
      </c>
      <c r="F1039" s="21">
        <v>0</v>
      </c>
      <c r="G1039" s="21">
        <v>1</v>
      </c>
      <c r="H1039" s="21">
        <v>0</v>
      </c>
      <c r="I1039" s="21" t="s">
        <v>17</v>
      </c>
      <c r="J1039" s="21">
        <v>1</v>
      </c>
      <c r="K1039" s="22">
        <v>0</v>
      </c>
      <c r="O1039" s="20">
        <v>125000</v>
      </c>
      <c r="P1039" s="21">
        <v>0</v>
      </c>
    </row>
    <row r="1040" spans="1:16" x14ac:dyDescent="0.3">
      <c r="A1040" s="15">
        <v>3110</v>
      </c>
      <c r="B1040" s="16">
        <v>-31250</v>
      </c>
      <c r="C1040" s="17" t="s">
        <v>14</v>
      </c>
      <c r="D1040" s="17">
        <v>0</v>
      </c>
      <c r="E1040" s="17">
        <v>1</v>
      </c>
      <c r="F1040" s="17">
        <v>0</v>
      </c>
      <c r="G1040" s="17">
        <v>1</v>
      </c>
      <c r="H1040" s="17">
        <v>0</v>
      </c>
      <c r="I1040" s="17" t="s">
        <v>17</v>
      </c>
      <c r="J1040" s="17">
        <v>1</v>
      </c>
      <c r="K1040" s="18">
        <v>0</v>
      </c>
      <c r="O1040" s="16">
        <v>-31250</v>
      </c>
      <c r="P1040" s="17">
        <v>0</v>
      </c>
    </row>
    <row r="1041" spans="1:16" x14ac:dyDescent="0.3">
      <c r="A1041" s="19">
        <v>3114</v>
      </c>
      <c r="B1041" s="20">
        <v>125000</v>
      </c>
      <c r="C1041" s="21" t="s">
        <v>14</v>
      </c>
      <c r="D1041" s="21">
        <v>0</v>
      </c>
      <c r="E1041" s="21">
        <v>0</v>
      </c>
      <c r="F1041" s="21">
        <v>0</v>
      </c>
      <c r="G1041" s="21">
        <v>1</v>
      </c>
      <c r="H1041" s="21">
        <v>0</v>
      </c>
      <c r="I1041" s="21" t="s">
        <v>17</v>
      </c>
      <c r="J1041" s="21">
        <v>1</v>
      </c>
      <c r="K1041" s="22">
        <v>0</v>
      </c>
      <c r="O1041" s="20">
        <v>125000</v>
      </c>
      <c r="P1041" s="21">
        <v>0</v>
      </c>
    </row>
    <row r="1042" spans="1:16" x14ac:dyDescent="0.3">
      <c r="A1042" s="15">
        <v>3117</v>
      </c>
      <c r="B1042" s="16">
        <v>0</v>
      </c>
      <c r="C1042" s="17" t="s">
        <v>14</v>
      </c>
      <c r="D1042" s="17">
        <v>0</v>
      </c>
      <c r="E1042" s="17">
        <v>1</v>
      </c>
      <c r="F1042" s="17">
        <v>0</v>
      </c>
      <c r="G1042" s="17">
        <v>1</v>
      </c>
      <c r="H1042" s="17">
        <v>0</v>
      </c>
      <c r="I1042" s="17" t="s">
        <v>18</v>
      </c>
      <c r="J1042" s="17">
        <v>1</v>
      </c>
      <c r="K1042" s="18">
        <v>0</v>
      </c>
      <c r="O1042" s="16">
        <v>0</v>
      </c>
      <c r="P1042" s="17">
        <v>0</v>
      </c>
    </row>
    <row r="1043" spans="1:16" x14ac:dyDescent="0.3">
      <c r="A1043" s="19">
        <v>3121</v>
      </c>
      <c r="B1043" s="20">
        <v>-4166.6666670000004</v>
      </c>
      <c r="C1043" s="21" t="s">
        <v>14</v>
      </c>
      <c r="D1043" s="21">
        <v>0</v>
      </c>
      <c r="E1043" s="21">
        <v>0</v>
      </c>
      <c r="F1043" s="21">
        <v>0</v>
      </c>
      <c r="G1043" s="21">
        <v>0</v>
      </c>
      <c r="H1043" s="21">
        <v>1</v>
      </c>
      <c r="I1043" s="21" t="s">
        <v>18</v>
      </c>
      <c r="J1043" s="21">
        <v>0</v>
      </c>
      <c r="K1043" s="22">
        <v>0</v>
      </c>
      <c r="O1043" s="20">
        <v>-4166.6666670000004</v>
      </c>
      <c r="P1043" s="21">
        <v>0</v>
      </c>
    </row>
    <row r="1044" spans="1:16" x14ac:dyDescent="0.3">
      <c r="A1044" s="15">
        <v>3135</v>
      </c>
      <c r="B1044" s="16">
        <v>40909.090909999999</v>
      </c>
      <c r="C1044" s="17" t="s">
        <v>14</v>
      </c>
      <c r="D1044" s="17">
        <v>0</v>
      </c>
      <c r="E1044" s="17">
        <v>0</v>
      </c>
      <c r="F1044" s="17">
        <v>0</v>
      </c>
      <c r="G1044" s="17">
        <v>0</v>
      </c>
      <c r="H1044" s="17">
        <v>1</v>
      </c>
      <c r="I1044" s="17" t="s">
        <v>18</v>
      </c>
      <c r="J1044" s="17">
        <v>1</v>
      </c>
      <c r="K1044" s="18">
        <v>1</v>
      </c>
      <c r="O1044" s="16">
        <v>40909.090909999999</v>
      </c>
      <c r="P1044" s="17">
        <v>0</v>
      </c>
    </row>
    <row r="1045" spans="1:16" x14ac:dyDescent="0.3">
      <c r="A1045" s="19">
        <v>3139</v>
      </c>
      <c r="B1045" s="20">
        <v>42307.692309999999</v>
      </c>
      <c r="C1045" s="21" t="s">
        <v>14</v>
      </c>
      <c r="D1045" s="21">
        <v>0</v>
      </c>
      <c r="E1045" s="21">
        <v>0</v>
      </c>
      <c r="F1045" s="21">
        <v>0</v>
      </c>
      <c r="G1045" s="21">
        <v>0</v>
      </c>
      <c r="H1045" s="21">
        <v>1</v>
      </c>
      <c r="I1045" s="21" t="s">
        <v>18</v>
      </c>
      <c r="J1045" s="21">
        <v>1</v>
      </c>
      <c r="K1045" s="22">
        <v>1</v>
      </c>
      <c r="O1045" s="20">
        <v>42307.692309999999</v>
      </c>
      <c r="P1045" s="21">
        <v>0</v>
      </c>
    </row>
    <row r="1046" spans="1:16" x14ac:dyDescent="0.3">
      <c r="A1046" s="15">
        <v>3146</v>
      </c>
      <c r="B1046" s="16">
        <v>18333.333330000001</v>
      </c>
      <c r="C1046" s="17" t="s">
        <v>12</v>
      </c>
      <c r="D1046" s="17">
        <v>1</v>
      </c>
      <c r="E1046" s="17">
        <v>0</v>
      </c>
      <c r="F1046" s="17">
        <v>0</v>
      </c>
      <c r="G1046" s="17">
        <v>0</v>
      </c>
      <c r="H1046" s="17">
        <v>1</v>
      </c>
      <c r="I1046" s="17" t="s">
        <v>18</v>
      </c>
      <c r="J1046" s="17">
        <v>1</v>
      </c>
      <c r="K1046" s="18">
        <v>1</v>
      </c>
      <c r="O1046" s="16">
        <v>18333.333330000001</v>
      </c>
      <c r="P1046" s="17">
        <v>0</v>
      </c>
    </row>
    <row r="1047" spans="1:16" x14ac:dyDescent="0.3">
      <c r="A1047" s="19">
        <v>3148</v>
      </c>
      <c r="B1047" s="20">
        <v>125000</v>
      </c>
      <c r="C1047" s="21" t="s">
        <v>14</v>
      </c>
      <c r="D1047" s="21">
        <v>0</v>
      </c>
      <c r="E1047" s="21">
        <v>0</v>
      </c>
      <c r="F1047" s="21">
        <v>0</v>
      </c>
      <c r="G1047" s="21">
        <v>0</v>
      </c>
      <c r="H1047" s="21">
        <v>1</v>
      </c>
      <c r="I1047" s="21" t="s">
        <v>18</v>
      </c>
      <c r="J1047" s="21">
        <v>0</v>
      </c>
      <c r="K1047" s="22">
        <v>1</v>
      </c>
      <c r="O1047" s="20">
        <v>125000</v>
      </c>
      <c r="P1047" s="21">
        <v>0</v>
      </c>
    </row>
    <row r="1048" spans="1:16" x14ac:dyDescent="0.3">
      <c r="A1048" s="15">
        <v>3150</v>
      </c>
      <c r="B1048" s="16">
        <v>35714.285709999996</v>
      </c>
      <c r="C1048" s="17" t="s">
        <v>14</v>
      </c>
      <c r="D1048" s="17">
        <v>0</v>
      </c>
      <c r="E1048" s="17">
        <v>0</v>
      </c>
      <c r="F1048" s="17">
        <v>0</v>
      </c>
      <c r="G1048" s="17">
        <v>0</v>
      </c>
      <c r="H1048" s="17">
        <v>1</v>
      </c>
      <c r="I1048" s="17" t="s">
        <v>18</v>
      </c>
      <c r="J1048" s="17">
        <v>1</v>
      </c>
      <c r="K1048" s="18">
        <v>1</v>
      </c>
      <c r="O1048" s="16">
        <v>35714.285709999996</v>
      </c>
      <c r="P1048" s="17">
        <v>0</v>
      </c>
    </row>
    <row r="1049" spans="1:16" x14ac:dyDescent="0.3">
      <c r="A1049" s="19">
        <v>3239</v>
      </c>
      <c r="B1049" s="20">
        <v>15000</v>
      </c>
      <c r="C1049" s="21" t="s">
        <v>14</v>
      </c>
      <c r="D1049" s="21">
        <v>0</v>
      </c>
      <c r="E1049" s="21">
        <v>0</v>
      </c>
      <c r="F1049" s="21">
        <v>1</v>
      </c>
      <c r="G1049" s="21">
        <v>0</v>
      </c>
      <c r="H1049" s="21">
        <v>1</v>
      </c>
      <c r="I1049" s="21" t="s">
        <v>18</v>
      </c>
      <c r="J1049" s="21">
        <v>1</v>
      </c>
      <c r="K1049" s="22">
        <v>0</v>
      </c>
      <c r="O1049" s="20">
        <v>15000</v>
      </c>
      <c r="P1049" s="21">
        <v>1</v>
      </c>
    </row>
    <row r="1050" spans="1:16" x14ac:dyDescent="0.3">
      <c r="A1050" s="15">
        <v>3278</v>
      </c>
      <c r="B1050" s="16">
        <v>75000</v>
      </c>
      <c r="C1050" s="17" t="s">
        <v>14</v>
      </c>
      <c r="D1050" s="17">
        <v>0</v>
      </c>
      <c r="E1050" s="17">
        <v>1</v>
      </c>
      <c r="F1050" s="17">
        <v>0</v>
      </c>
      <c r="G1050" s="17">
        <v>1</v>
      </c>
      <c r="H1050" s="17">
        <v>0</v>
      </c>
      <c r="I1050" s="17" t="s">
        <v>17</v>
      </c>
      <c r="J1050" s="17">
        <v>1</v>
      </c>
      <c r="K1050" s="18">
        <v>0</v>
      </c>
      <c r="O1050" s="16">
        <v>75000</v>
      </c>
      <c r="P1050" s="17">
        <v>0</v>
      </c>
    </row>
    <row r="1051" spans="1:16" x14ac:dyDescent="0.3">
      <c r="A1051" s="19">
        <v>3282</v>
      </c>
      <c r="B1051" s="20">
        <v>-12500</v>
      </c>
      <c r="C1051" s="21" t="s">
        <v>14</v>
      </c>
      <c r="D1051" s="21">
        <v>0</v>
      </c>
      <c r="E1051" s="21">
        <v>1</v>
      </c>
      <c r="F1051" s="21">
        <v>0</v>
      </c>
      <c r="G1051" s="21">
        <v>1</v>
      </c>
      <c r="H1051" s="21">
        <v>0</v>
      </c>
      <c r="I1051" s="21" t="s">
        <v>17</v>
      </c>
      <c r="J1051" s="21">
        <v>1</v>
      </c>
      <c r="K1051" s="22">
        <v>0</v>
      </c>
      <c r="O1051" s="20">
        <v>-12500</v>
      </c>
      <c r="P1051" s="21">
        <v>0</v>
      </c>
    </row>
    <row r="1052" spans="1:16" x14ac:dyDescent="0.3">
      <c r="A1052" s="15">
        <v>3283</v>
      </c>
      <c r="B1052" s="16">
        <v>-5000</v>
      </c>
      <c r="C1052" s="17" t="s">
        <v>14</v>
      </c>
      <c r="D1052" s="17">
        <v>0</v>
      </c>
      <c r="E1052" s="17">
        <v>1</v>
      </c>
      <c r="F1052" s="17">
        <v>0</v>
      </c>
      <c r="G1052" s="17">
        <v>1</v>
      </c>
      <c r="H1052" s="17">
        <v>0</v>
      </c>
      <c r="I1052" s="17" t="s">
        <v>17</v>
      </c>
      <c r="J1052" s="17">
        <v>1</v>
      </c>
      <c r="K1052" s="18">
        <v>1</v>
      </c>
      <c r="O1052" s="16">
        <v>-5000</v>
      </c>
      <c r="P1052" s="17">
        <v>0</v>
      </c>
    </row>
    <row r="1053" spans="1:16" x14ac:dyDescent="0.3">
      <c r="A1053" s="19">
        <v>3285</v>
      </c>
      <c r="B1053" s="20">
        <v>-5000</v>
      </c>
      <c r="C1053" s="21" t="s">
        <v>14</v>
      </c>
      <c r="D1053" s="21">
        <v>0</v>
      </c>
      <c r="E1053" s="21">
        <v>0</v>
      </c>
      <c r="F1053" s="21">
        <v>0</v>
      </c>
      <c r="G1053" s="21">
        <v>1</v>
      </c>
      <c r="H1053" s="21">
        <v>0</v>
      </c>
      <c r="I1053" s="21" t="s">
        <v>17</v>
      </c>
      <c r="J1053" s="21">
        <v>0</v>
      </c>
      <c r="K1053" s="22">
        <v>0</v>
      </c>
      <c r="O1053" s="20">
        <v>-5000</v>
      </c>
      <c r="P1053" s="21">
        <v>0</v>
      </c>
    </row>
    <row r="1054" spans="1:16" x14ac:dyDescent="0.3">
      <c r="A1054" s="15">
        <v>3286</v>
      </c>
      <c r="B1054" s="16">
        <v>-5000</v>
      </c>
      <c r="C1054" s="17" t="s">
        <v>14</v>
      </c>
      <c r="D1054" s="17">
        <v>0</v>
      </c>
      <c r="E1054" s="17">
        <v>0</v>
      </c>
      <c r="F1054" s="17">
        <v>0</v>
      </c>
      <c r="G1054" s="17">
        <v>1</v>
      </c>
      <c r="H1054" s="17">
        <v>0</v>
      </c>
      <c r="I1054" s="17" t="s">
        <v>17</v>
      </c>
      <c r="J1054" s="17">
        <v>1</v>
      </c>
      <c r="K1054" s="18">
        <v>0</v>
      </c>
      <c r="O1054" s="16">
        <v>-5000</v>
      </c>
      <c r="P1054" s="17">
        <v>0</v>
      </c>
    </row>
    <row r="1055" spans="1:16" x14ac:dyDescent="0.3">
      <c r="A1055" s="19">
        <v>3287</v>
      </c>
      <c r="B1055" s="20">
        <v>-62500</v>
      </c>
      <c r="C1055" s="21" t="s">
        <v>14</v>
      </c>
      <c r="D1055" s="21">
        <v>0</v>
      </c>
      <c r="E1055" s="21">
        <v>0</v>
      </c>
      <c r="F1055" s="21">
        <v>0</v>
      </c>
      <c r="G1055" s="21">
        <v>1</v>
      </c>
      <c r="H1055" s="21">
        <v>0</v>
      </c>
      <c r="I1055" s="21" t="s">
        <v>17</v>
      </c>
      <c r="J1055" s="21">
        <v>1</v>
      </c>
      <c r="K1055" s="22">
        <v>0</v>
      </c>
      <c r="O1055" s="20">
        <v>-62500</v>
      </c>
      <c r="P1055" s="21">
        <v>0</v>
      </c>
    </row>
    <row r="1056" spans="1:16" x14ac:dyDescent="0.3">
      <c r="A1056" s="15">
        <v>3360</v>
      </c>
      <c r="B1056" s="16">
        <v>4761.9047620000001</v>
      </c>
      <c r="C1056" s="17" t="s">
        <v>14</v>
      </c>
      <c r="D1056" s="17">
        <v>0</v>
      </c>
      <c r="E1056" s="17">
        <v>0</v>
      </c>
      <c r="F1056" s="17">
        <v>0</v>
      </c>
      <c r="G1056" s="17">
        <v>0</v>
      </c>
      <c r="H1056" s="17">
        <v>1</v>
      </c>
      <c r="I1056" s="17" t="s">
        <v>18</v>
      </c>
      <c r="J1056" s="17">
        <v>1</v>
      </c>
      <c r="K1056" s="18">
        <v>0</v>
      </c>
      <c r="O1056" s="16">
        <v>4761.9047620000001</v>
      </c>
      <c r="P1056" s="17">
        <v>0</v>
      </c>
    </row>
    <row r="1057" spans="1:16" x14ac:dyDescent="0.3">
      <c r="A1057" s="19">
        <v>3361</v>
      </c>
      <c r="B1057" s="20">
        <v>-8064.5161289999996</v>
      </c>
      <c r="C1057" s="21" t="s">
        <v>14</v>
      </c>
      <c r="D1057" s="21">
        <v>0</v>
      </c>
      <c r="E1057" s="21">
        <v>0</v>
      </c>
      <c r="F1057" s="21">
        <v>0</v>
      </c>
      <c r="G1057" s="21">
        <v>0</v>
      </c>
      <c r="H1057" s="21">
        <v>1</v>
      </c>
      <c r="I1057" s="21" t="s">
        <v>18</v>
      </c>
      <c r="J1057" s="21">
        <v>1</v>
      </c>
      <c r="K1057" s="22">
        <v>0</v>
      </c>
      <c r="O1057" s="20">
        <v>-8064.5161289999996</v>
      </c>
      <c r="P1057" s="21">
        <v>0</v>
      </c>
    </row>
    <row r="1058" spans="1:16" x14ac:dyDescent="0.3">
      <c r="A1058" s="15">
        <v>3363</v>
      </c>
      <c r="B1058" s="16">
        <v>8333.3333330000005</v>
      </c>
      <c r="C1058" s="17" t="s">
        <v>12</v>
      </c>
      <c r="D1058" s="17">
        <v>1</v>
      </c>
      <c r="E1058" s="17">
        <v>0</v>
      </c>
      <c r="F1058" s="17">
        <v>0</v>
      </c>
      <c r="G1058" s="17">
        <v>0</v>
      </c>
      <c r="H1058" s="17">
        <v>1</v>
      </c>
      <c r="I1058" s="17" t="s">
        <v>18</v>
      </c>
      <c r="J1058" s="17">
        <v>1</v>
      </c>
      <c r="K1058" s="18">
        <v>0</v>
      </c>
      <c r="O1058" s="16">
        <v>8333.3333330000005</v>
      </c>
      <c r="P1058" s="17">
        <v>0</v>
      </c>
    </row>
    <row r="1059" spans="1:16" x14ac:dyDescent="0.3">
      <c r="A1059" s="19">
        <v>3365</v>
      </c>
      <c r="B1059" s="20">
        <v>-6521.7391299999999</v>
      </c>
      <c r="C1059" s="21" t="s">
        <v>14</v>
      </c>
      <c r="D1059" s="21">
        <v>0</v>
      </c>
      <c r="E1059" s="21">
        <v>0</v>
      </c>
      <c r="F1059" s="21">
        <v>0</v>
      </c>
      <c r="G1059" s="21">
        <v>0</v>
      </c>
      <c r="H1059" s="21">
        <v>1</v>
      </c>
      <c r="I1059" s="21" t="s">
        <v>18</v>
      </c>
      <c r="J1059" s="21">
        <v>1</v>
      </c>
      <c r="K1059" s="22">
        <v>0</v>
      </c>
      <c r="O1059" s="20">
        <v>-6521.7391299999999</v>
      </c>
      <c r="P1059" s="21">
        <v>0</v>
      </c>
    </row>
    <row r="1060" spans="1:16" x14ac:dyDescent="0.3">
      <c r="A1060" s="15">
        <v>3373</v>
      </c>
      <c r="B1060" s="16">
        <v>66666.666670000006</v>
      </c>
      <c r="C1060" s="17" t="s">
        <v>14</v>
      </c>
      <c r="D1060" s="17">
        <v>0</v>
      </c>
      <c r="E1060" s="17">
        <v>0</v>
      </c>
      <c r="F1060" s="17">
        <v>0</v>
      </c>
      <c r="G1060" s="17">
        <v>0</v>
      </c>
      <c r="H1060" s="17">
        <v>1</v>
      </c>
      <c r="I1060" s="17" t="s">
        <v>18</v>
      </c>
      <c r="J1060" s="17">
        <v>1</v>
      </c>
      <c r="K1060" s="18">
        <v>1</v>
      </c>
      <c r="O1060" s="16">
        <v>66666.666670000006</v>
      </c>
      <c r="P1060" s="17">
        <v>0</v>
      </c>
    </row>
    <row r="1061" spans="1:16" x14ac:dyDescent="0.3">
      <c r="A1061" s="19">
        <v>3376</v>
      </c>
      <c r="B1061" s="20">
        <v>50000</v>
      </c>
      <c r="C1061" s="21" t="s">
        <v>14</v>
      </c>
      <c r="D1061" s="21">
        <v>0</v>
      </c>
      <c r="E1061" s="21">
        <v>1</v>
      </c>
      <c r="F1061" s="21">
        <v>1</v>
      </c>
      <c r="G1061" s="21">
        <v>1</v>
      </c>
      <c r="H1061" s="21">
        <v>0</v>
      </c>
      <c r="I1061" s="21" t="s">
        <v>18</v>
      </c>
      <c r="J1061" s="21">
        <v>1</v>
      </c>
      <c r="K1061" s="22">
        <v>0</v>
      </c>
      <c r="O1061" s="20">
        <v>50000</v>
      </c>
      <c r="P1061" s="21">
        <v>1</v>
      </c>
    </row>
    <row r="1062" spans="1:16" x14ac:dyDescent="0.3">
      <c r="A1062" s="15">
        <v>3419</v>
      </c>
      <c r="B1062" s="16">
        <v>4000</v>
      </c>
      <c r="C1062" s="17" t="s">
        <v>14</v>
      </c>
      <c r="D1062" s="17">
        <v>0</v>
      </c>
      <c r="E1062" s="17">
        <v>0</v>
      </c>
      <c r="F1062" s="17">
        <v>0</v>
      </c>
      <c r="G1062" s="17">
        <v>0</v>
      </c>
      <c r="H1062" s="17">
        <v>1</v>
      </c>
      <c r="I1062" s="17" t="s">
        <v>18</v>
      </c>
      <c r="J1062" s="17">
        <v>1</v>
      </c>
      <c r="K1062" s="18">
        <v>0</v>
      </c>
      <c r="O1062" s="16">
        <v>4000</v>
      </c>
      <c r="P1062" s="17">
        <v>0</v>
      </c>
    </row>
    <row r="1063" spans="1:16" x14ac:dyDescent="0.3">
      <c r="A1063" s="19">
        <v>3464</v>
      </c>
      <c r="B1063" s="20">
        <v>-11904.7619</v>
      </c>
      <c r="C1063" s="21" t="s">
        <v>14</v>
      </c>
      <c r="D1063" s="21">
        <v>0</v>
      </c>
      <c r="E1063" s="21">
        <v>1</v>
      </c>
      <c r="F1063" s="21">
        <v>0</v>
      </c>
      <c r="G1063" s="21">
        <v>0</v>
      </c>
      <c r="H1063" s="21">
        <v>1</v>
      </c>
      <c r="I1063" s="21" t="s">
        <v>18</v>
      </c>
      <c r="J1063" s="21">
        <v>1</v>
      </c>
      <c r="K1063" s="22">
        <v>0</v>
      </c>
      <c r="O1063" s="20">
        <v>-11904.7619</v>
      </c>
      <c r="P1063" s="21">
        <v>0</v>
      </c>
    </row>
    <row r="1064" spans="1:16" x14ac:dyDescent="0.3">
      <c r="A1064" s="15">
        <v>3465</v>
      </c>
      <c r="B1064" s="16">
        <v>33333.333330000001</v>
      </c>
      <c r="C1064" s="17" t="s">
        <v>14</v>
      </c>
      <c r="D1064" s="17">
        <v>0</v>
      </c>
      <c r="E1064" s="17">
        <v>0</v>
      </c>
      <c r="F1064" s="17">
        <v>0</v>
      </c>
      <c r="G1064" s="17">
        <v>0</v>
      </c>
      <c r="H1064" s="17">
        <v>1</v>
      </c>
      <c r="I1064" s="17" t="s">
        <v>18</v>
      </c>
      <c r="J1064" s="17">
        <v>1</v>
      </c>
      <c r="K1064" s="18">
        <v>0</v>
      </c>
      <c r="O1064" s="16">
        <v>33333.333330000001</v>
      </c>
      <c r="P1064" s="17">
        <v>0</v>
      </c>
    </row>
    <row r="1065" spans="1:16" x14ac:dyDescent="0.3">
      <c r="A1065" s="19">
        <v>3480</v>
      </c>
      <c r="B1065" s="20">
        <v>10000</v>
      </c>
      <c r="C1065" s="21" t="s">
        <v>14</v>
      </c>
      <c r="D1065" s="21">
        <v>0</v>
      </c>
      <c r="E1065" s="21">
        <v>0</v>
      </c>
      <c r="F1065" s="21">
        <v>0</v>
      </c>
      <c r="G1065" s="21">
        <v>0</v>
      </c>
      <c r="H1065" s="21">
        <v>1</v>
      </c>
      <c r="I1065" s="21" t="s">
        <v>18</v>
      </c>
      <c r="J1065" s="21">
        <v>1</v>
      </c>
      <c r="K1065" s="22">
        <v>0</v>
      </c>
      <c r="O1065" s="20">
        <v>10000</v>
      </c>
      <c r="P1065" s="21">
        <v>0</v>
      </c>
    </row>
    <row r="1066" spans="1:16" x14ac:dyDescent="0.3">
      <c r="A1066" s="15">
        <v>3576</v>
      </c>
      <c r="B1066" s="16">
        <v>34615.384619999997</v>
      </c>
      <c r="C1066" s="17" t="s">
        <v>14</v>
      </c>
      <c r="D1066" s="17">
        <v>0</v>
      </c>
      <c r="E1066" s="17">
        <v>0</v>
      </c>
      <c r="F1066" s="17">
        <v>0</v>
      </c>
      <c r="G1066" s="17">
        <v>0</v>
      </c>
      <c r="H1066" s="17">
        <v>1</v>
      </c>
      <c r="I1066" s="17" t="s">
        <v>18</v>
      </c>
      <c r="J1066" s="17">
        <v>1</v>
      </c>
      <c r="K1066" s="18">
        <v>1</v>
      </c>
      <c r="O1066" s="16">
        <v>34615.384619999997</v>
      </c>
      <c r="P1066" s="17">
        <v>0</v>
      </c>
    </row>
    <row r="1067" spans="1:16" x14ac:dyDescent="0.3">
      <c r="A1067" s="19">
        <v>3615</v>
      </c>
      <c r="B1067" s="20">
        <v>100000</v>
      </c>
      <c r="C1067" s="21" t="s">
        <v>14</v>
      </c>
      <c r="D1067" s="21">
        <v>0</v>
      </c>
      <c r="E1067" s="21">
        <v>0</v>
      </c>
      <c r="F1067" s="21">
        <v>0</v>
      </c>
      <c r="G1067" s="21">
        <v>0</v>
      </c>
      <c r="H1067" s="21">
        <v>1</v>
      </c>
      <c r="I1067" s="21" t="s">
        <v>15</v>
      </c>
      <c r="J1067" s="21">
        <v>1</v>
      </c>
      <c r="K1067" s="22">
        <v>0</v>
      </c>
      <c r="O1067" s="20">
        <v>100000</v>
      </c>
      <c r="P1067" s="21">
        <v>0</v>
      </c>
    </row>
    <row r="1068" spans="1:16" x14ac:dyDescent="0.3">
      <c r="A1068" s="15">
        <v>3619</v>
      </c>
      <c r="B1068" s="16">
        <v>82857.142860000007</v>
      </c>
      <c r="C1068" s="17" t="s">
        <v>14</v>
      </c>
      <c r="D1068" s="17">
        <v>0</v>
      </c>
      <c r="E1068" s="17">
        <v>0</v>
      </c>
      <c r="F1068" s="17">
        <v>0</v>
      </c>
      <c r="G1068" s="17">
        <v>0</v>
      </c>
      <c r="H1068" s="17">
        <v>1</v>
      </c>
      <c r="I1068" s="17" t="s">
        <v>15</v>
      </c>
      <c r="J1068" s="17">
        <v>1</v>
      </c>
      <c r="K1068" s="18">
        <v>1</v>
      </c>
      <c r="O1068" s="16">
        <v>82857.142860000007</v>
      </c>
      <c r="P1068" s="17">
        <v>0</v>
      </c>
    </row>
    <row r="1069" spans="1:16" x14ac:dyDescent="0.3">
      <c r="A1069" s="19">
        <v>3620</v>
      </c>
      <c r="B1069" s="20">
        <v>145000</v>
      </c>
      <c r="C1069" s="21" t="s">
        <v>14</v>
      </c>
      <c r="D1069" s="21">
        <v>0</v>
      </c>
      <c r="E1069" s="21">
        <v>0</v>
      </c>
      <c r="F1069" s="21">
        <v>0</v>
      </c>
      <c r="G1069" s="21">
        <v>0</v>
      </c>
      <c r="H1069" s="21">
        <v>1</v>
      </c>
      <c r="I1069" s="21" t="s">
        <v>15</v>
      </c>
      <c r="J1069" s="21">
        <v>0</v>
      </c>
      <c r="K1069" s="22">
        <v>1</v>
      </c>
      <c r="O1069" s="20">
        <v>145000</v>
      </c>
      <c r="P1069" s="21">
        <v>0</v>
      </c>
    </row>
    <row r="1070" spans="1:16" x14ac:dyDescent="0.3">
      <c r="A1070" s="15">
        <v>3621</v>
      </c>
      <c r="B1070" s="16">
        <v>50000</v>
      </c>
      <c r="C1070" s="17" t="s">
        <v>14</v>
      </c>
      <c r="D1070" s="17">
        <v>0</v>
      </c>
      <c r="E1070" s="17">
        <v>1</v>
      </c>
      <c r="F1070" s="17">
        <v>0</v>
      </c>
      <c r="G1070" s="17">
        <v>0</v>
      </c>
      <c r="H1070" s="17">
        <v>1</v>
      </c>
      <c r="I1070" s="17" t="s">
        <v>15</v>
      </c>
      <c r="J1070" s="17">
        <v>1</v>
      </c>
      <c r="K1070" s="18">
        <v>0</v>
      </c>
      <c r="O1070" s="16">
        <v>50000</v>
      </c>
      <c r="P1070" s="17">
        <v>0</v>
      </c>
    </row>
    <row r="1071" spans="1:16" x14ac:dyDescent="0.3">
      <c r="A1071" s="19">
        <v>3625</v>
      </c>
      <c r="B1071" s="20">
        <v>66666.666670000006</v>
      </c>
      <c r="C1071" s="21" t="s">
        <v>14</v>
      </c>
      <c r="D1071" s="21">
        <v>0</v>
      </c>
      <c r="E1071" s="21">
        <v>0</v>
      </c>
      <c r="F1071" s="21">
        <v>0</v>
      </c>
      <c r="G1071" s="21">
        <v>0</v>
      </c>
      <c r="H1071" s="21">
        <v>1</v>
      </c>
      <c r="I1071" s="21" t="s">
        <v>15</v>
      </c>
      <c r="J1071" s="21">
        <v>1</v>
      </c>
      <c r="K1071" s="22">
        <v>0</v>
      </c>
      <c r="O1071" s="20">
        <v>66666.666670000006</v>
      </c>
      <c r="P1071" s="21">
        <v>0</v>
      </c>
    </row>
    <row r="1072" spans="1:16" x14ac:dyDescent="0.3">
      <c r="A1072" s="15">
        <v>3626</v>
      </c>
      <c r="B1072" s="16">
        <v>100000</v>
      </c>
      <c r="C1072" s="17" t="s">
        <v>14</v>
      </c>
      <c r="D1072" s="17">
        <v>0</v>
      </c>
      <c r="E1072" s="17">
        <v>0</v>
      </c>
      <c r="F1072" s="17">
        <v>0</v>
      </c>
      <c r="G1072" s="17">
        <v>0</v>
      </c>
      <c r="H1072" s="17">
        <v>1</v>
      </c>
      <c r="I1072" s="17" t="s">
        <v>15</v>
      </c>
      <c r="J1072" s="17">
        <v>1</v>
      </c>
      <c r="K1072" s="18">
        <v>1</v>
      </c>
      <c r="O1072" s="16">
        <v>100000</v>
      </c>
      <c r="P1072" s="17">
        <v>0</v>
      </c>
    </row>
    <row r="1073" spans="1:16" x14ac:dyDescent="0.3">
      <c r="A1073" s="19">
        <v>3627</v>
      </c>
      <c r="B1073" s="20">
        <v>136363.63639999999</v>
      </c>
      <c r="C1073" s="21" t="s">
        <v>12</v>
      </c>
      <c r="D1073" s="21">
        <v>1</v>
      </c>
      <c r="E1073" s="21">
        <v>0</v>
      </c>
      <c r="F1073" s="21">
        <v>0</v>
      </c>
      <c r="G1073" s="21">
        <v>0</v>
      </c>
      <c r="H1073" s="21">
        <v>1</v>
      </c>
      <c r="I1073" s="21" t="s">
        <v>15</v>
      </c>
      <c r="J1073" s="21">
        <v>1</v>
      </c>
      <c r="K1073" s="22">
        <v>0</v>
      </c>
      <c r="O1073" s="20">
        <v>136363.63639999999</v>
      </c>
      <c r="P1073" s="21">
        <v>0</v>
      </c>
    </row>
    <row r="1074" spans="1:16" x14ac:dyDescent="0.3">
      <c r="A1074" s="15">
        <v>3631</v>
      </c>
      <c r="B1074" s="16">
        <v>-5714.2857139999996</v>
      </c>
      <c r="C1074" s="17" t="s">
        <v>14</v>
      </c>
      <c r="D1074" s="17">
        <v>0</v>
      </c>
      <c r="E1074" s="17">
        <v>0</v>
      </c>
      <c r="F1074" s="17">
        <v>0</v>
      </c>
      <c r="G1074" s="17">
        <v>0</v>
      </c>
      <c r="H1074" s="17">
        <v>1</v>
      </c>
      <c r="I1074" s="17" t="s">
        <v>15</v>
      </c>
      <c r="J1074" s="17">
        <v>1</v>
      </c>
      <c r="K1074" s="18">
        <v>1</v>
      </c>
      <c r="O1074" s="16">
        <v>-5714.2857139999996</v>
      </c>
      <c r="P1074" s="17">
        <v>0</v>
      </c>
    </row>
    <row r="1075" spans="1:16" x14ac:dyDescent="0.3">
      <c r="A1075" s="19">
        <v>3634</v>
      </c>
      <c r="B1075" s="20">
        <v>111111.11109999999</v>
      </c>
      <c r="C1075" s="21" t="s">
        <v>14</v>
      </c>
      <c r="D1075" s="21">
        <v>0</v>
      </c>
      <c r="E1075" s="21">
        <v>0</v>
      </c>
      <c r="F1075" s="21">
        <v>0</v>
      </c>
      <c r="G1075" s="21">
        <v>0</v>
      </c>
      <c r="H1075" s="21">
        <v>1</v>
      </c>
      <c r="I1075" s="21" t="s">
        <v>15</v>
      </c>
      <c r="J1075" s="21">
        <v>1</v>
      </c>
      <c r="K1075" s="22">
        <v>1</v>
      </c>
      <c r="O1075" s="20">
        <v>111111.11109999999</v>
      </c>
      <c r="P1075" s="21">
        <v>0</v>
      </c>
    </row>
    <row r="1076" spans="1:16" x14ac:dyDescent="0.3">
      <c r="A1076" s="15">
        <v>3635</v>
      </c>
      <c r="B1076" s="16">
        <v>100000</v>
      </c>
      <c r="C1076" s="17" t="s">
        <v>14</v>
      </c>
      <c r="D1076" s="17">
        <v>0</v>
      </c>
      <c r="E1076" s="17">
        <v>0</v>
      </c>
      <c r="F1076" s="17">
        <v>0</v>
      </c>
      <c r="G1076" s="17">
        <v>0</v>
      </c>
      <c r="H1076" s="17">
        <v>1</v>
      </c>
      <c r="I1076" s="17" t="s">
        <v>15</v>
      </c>
      <c r="J1076" s="17">
        <v>1</v>
      </c>
      <c r="K1076" s="18">
        <v>0</v>
      </c>
      <c r="O1076" s="16">
        <v>100000</v>
      </c>
      <c r="P1076" s="17">
        <v>0</v>
      </c>
    </row>
    <row r="1077" spans="1:16" x14ac:dyDescent="0.3">
      <c r="A1077" s="19">
        <v>3636</v>
      </c>
      <c r="B1077" s="20">
        <v>136363.63639999999</v>
      </c>
      <c r="C1077" s="21" t="s">
        <v>14</v>
      </c>
      <c r="D1077" s="21">
        <v>0</v>
      </c>
      <c r="E1077" s="21">
        <v>0</v>
      </c>
      <c r="F1077" s="21">
        <v>0</v>
      </c>
      <c r="G1077" s="21">
        <v>0</v>
      </c>
      <c r="H1077" s="21">
        <v>1</v>
      </c>
      <c r="I1077" s="21" t="s">
        <v>15</v>
      </c>
      <c r="J1077" s="21">
        <v>1</v>
      </c>
      <c r="K1077" s="22">
        <v>0</v>
      </c>
      <c r="O1077" s="20">
        <v>136363.63639999999</v>
      </c>
      <c r="P1077" s="21">
        <v>0</v>
      </c>
    </row>
    <row r="1078" spans="1:16" x14ac:dyDescent="0.3">
      <c r="A1078" s="15">
        <v>3637</v>
      </c>
      <c r="B1078" s="16">
        <v>95000</v>
      </c>
      <c r="C1078" s="17" t="s">
        <v>14</v>
      </c>
      <c r="D1078" s="17">
        <v>0</v>
      </c>
      <c r="E1078" s="17">
        <v>0</v>
      </c>
      <c r="F1078" s="17">
        <v>0</v>
      </c>
      <c r="G1078" s="17">
        <v>0</v>
      </c>
      <c r="H1078" s="17">
        <v>1</v>
      </c>
      <c r="I1078" s="17" t="s">
        <v>15</v>
      </c>
      <c r="J1078" s="17">
        <v>1</v>
      </c>
      <c r="K1078" s="18">
        <v>1</v>
      </c>
      <c r="O1078" s="16">
        <v>95000</v>
      </c>
      <c r="P1078" s="17">
        <v>0</v>
      </c>
    </row>
    <row r="1079" spans="1:16" x14ac:dyDescent="0.3">
      <c r="A1079" s="19">
        <v>3641</v>
      </c>
      <c r="B1079" s="20">
        <v>100000</v>
      </c>
      <c r="C1079" s="21" t="s">
        <v>12</v>
      </c>
      <c r="D1079" s="21">
        <v>1</v>
      </c>
      <c r="E1079" s="21">
        <v>0</v>
      </c>
      <c r="F1079" s="21">
        <v>0</v>
      </c>
      <c r="G1079" s="21">
        <v>0</v>
      </c>
      <c r="H1079" s="21">
        <v>1</v>
      </c>
      <c r="I1079" s="21" t="s">
        <v>15</v>
      </c>
      <c r="J1079" s="21">
        <v>1</v>
      </c>
      <c r="K1079" s="22">
        <v>1</v>
      </c>
      <c r="O1079" s="20">
        <v>100000</v>
      </c>
      <c r="P1079" s="21">
        <v>0</v>
      </c>
    </row>
    <row r="1080" spans="1:16" x14ac:dyDescent="0.3">
      <c r="A1080" s="15">
        <v>3647</v>
      </c>
      <c r="B1080" s="16">
        <v>100000</v>
      </c>
      <c r="C1080" s="17" t="s">
        <v>14</v>
      </c>
      <c r="D1080" s="17">
        <v>0</v>
      </c>
      <c r="E1080" s="17">
        <v>0</v>
      </c>
      <c r="F1080" s="17">
        <v>0</v>
      </c>
      <c r="G1080" s="17">
        <v>0</v>
      </c>
      <c r="H1080" s="17">
        <v>1</v>
      </c>
      <c r="I1080" s="17" t="s">
        <v>15</v>
      </c>
      <c r="J1080" s="17">
        <v>1</v>
      </c>
      <c r="K1080" s="18">
        <v>0</v>
      </c>
      <c r="O1080" s="16">
        <v>100000</v>
      </c>
      <c r="P1080" s="17">
        <v>0</v>
      </c>
    </row>
    <row r="1081" spans="1:16" x14ac:dyDescent="0.3">
      <c r="A1081" s="19">
        <v>3649</v>
      </c>
      <c r="B1081" s="20">
        <v>25000</v>
      </c>
      <c r="C1081" s="21" t="s">
        <v>14</v>
      </c>
      <c r="D1081" s="21">
        <v>0</v>
      </c>
      <c r="E1081" s="21">
        <v>0</v>
      </c>
      <c r="F1081" s="21">
        <v>0</v>
      </c>
      <c r="G1081" s="21">
        <v>0</v>
      </c>
      <c r="H1081" s="21">
        <v>1</v>
      </c>
      <c r="I1081" s="21" t="s">
        <v>15</v>
      </c>
      <c r="J1081" s="21">
        <v>1</v>
      </c>
      <c r="K1081" s="22">
        <v>0</v>
      </c>
      <c r="O1081" s="20">
        <v>25000</v>
      </c>
      <c r="P1081" s="21">
        <v>0</v>
      </c>
    </row>
    <row r="1082" spans="1:16" x14ac:dyDescent="0.3">
      <c r="A1082" s="15">
        <v>3652</v>
      </c>
      <c r="B1082" s="16">
        <v>83333.333329999994</v>
      </c>
      <c r="C1082" s="17" t="s">
        <v>14</v>
      </c>
      <c r="D1082" s="17">
        <v>0</v>
      </c>
      <c r="E1082" s="17">
        <v>0</v>
      </c>
      <c r="F1082" s="17">
        <v>0</v>
      </c>
      <c r="G1082" s="17">
        <v>0</v>
      </c>
      <c r="H1082" s="17">
        <v>1</v>
      </c>
      <c r="I1082" s="17" t="s">
        <v>15</v>
      </c>
      <c r="J1082" s="17">
        <v>1</v>
      </c>
      <c r="K1082" s="18">
        <v>0</v>
      </c>
      <c r="O1082" s="16">
        <v>83333.333329999994</v>
      </c>
      <c r="P1082" s="17">
        <v>0</v>
      </c>
    </row>
    <row r="1083" spans="1:16" x14ac:dyDescent="0.3">
      <c r="A1083" s="19">
        <v>3653</v>
      </c>
      <c r="B1083" s="20">
        <v>36904.761899999998</v>
      </c>
      <c r="C1083" s="21" t="s">
        <v>14</v>
      </c>
      <c r="D1083" s="21">
        <v>0</v>
      </c>
      <c r="E1083" s="21">
        <v>0</v>
      </c>
      <c r="F1083" s="21">
        <v>0</v>
      </c>
      <c r="G1083" s="21">
        <v>0</v>
      </c>
      <c r="H1083" s="21">
        <v>1</v>
      </c>
      <c r="I1083" s="21" t="s">
        <v>15</v>
      </c>
      <c r="J1083" s="21">
        <v>1</v>
      </c>
      <c r="K1083" s="22">
        <v>0</v>
      </c>
      <c r="O1083" s="20">
        <v>36904.761899999998</v>
      </c>
      <c r="P1083" s="21">
        <v>0</v>
      </c>
    </row>
    <row r="1084" spans="1:16" x14ac:dyDescent="0.3">
      <c r="A1084" s="15">
        <v>3654</v>
      </c>
      <c r="B1084" s="16">
        <v>100000</v>
      </c>
      <c r="C1084" s="17" t="s">
        <v>12</v>
      </c>
      <c r="D1084" s="17">
        <v>1</v>
      </c>
      <c r="E1084" s="17">
        <v>0</v>
      </c>
      <c r="F1084" s="17">
        <v>0</v>
      </c>
      <c r="G1084" s="17">
        <v>0</v>
      </c>
      <c r="H1084" s="17">
        <v>1</v>
      </c>
      <c r="I1084" s="17" t="s">
        <v>15</v>
      </c>
      <c r="J1084" s="17">
        <v>1</v>
      </c>
      <c r="K1084" s="18">
        <v>0</v>
      </c>
      <c r="O1084" s="16">
        <v>100000</v>
      </c>
      <c r="P1084" s="17">
        <v>0</v>
      </c>
    </row>
    <row r="1085" spans="1:16" x14ac:dyDescent="0.3">
      <c r="A1085" s="19">
        <v>3656</v>
      </c>
      <c r="B1085" s="20">
        <v>40000</v>
      </c>
      <c r="C1085" s="21" t="s">
        <v>14</v>
      </c>
      <c r="D1085" s="21">
        <v>0</v>
      </c>
      <c r="E1085" s="21">
        <v>0</v>
      </c>
      <c r="F1085" s="21">
        <v>0</v>
      </c>
      <c r="G1085" s="21">
        <v>0</v>
      </c>
      <c r="H1085" s="21">
        <v>1</v>
      </c>
      <c r="I1085" s="21" t="s">
        <v>15</v>
      </c>
      <c r="J1085" s="21">
        <v>1</v>
      </c>
      <c r="K1085" s="22">
        <v>0</v>
      </c>
      <c r="O1085" s="20">
        <v>40000</v>
      </c>
      <c r="P1085" s="21">
        <v>0</v>
      </c>
    </row>
    <row r="1086" spans="1:16" x14ac:dyDescent="0.3">
      <c r="A1086" s="15">
        <v>3661</v>
      </c>
      <c r="B1086" s="16">
        <v>75000</v>
      </c>
      <c r="C1086" s="17" t="s">
        <v>14</v>
      </c>
      <c r="D1086" s="17">
        <v>0</v>
      </c>
      <c r="E1086" s="17">
        <v>0</v>
      </c>
      <c r="F1086" s="17">
        <v>0</v>
      </c>
      <c r="G1086" s="17">
        <v>0</v>
      </c>
      <c r="H1086" s="17">
        <v>1</v>
      </c>
      <c r="I1086" s="17" t="s">
        <v>15</v>
      </c>
      <c r="J1086" s="17">
        <v>1</v>
      </c>
      <c r="K1086" s="18">
        <v>0</v>
      </c>
      <c r="O1086" s="16">
        <v>75000</v>
      </c>
      <c r="P1086" s="17">
        <v>0</v>
      </c>
    </row>
    <row r="1087" spans="1:16" x14ac:dyDescent="0.3">
      <c r="A1087" s="19">
        <v>3672</v>
      </c>
      <c r="B1087" s="20">
        <v>70093.457939999993</v>
      </c>
      <c r="C1087" s="21" t="s">
        <v>14</v>
      </c>
      <c r="D1087" s="21">
        <v>0</v>
      </c>
      <c r="E1087" s="21">
        <v>0</v>
      </c>
      <c r="F1087" s="21">
        <v>0</v>
      </c>
      <c r="G1087" s="21">
        <v>0</v>
      </c>
      <c r="H1087" s="21">
        <v>1</v>
      </c>
      <c r="I1087" s="21" t="s">
        <v>15</v>
      </c>
      <c r="J1087" s="21">
        <v>1</v>
      </c>
      <c r="K1087" s="22">
        <v>0</v>
      </c>
      <c r="O1087" s="20">
        <v>70093.457939999993</v>
      </c>
      <c r="P1087" s="21">
        <v>0</v>
      </c>
    </row>
    <row r="1088" spans="1:16" x14ac:dyDescent="0.3">
      <c r="A1088" s="15">
        <v>3673</v>
      </c>
      <c r="B1088" s="16">
        <v>32258.06452</v>
      </c>
      <c r="C1088" s="17" t="s">
        <v>14</v>
      </c>
      <c r="D1088" s="17">
        <v>0</v>
      </c>
      <c r="E1088" s="17">
        <v>0</v>
      </c>
      <c r="F1088" s="17">
        <v>1</v>
      </c>
      <c r="G1088" s="17">
        <v>0</v>
      </c>
      <c r="H1088" s="17">
        <v>1</v>
      </c>
      <c r="I1088" s="17" t="s">
        <v>15</v>
      </c>
      <c r="J1088" s="17">
        <v>1</v>
      </c>
      <c r="K1088" s="18">
        <v>0</v>
      </c>
      <c r="O1088" s="16">
        <v>32258.06452</v>
      </c>
      <c r="P1088" s="17">
        <v>1</v>
      </c>
    </row>
    <row r="1089" spans="1:16" x14ac:dyDescent="0.3">
      <c r="A1089" s="19">
        <v>3674</v>
      </c>
      <c r="B1089" s="20">
        <v>83333.333329999994</v>
      </c>
      <c r="C1089" s="21" t="s">
        <v>14</v>
      </c>
      <c r="D1089" s="21">
        <v>0</v>
      </c>
      <c r="E1089" s="21">
        <v>0</v>
      </c>
      <c r="F1089" s="21">
        <v>0</v>
      </c>
      <c r="G1089" s="21">
        <v>0</v>
      </c>
      <c r="H1089" s="21">
        <v>1</v>
      </c>
      <c r="I1089" s="21" t="s">
        <v>15</v>
      </c>
      <c r="J1089" s="21">
        <v>1</v>
      </c>
      <c r="K1089" s="22">
        <v>0</v>
      </c>
      <c r="O1089" s="20">
        <v>83333.333329999994</v>
      </c>
      <c r="P1089" s="21">
        <v>0</v>
      </c>
    </row>
    <row r="1090" spans="1:16" x14ac:dyDescent="0.3">
      <c r="A1090" s="15">
        <v>3677</v>
      </c>
      <c r="B1090" s="16">
        <v>50000</v>
      </c>
      <c r="C1090" s="17" t="s">
        <v>14</v>
      </c>
      <c r="D1090" s="17">
        <v>0</v>
      </c>
      <c r="E1090" s="17">
        <v>0</v>
      </c>
      <c r="F1090" s="17">
        <v>0</v>
      </c>
      <c r="G1090" s="17">
        <v>0</v>
      </c>
      <c r="H1090" s="17">
        <v>1</v>
      </c>
      <c r="I1090" s="17" t="s">
        <v>15</v>
      </c>
      <c r="J1090" s="17">
        <v>1</v>
      </c>
      <c r="K1090" s="18">
        <v>0</v>
      </c>
      <c r="O1090" s="16">
        <v>50000</v>
      </c>
      <c r="P1090" s="17">
        <v>0</v>
      </c>
    </row>
    <row r="1091" spans="1:16" x14ac:dyDescent="0.3">
      <c r="A1091" s="19">
        <v>3681</v>
      </c>
      <c r="B1091" s="20">
        <v>50000</v>
      </c>
      <c r="C1091" s="21" t="s">
        <v>12</v>
      </c>
      <c r="D1091" s="21">
        <v>1</v>
      </c>
      <c r="E1091" s="21">
        <v>0</v>
      </c>
      <c r="F1091" s="21">
        <v>0</v>
      </c>
      <c r="G1091" s="21">
        <v>0</v>
      </c>
      <c r="H1091" s="21">
        <v>1</v>
      </c>
      <c r="I1091" s="21" t="s">
        <v>15</v>
      </c>
      <c r="J1091" s="21">
        <v>0</v>
      </c>
      <c r="K1091" s="22">
        <v>0</v>
      </c>
      <c r="O1091" s="20">
        <v>50000</v>
      </c>
      <c r="P1091" s="21">
        <v>0</v>
      </c>
    </row>
    <row r="1092" spans="1:16" x14ac:dyDescent="0.3">
      <c r="A1092" s="15">
        <v>3694</v>
      </c>
      <c r="B1092" s="16">
        <v>150000</v>
      </c>
      <c r="C1092" s="17" t="s">
        <v>12</v>
      </c>
      <c r="D1092" s="17">
        <v>1</v>
      </c>
      <c r="E1092" s="17">
        <v>0</v>
      </c>
      <c r="F1092" s="17">
        <v>0</v>
      </c>
      <c r="G1092" s="17">
        <v>0</v>
      </c>
      <c r="H1092" s="17">
        <v>1</v>
      </c>
      <c r="I1092" s="17" t="s">
        <v>15</v>
      </c>
      <c r="J1092" s="17">
        <v>1</v>
      </c>
      <c r="K1092" s="18">
        <v>0</v>
      </c>
      <c r="O1092" s="16">
        <v>150000</v>
      </c>
      <c r="P1092" s="17">
        <v>0</v>
      </c>
    </row>
    <row r="1093" spans="1:16" x14ac:dyDescent="0.3">
      <c r="A1093" s="19">
        <v>3695</v>
      </c>
      <c r="B1093" s="20">
        <v>100000</v>
      </c>
      <c r="C1093" s="21" t="s">
        <v>14</v>
      </c>
      <c r="D1093" s="21">
        <v>0</v>
      </c>
      <c r="E1093" s="21">
        <v>0</v>
      </c>
      <c r="F1093" s="21">
        <v>0</v>
      </c>
      <c r="G1093" s="21">
        <v>0</v>
      </c>
      <c r="H1093" s="21">
        <v>1</v>
      </c>
      <c r="I1093" s="21" t="s">
        <v>15</v>
      </c>
      <c r="J1093" s="21">
        <v>1</v>
      </c>
      <c r="K1093" s="22">
        <v>0</v>
      </c>
      <c r="O1093" s="20">
        <v>100000</v>
      </c>
      <c r="P1093" s="21">
        <v>0</v>
      </c>
    </row>
    <row r="1094" spans="1:16" x14ac:dyDescent="0.3">
      <c r="A1094" s="15">
        <v>3696</v>
      </c>
      <c r="B1094" s="16">
        <v>100000</v>
      </c>
      <c r="C1094" s="17" t="s">
        <v>12</v>
      </c>
      <c r="D1094" s="17">
        <v>1</v>
      </c>
      <c r="E1094" s="17">
        <v>0</v>
      </c>
      <c r="F1094" s="17">
        <v>0</v>
      </c>
      <c r="G1094" s="17">
        <v>0</v>
      </c>
      <c r="H1094" s="17">
        <v>1</v>
      </c>
      <c r="I1094" s="17" t="s">
        <v>15</v>
      </c>
      <c r="J1094" s="17">
        <v>1</v>
      </c>
      <c r="K1094" s="18">
        <v>0</v>
      </c>
      <c r="O1094" s="16">
        <v>100000</v>
      </c>
      <c r="P1094" s="17">
        <v>0</v>
      </c>
    </row>
    <row r="1095" spans="1:16" x14ac:dyDescent="0.3">
      <c r="A1095" s="19">
        <v>3697</v>
      </c>
      <c r="B1095" s="20">
        <v>68493.150680000006</v>
      </c>
      <c r="C1095" s="21" t="s">
        <v>12</v>
      </c>
      <c r="D1095" s="21">
        <v>1</v>
      </c>
      <c r="E1095" s="21">
        <v>0</v>
      </c>
      <c r="F1095" s="21">
        <v>0</v>
      </c>
      <c r="G1095" s="21">
        <v>0</v>
      </c>
      <c r="H1095" s="21">
        <v>1</v>
      </c>
      <c r="I1095" s="21" t="s">
        <v>15</v>
      </c>
      <c r="J1095" s="21">
        <v>1</v>
      </c>
      <c r="K1095" s="22">
        <v>0</v>
      </c>
      <c r="O1095" s="20">
        <v>68493.150680000006</v>
      </c>
      <c r="P1095" s="21">
        <v>0</v>
      </c>
    </row>
    <row r="1096" spans="1:16" x14ac:dyDescent="0.3">
      <c r="A1096" s="15">
        <v>3699</v>
      </c>
      <c r="B1096" s="16">
        <v>100000</v>
      </c>
      <c r="C1096" s="17" t="s">
        <v>14</v>
      </c>
      <c r="D1096" s="17">
        <v>0</v>
      </c>
      <c r="E1096" s="17">
        <v>0</v>
      </c>
      <c r="F1096" s="17">
        <v>0</v>
      </c>
      <c r="G1096" s="17">
        <v>0</v>
      </c>
      <c r="H1096" s="17">
        <v>1</v>
      </c>
      <c r="I1096" s="17" t="s">
        <v>15</v>
      </c>
      <c r="J1096" s="17">
        <v>1</v>
      </c>
      <c r="K1096" s="18">
        <v>0</v>
      </c>
      <c r="O1096" s="16">
        <v>100000</v>
      </c>
      <c r="P1096" s="17">
        <v>0</v>
      </c>
    </row>
    <row r="1097" spans="1:16" x14ac:dyDescent="0.3">
      <c r="A1097" s="19">
        <v>3704</v>
      </c>
      <c r="B1097" s="20">
        <v>136363.63639999999</v>
      </c>
      <c r="C1097" s="21" t="s">
        <v>14</v>
      </c>
      <c r="D1097" s="21">
        <v>0</v>
      </c>
      <c r="E1097" s="21">
        <v>0</v>
      </c>
      <c r="F1097" s="21">
        <v>0</v>
      </c>
      <c r="G1097" s="21">
        <v>0</v>
      </c>
      <c r="H1097" s="21">
        <v>1</v>
      </c>
      <c r="I1097" s="21" t="s">
        <v>15</v>
      </c>
      <c r="J1097" s="21">
        <v>1</v>
      </c>
      <c r="K1097" s="22">
        <v>0</v>
      </c>
      <c r="O1097" s="20">
        <v>136363.63639999999</v>
      </c>
      <c r="P1097" s="21">
        <v>0</v>
      </c>
    </row>
    <row r="1098" spans="1:16" x14ac:dyDescent="0.3">
      <c r="A1098" s="15">
        <v>3713</v>
      </c>
      <c r="B1098" s="16">
        <v>5000</v>
      </c>
      <c r="C1098" s="17" t="s">
        <v>14</v>
      </c>
      <c r="D1098" s="17">
        <v>0</v>
      </c>
      <c r="E1098" s="17">
        <v>0</v>
      </c>
      <c r="F1098" s="17">
        <v>0</v>
      </c>
      <c r="G1098" s="17">
        <v>0</v>
      </c>
      <c r="H1098" s="17">
        <v>1</v>
      </c>
      <c r="I1098" s="17" t="s">
        <v>16</v>
      </c>
      <c r="J1098" s="17">
        <v>0</v>
      </c>
      <c r="K1098" s="18">
        <v>1</v>
      </c>
      <c r="O1098" s="16">
        <v>5000</v>
      </c>
      <c r="P1098" s="17">
        <v>0</v>
      </c>
    </row>
    <row r="1099" spans="1:16" x14ac:dyDescent="0.3">
      <c r="A1099" s="19">
        <v>3714</v>
      </c>
      <c r="B1099" s="20">
        <v>-40000</v>
      </c>
      <c r="C1099" s="21" t="s">
        <v>14</v>
      </c>
      <c r="D1099" s="21">
        <v>0</v>
      </c>
      <c r="E1099" s="21">
        <v>1</v>
      </c>
      <c r="F1099" s="21">
        <v>0</v>
      </c>
      <c r="G1099" s="21">
        <v>1</v>
      </c>
      <c r="H1099" s="21">
        <v>0</v>
      </c>
      <c r="I1099" s="21" t="s">
        <v>16</v>
      </c>
      <c r="J1099" s="21">
        <v>0</v>
      </c>
      <c r="K1099" s="22">
        <v>1</v>
      </c>
      <c r="O1099" s="20">
        <v>-40000</v>
      </c>
      <c r="P1099" s="21">
        <v>0</v>
      </c>
    </row>
    <row r="1100" spans="1:16" x14ac:dyDescent="0.3">
      <c r="A1100" s="15">
        <v>3715</v>
      </c>
      <c r="B1100" s="16">
        <v>30000</v>
      </c>
      <c r="C1100" s="17" t="s">
        <v>14</v>
      </c>
      <c r="D1100" s="17">
        <v>0</v>
      </c>
      <c r="E1100" s="17">
        <v>1</v>
      </c>
      <c r="F1100" s="17">
        <v>0</v>
      </c>
      <c r="G1100" s="17">
        <v>0</v>
      </c>
      <c r="H1100" s="17">
        <v>1</v>
      </c>
      <c r="I1100" s="17" t="s">
        <v>16</v>
      </c>
      <c r="J1100" s="17">
        <v>1</v>
      </c>
      <c r="K1100" s="18">
        <v>1</v>
      </c>
      <c r="O1100" s="16">
        <v>30000</v>
      </c>
      <c r="P1100" s="17">
        <v>0</v>
      </c>
    </row>
    <row r="1101" spans="1:16" x14ac:dyDescent="0.3">
      <c r="A1101" s="19">
        <v>3720</v>
      </c>
      <c r="B1101" s="20">
        <v>3750</v>
      </c>
      <c r="C1101" s="21" t="s">
        <v>14</v>
      </c>
      <c r="D1101" s="21">
        <v>0</v>
      </c>
      <c r="E1101" s="21">
        <v>1</v>
      </c>
      <c r="F1101" s="21">
        <v>0</v>
      </c>
      <c r="G1101" s="21">
        <v>1</v>
      </c>
      <c r="H1101" s="21">
        <v>0</v>
      </c>
      <c r="I1101" s="21" t="s">
        <v>16</v>
      </c>
      <c r="J1101" s="21">
        <v>1</v>
      </c>
      <c r="K1101" s="22">
        <v>0</v>
      </c>
      <c r="O1101" s="20">
        <v>3750</v>
      </c>
      <c r="P1101" s="21">
        <v>0</v>
      </c>
    </row>
    <row r="1102" spans="1:16" x14ac:dyDescent="0.3">
      <c r="A1102" s="15">
        <v>3721</v>
      </c>
      <c r="B1102" s="16">
        <v>25000</v>
      </c>
      <c r="C1102" s="17" t="s">
        <v>14</v>
      </c>
      <c r="D1102" s="17">
        <v>0</v>
      </c>
      <c r="E1102" s="17">
        <v>0</v>
      </c>
      <c r="F1102" s="17">
        <v>0</v>
      </c>
      <c r="G1102" s="17">
        <v>1</v>
      </c>
      <c r="H1102" s="17">
        <v>0</v>
      </c>
      <c r="I1102" s="17" t="s">
        <v>16</v>
      </c>
      <c r="J1102" s="17">
        <v>1</v>
      </c>
      <c r="K1102" s="18">
        <v>0</v>
      </c>
      <c r="O1102" s="16">
        <v>25000</v>
      </c>
      <c r="P1102" s="17">
        <v>0</v>
      </c>
    </row>
    <row r="1103" spans="1:16" x14ac:dyDescent="0.3">
      <c r="A1103" s="19">
        <v>3722</v>
      </c>
      <c r="B1103" s="20">
        <v>7500</v>
      </c>
      <c r="C1103" s="21" t="s">
        <v>14</v>
      </c>
      <c r="D1103" s="21">
        <v>0</v>
      </c>
      <c r="E1103" s="21">
        <v>0</v>
      </c>
      <c r="F1103" s="21">
        <v>0</v>
      </c>
      <c r="G1103" s="21">
        <v>1</v>
      </c>
      <c r="H1103" s="21">
        <v>0</v>
      </c>
      <c r="I1103" s="21" t="s">
        <v>16</v>
      </c>
      <c r="J1103" s="21">
        <v>1</v>
      </c>
      <c r="K1103" s="22">
        <v>0</v>
      </c>
      <c r="O1103" s="20">
        <v>7500</v>
      </c>
      <c r="P1103" s="21">
        <v>0</v>
      </c>
    </row>
    <row r="1104" spans="1:16" x14ac:dyDescent="0.3">
      <c r="A1104" s="15">
        <v>3724</v>
      </c>
      <c r="B1104" s="16">
        <v>15000</v>
      </c>
      <c r="C1104" s="17" t="s">
        <v>14</v>
      </c>
      <c r="D1104" s="17">
        <v>0</v>
      </c>
      <c r="E1104" s="17">
        <v>0</v>
      </c>
      <c r="F1104" s="17">
        <v>0</v>
      </c>
      <c r="G1104" s="17">
        <v>1</v>
      </c>
      <c r="H1104" s="17">
        <v>0</v>
      </c>
      <c r="I1104" s="17" t="s">
        <v>16</v>
      </c>
      <c r="J1104" s="17">
        <v>1</v>
      </c>
      <c r="K1104" s="18">
        <v>0</v>
      </c>
      <c r="O1104" s="16">
        <v>15000</v>
      </c>
      <c r="P1104" s="17">
        <v>0</v>
      </c>
    </row>
    <row r="1105" spans="1:16" x14ac:dyDescent="0.3">
      <c r="A1105" s="19">
        <v>3725</v>
      </c>
      <c r="B1105" s="20">
        <v>15000</v>
      </c>
      <c r="C1105" s="21" t="s">
        <v>14</v>
      </c>
      <c r="D1105" s="21">
        <v>0</v>
      </c>
      <c r="E1105" s="21">
        <v>0</v>
      </c>
      <c r="F1105" s="21">
        <v>0</v>
      </c>
      <c r="G1105" s="21">
        <v>1</v>
      </c>
      <c r="H1105" s="21">
        <v>0</v>
      </c>
      <c r="I1105" s="21" t="s">
        <v>16</v>
      </c>
      <c r="J1105" s="21">
        <v>1</v>
      </c>
      <c r="K1105" s="22">
        <v>0</v>
      </c>
      <c r="O1105" s="20">
        <v>15000</v>
      </c>
      <c r="P1105" s="21">
        <v>0</v>
      </c>
    </row>
    <row r="1106" spans="1:16" x14ac:dyDescent="0.3">
      <c r="A1106" s="15">
        <v>3729</v>
      </c>
      <c r="B1106" s="16">
        <v>66666.666670000006</v>
      </c>
      <c r="C1106" s="17" t="s">
        <v>14</v>
      </c>
      <c r="D1106" s="17">
        <v>0</v>
      </c>
      <c r="E1106" s="17">
        <v>0</v>
      </c>
      <c r="F1106" s="17">
        <v>0</v>
      </c>
      <c r="G1106" s="17">
        <v>1</v>
      </c>
      <c r="H1106" s="17">
        <v>0</v>
      </c>
      <c r="I1106" s="17" t="s">
        <v>16</v>
      </c>
      <c r="J1106" s="17">
        <v>1</v>
      </c>
      <c r="K1106" s="18">
        <v>0</v>
      </c>
      <c r="O1106" s="16">
        <v>66666.666670000006</v>
      </c>
      <c r="P1106" s="17">
        <v>0</v>
      </c>
    </row>
    <row r="1107" spans="1:16" x14ac:dyDescent="0.3">
      <c r="A1107" s="19">
        <v>3730</v>
      </c>
      <c r="B1107" s="20">
        <v>1219.512195</v>
      </c>
      <c r="C1107" s="21" t="s">
        <v>14</v>
      </c>
      <c r="D1107" s="21">
        <v>0</v>
      </c>
      <c r="E1107" s="21">
        <v>0</v>
      </c>
      <c r="F1107" s="21">
        <v>1</v>
      </c>
      <c r="G1107" s="21">
        <v>1</v>
      </c>
      <c r="H1107" s="21">
        <v>0</v>
      </c>
      <c r="I1107" s="21" t="s">
        <v>16</v>
      </c>
      <c r="J1107" s="21">
        <v>0</v>
      </c>
      <c r="K1107" s="22">
        <v>0</v>
      </c>
      <c r="O1107" s="20">
        <v>1219.512195</v>
      </c>
      <c r="P1107" s="21">
        <v>1</v>
      </c>
    </row>
    <row r="1108" spans="1:16" x14ac:dyDescent="0.3">
      <c r="A1108" s="15">
        <v>3731</v>
      </c>
      <c r="B1108" s="16">
        <v>15000</v>
      </c>
      <c r="C1108" s="17" t="s">
        <v>14</v>
      </c>
      <c r="D1108" s="17">
        <v>0</v>
      </c>
      <c r="E1108" s="17">
        <v>0</v>
      </c>
      <c r="F1108" s="17">
        <v>0</v>
      </c>
      <c r="G1108" s="17">
        <v>1</v>
      </c>
      <c r="H1108" s="17">
        <v>0</v>
      </c>
      <c r="I1108" s="17" t="s">
        <v>16</v>
      </c>
      <c r="J1108" s="17">
        <v>1</v>
      </c>
      <c r="K1108" s="18">
        <v>0</v>
      </c>
      <c r="O1108" s="16">
        <v>15000</v>
      </c>
      <c r="P1108" s="17">
        <v>0</v>
      </c>
    </row>
    <row r="1109" spans="1:16" x14ac:dyDescent="0.3">
      <c r="A1109" s="19">
        <v>3733</v>
      </c>
      <c r="B1109" s="20">
        <v>83333.333329999994</v>
      </c>
      <c r="C1109" s="21" t="s">
        <v>14</v>
      </c>
      <c r="D1109" s="21">
        <v>0</v>
      </c>
      <c r="E1109" s="21">
        <v>0</v>
      </c>
      <c r="F1109" s="21">
        <v>0</v>
      </c>
      <c r="G1109" s="21">
        <v>0</v>
      </c>
      <c r="H1109" s="21">
        <v>1</v>
      </c>
      <c r="I1109" s="21" t="s">
        <v>15</v>
      </c>
      <c r="J1109" s="21">
        <v>1</v>
      </c>
      <c r="K1109" s="22">
        <v>0</v>
      </c>
      <c r="O1109" s="20">
        <v>83333.333329999994</v>
      </c>
      <c r="P1109" s="21">
        <v>0</v>
      </c>
    </row>
    <row r="1110" spans="1:16" x14ac:dyDescent="0.3">
      <c r="A1110" s="15">
        <v>3735</v>
      </c>
      <c r="B1110" s="16">
        <v>150000</v>
      </c>
      <c r="C1110" s="17" t="s">
        <v>14</v>
      </c>
      <c r="D1110" s="17">
        <v>0</v>
      </c>
      <c r="E1110" s="17">
        <v>0</v>
      </c>
      <c r="F1110" s="17">
        <v>0</v>
      </c>
      <c r="G1110" s="17">
        <v>0</v>
      </c>
      <c r="H1110" s="17">
        <v>1</v>
      </c>
      <c r="I1110" s="17" t="s">
        <v>15</v>
      </c>
      <c r="J1110" s="17">
        <v>1</v>
      </c>
      <c r="K1110" s="18">
        <v>0</v>
      </c>
      <c r="O1110" s="16">
        <v>150000</v>
      </c>
      <c r="P1110" s="17">
        <v>0</v>
      </c>
    </row>
    <row r="1111" spans="1:16" x14ac:dyDescent="0.3">
      <c r="A1111" s="19">
        <v>3737</v>
      </c>
      <c r="B1111" s="20">
        <v>100000</v>
      </c>
      <c r="C1111" s="21" t="s">
        <v>14</v>
      </c>
      <c r="D1111" s="21">
        <v>0</v>
      </c>
      <c r="E1111" s="21">
        <v>0</v>
      </c>
      <c r="F1111" s="21">
        <v>0</v>
      </c>
      <c r="G1111" s="21">
        <v>0</v>
      </c>
      <c r="H1111" s="21">
        <v>1</v>
      </c>
      <c r="I1111" s="21" t="s">
        <v>15</v>
      </c>
      <c r="J1111" s="21">
        <v>1</v>
      </c>
      <c r="K1111" s="22">
        <v>0</v>
      </c>
      <c r="O1111" s="20">
        <v>100000</v>
      </c>
      <c r="P1111" s="21">
        <v>0</v>
      </c>
    </row>
    <row r="1112" spans="1:16" x14ac:dyDescent="0.3">
      <c r="A1112" s="15">
        <v>3739</v>
      </c>
      <c r="B1112" s="16">
        <v>100000</v>
      </c>
      <c r="C1112" s="17" t="s">
        <v>14</v>
      </c>
      <c r="D1112" s="17">
        <v>0</v>
      </c>
      <c r="E1112" s="17">
        <v>0</v>
      </c>
      <c r="F1112" s="17">
        <v>0</v>
      </c>
      <c r="G1112" s="17">
        <v>0</v>
      </c>
      <c r="H1112" s="17">
        <v>1</v>
      </c>
      <c r="I1112" s="17" t="s">
        <v>15</v>
      </c>
      <c r="J1112" s="17">
        <v>1</v>
      </c>
      <c r="K1112" s="18">
        <v>1</v>
      </c>
      <c r="O1112" s="16">
        <v>100000</v>
      </c>
      <c r="P1112" s="17">
        <v>0</v>
      </c>
    </row>
    <row r="1113" spans="1:16" x14ac:dyDescent="0.3">
      <c r="A1113" s="19">
        <v>3740</v>
      </c>
      <c r="B1113" s="20">
        <v>100000</v>
      </c>
      <c r="C1113" s="21" t="s">
        <v>14</v>
      </c>
      <c r="D1113" s="21">
        <v>0</v>
      </c>
      <c r="E1113" s="21">
        <v>0</v>
      </c>
      <c r="F1113" s="21">
        <v>0</v>
      </c>
      <c r="G1113" s="21">
        <v>0</v>
      </c>
      <c r="H1113" s="21">
        <v>1</v>
      </c>
      <c r="I1113" s="21" t="s">
        <v>15</v>
      </c>
      <c r="J1113" s="21">
        <v>1</v>
      </c>
      <c r="K1113" s="22">
        <v>0</v>
      </c>
      <c r="O1113" s="20">
        <v>100000</v>
      </c>
      <c r="P1113" s="21">
        <v>0</v>
      </c>
    </row>
    <row r="1114" spans="1:16" x14ac:dyDescent="0.3">
      <c r="A1114" s="15">
        <v>3742</v>
      </c>
      <c r="B1114" s="16">
        <v>150000</v>
      </c>
      <c r="C1114" s="17" t="s">
        <v>14</v>
      </c>
      <c r="D1114" s="17">
        <v>0</v>
      </c>
      <c r="E1114" s="17">
        <v>0</v>
      </c>
      <c r="F1114" s="17">
        <v>0</v>
      </c>
      <c r="G1114" s="17">
        <v>0</v>
      </c>
      <c r="H1114" s="17">
        <v>1</v>
      </c>
      <c r="I1114" s="17" t="s">
        <v>15</v>
      </c>
      <c r="J1114" s="17">
        <v>0</v>
      </c>
      <c r="K1114" s="18">
        <v>0</v>
      </c>
      <c r="O1114" s="16">
        <v>150000</v>
      </c>
      <c r="P1114" s="17">
        <v>0</v>
      </c>
    </row>
    <row r="1115" spans="1:16" x14ac:dyDescent="0.3">
      <c r="A1115" s="19">
        <v>3748</v>
      </c>
      <c r="B1115" s="20">
        <v>143884.8921</v>
      </c>
      <c r="C1115" s="21" t="s">
        <v>14</v>
      </c>
      <c r="D1115" s="21">
        <v>0</v>
      </c>
      <c r="E1115" s="21">
        <v>0</v>
      </c>
      <c r="F1115" s="21">
        <v>0</v>
      </c>
      <c r="G1115" s="21">
        <v>0</v>
      </c>
      <c r="H1115" s="21">
        <v>1</v>
      </c>
      <c r="I1115" s="21" t="s">
        <v>15</v>
      </c>
      <c r="J1115" s="21">
        <v>1</v>
      </c>
      <c r="K1115" s="22">
        <v>0</v>
      </c>
      <c r="O1115" s="20">
        <v>143884.8921</v>
      </c>
      <c r="P1115" s="21">
        <v>0</v>
      </c>
    </row>
    <row r="1116" spans="1:16" x14ac:dyDescent="0.3">
      <c r="A1116" s="15">
        <v>3755</v>
      </c>
      <c r="B1116" s="16">
        <v>12500</v>
      </c>
      <c r="C1116" s="17" t="s">
        <v>14</v>
      </c>
      <c r="D1116" s="17">
        <v>0</v>
      </c>
      <c r="E1116" s="17">
        <v>0</v>
      </c>
      <c r="F1116" s="17">
        <v>0</v>
      </c>
      <c r="G1116" s="17">
        <v>1</v>
      </c>
      <c r="H1116" s="17">
        <v>0</v>
      </c>
      <c r="I1116" s="17" t="s">
        <v>13</v>
      </c>
      <c r="J1116" s="17">
        <v>1</v>
      </c>
      <c r="K1116" s="18">
        <v>0</v>
      </c>
      <c r="O1116" s="16">
        <v>12500</v>
      </c>
      <c r="P1116" s="17">
        <v>0</v>
      </c>
    </row>
    <row r="1117" spans="1:16" x14ac:dyDescent="0.3">
      <c r="A1117" s="19">
        <v>3757</v>
      </c>
      <c r="B1117" s="20">
        <v>16666.666669999999</v>
      </c>
      <c r="C1117" s="21" t="s">
        <v>14</v>
      </c>
      <c r="D1117" s="21">
        <v>0</v>
      </c>
      <c r="E1117" s="21">
        <v>0</v>
      </c>
      <c r="F1117" s="21">
        <v>0</v>
      </c>
      <c r="G1117" s="21">
        <v>1</v>
      </c>
      <c r="H1117" s="21">
        <v>0</v>
      </c>
      <c r="I1117" s="21" t="s">
        <v>13</v>
      </c>
      <c r="J1117" s="21">
        <v>1</v>
      </c>
      <c r="K1117" s="22">
        <v>0</v>
      </c>
      <c r="O1117" s="20">
        <v>16666.666669999999</v>
      </c>
      <c r="P1117" s="21">
        <v>0</v>
      </c>
    </row>
    <row r="1118" spans="1:16" x14ac:dyDescent="0.3">
      <c r="A1118" s="15">
        <v>3763</v>
      </c>
      <c r="B1118" s="16">
        <v>30000</v>
      </c>
      <c r="C1118" s="17" t="s">
        <v>14</v>
      </c>
      <c r="D1118" s="17">
        <v>0</v>
      </c>
      <c r="E1118" s="17">
        <v>0</v>
      </c>
      <c r="F1118" s="17">
        <v>0</v>
      </c>
      <c r="G1118" s="17">
        <v>1</v>
      </c>
      <c r="H1118" s="17">
        <v>0</v>
      </c>
      <c r="I1118" s="17" t="s">
        <v>16</v>
      </c>
      <c r="J1118" s="17">
        <v>1</v>
      </c>
      <c r="K1118" s="18">
        <v>1</v>
      </c>
      <c r="O1118" s="16">
        <v>30000</v>
      </c>
      <c r="P1118" s="17">
        <v>0</v>
      </c>
    </row>
    <row r="1119" spans="1:16" x14ac:dyDescent="0.3">
      <c r="A1119" s="19">
        <v>3764</v>
      </c>
      <c r="B1119" s="20">
        <v>16666.666669999999</v>
      </c>
      <c r="C1119" s="21" t="s">
        <v>14</v>
      </c>
      <c r="D1119" s="21">
        <v>0</v>
      </c>
      <c r="E1119" s="21">
        <v>1</v>
      </c>
      <c r="F1119" s="21">
        <v>0</v>
      </c>
      <c r="G1119" s="21">
        <v>1</v>
      </c>
      <c r="H1119" s="21">
        <v>0</v>
      </c>
      <c r="I1119" s="21" t="s">
        <v>16</v>
      </c>
      <c r="J1119" s="21">
        <v>1</v>
      </c>
      <c r="K1119" s="22">
        <v>0</v>
      </c>
      <c r="O1119" s="20">
        <v>16666.666669999999</v>
      </c>
      <c r="P1119" s="21">
        <v>0</v>
      </c>
    </row>
    <row r="1120" spans="1:16" x14ac:dyDescent="0.3">
      <c r="A1120" s="15">
        <v>3765</v>
      </c>
      <c r="B1120" s="16">
        <v>5000</v>
      </c>
      <c r="C1120" s="17" t="s">
        <v>14</v>
      </c>
      <c r="D1120" s="17">
        <v>0</v>
      </c>
      <c r="E1120" s="17">
        <v>0</v>
      </c>
      <c r="F1120" s="17">
        <v>0</v>
      </c>
      <c r="G1120" s="17">
        <v>1</v>
      </c>
      <c r="H1120" s="17">
        <v>0</v>
      </c>
      <c r="I1120" s="17" t="s">
        <v>16</v>
      </c>
      <c r="J1120" s="17">
        <v>1</v>
      </c>
      <c r="K1120" s="18">
        <v>0</v>
      </c>
      <c r="O1120" s="16">
        <v>5000</v>
      </c>
      <c r="P1120" s="17">
        <v>0</v>
      </c>
    </row>
    <row r="1121" spans="1:16" x14ac:dyDescent="0.3">
      <c r="A1121" s="19">
        <v>3767</v>
      </c>
      <c r="B1121" s="20">
        <v>7500</v>
      </c>
      <c r="C1121" s="21" t="s">
        <v>14</v>
      </c>
      <c r="D1121" s="21">
        <v>0</v>
      </c>
      <c r="E1121" s="21">
        <v>1</v>
      </c>
      <c r="F1121" s="21">
        <v>0</v>
      </c>
      <c r="G1121" s="21">
        <v>1</v>
      </c>
      <c r="H1121" s="21">
        <v>0</v>
      </c>
      <c r="I1121" s="21" t="s">
        <v>16</v>
      </c>
      <c r="J1121" s="21">
        <v>1</v>
      </c>
      <c r="K1121" s="22">
        <v>0</v>
      </c>
      <c r="O1121" s="20">
        <v>7500</v>
      </c>
      <c r="P1121" s="21">
        <v>0</v>
      </c>
    </row>
    <row r="1122" spans="1:16" x14ac:dyDescent="0.3">
      <c r="A1122" s="15">
        <v>3770</v>
      </c>
      <c r="B1122" s="16">
        <v>6250</v>
      </c>
      <c r="C1122" s="17" t="s">
        <v>14</v>
      </c>
      <c r="D1122" s="17">
        <v>0</v>
      </c>
      <c r="E1122" s="17">
        <v>1</v>
      </c>
      <c r="F1122" s="17">
        <v>0</v>
      </c>
      <c r="G1122" s="17">
        <v>1</v>
      </c>
      <c r="H1122" s="17">
        <v>0</v>
      </c>
      <c r="I1122" s="17" t="s">
        <v>16</v>
      </c>
      <c r="J1122" s="17">
        <v>0</v>
      </c>
      <c r="K1122" s="18">
        <v>0</v>
      </c>
      <c r="O1122" s="16">
        <v>6250</v>
      </c>
      <c r="P1122" s="17">
        <v>0</v>
      </c>
    </row>
    <row r="1123" spans="1:16" x14ac:dyDescent="0.3">
      <c r="A1123" s="19">
        <v>3772</v>
      </c>
      <c r="B1123" s="20">
        <v>6250</v>
      </c>
      <c r="C1123" s="21" t="s">
        <v>12</v>
      </c>
      <c r="D1123" s="21">
        <v>1</v>
      </c>
      <c r="E1123" s="21">
        <v>0</v>
      </c>
      <c r="F1123" s="21">
        <v>0</v>
      </c>
      <c r="G1123" s="21">
        <v>1</v>
      </c>
      <c r="H1123" s="21">
        <v>0</v>
      </c>
      <c r="I1123" s="21" t="s">
        <v>16</v>
      </c>
      <c r="J1123" s="21">
        <v>1</v>
      </c>
      <c r="K1123" s="22">
        <v>0</v>
      </c>
      <c r="O1123" s="20">
        <v>6250</v>
      </c>
      <c r="P1123" s="21">
        <v>0</v>
      </c>
    </row>
    <row r="1124" spans="1:16" x14ac:dyDescent="0.3">
      <c r="A1124" s="15">
        <v>3775</v>
      </c>
      <c r="B1124" s="16">
        <v>6000</v>
      </c>
      <c r="C1124" s="17" t="s">
        <v>14</v>
      </c>
      <c r="D1124" s="17">
        <v>0</v>
      </c>
      <c r="E1124" s="17">
        <v>0</v>
      </c>
      <c r="F1124" s="17">
        <v>0</v>
      </c>
      <c r="G1124" s="17">
        <v>1</v>
      </c>
      <c r="H1124" s="17">
        <v>0</v>
      </c>
      <c r="I1124" s="17" t="s">
        <v>16</v>
      </c>
      <c r="J1124" s="17">
        <v>1</v>
      </c>
      <c r="K1124" s="18">
        <v>0</v>
      </c>
      <c r="O1124" s="16">
        <v>6000</v>
      </c>
      <c r="P1124" s="17">
        <v>0</v>
      </c>
    </row>
    <row r="1125" spans="1:16" x14ac:dyDescent="0.3">
      <c r="A1125" s="19">
        <v>3776</v>
      </c>
      <c r="B1125" s="20">
        <v>22727.272730000001</v>
      </c>
      <c r="C1125" s="21" t="s">
        <v>14</v>
      </c>
      <c r="D1125" s="21">
        <v>0</v>
      </c>
      <c r="E1125" s="21">
        <v>0</v>
      </c>
      <c r="F1125" s="21">
        <v>1</v>
      </c>
      <c r="G1125" s="21">
        <v>1</v>
      </c>
      <c r="H1125" s="21">
        <v>0</v>
      </c>
      <c r="I1125" s="21" t="s">
        <v>16</v>
      </c>
      <c r="J1125" s="21">
        <v>1</v>
      </c>
      <c r="K1125" s="22">
        <v>0</v>
      </c>
      <c r="O1125" s="20">
        <v>22727.272730000001</v>
      </c>
      <c r="P1125" s="21">
        <v>1</v>
      </c>
    </row>
    <row r="1126" spans="1:16" x14ac:dyDescent="0.3">
      <c r="A1126" s="15">
        <v>3777</v>
      </c>
      <c r="B1126" s="16">
        <v>15000</v>
      </c>
      <c r="C1126" s="17" t="s">
        <v>14</v>
      </c>
      <c r="D1126" s="17">
        <v>0</v>
      </c>
      <c r="E1126" s="17">
        <v>0</v>
      </c>
      <c r="F1126" s="17">
        <v>0</v>
      </c>
      <c r="G1126" s="17">
        <v>1</v>
      </c>
      <c r="H1126" s="17">
        <v>0</v>
      </c>
      <c r="I1126" s="17" t="s">
        <v>16</v>
      </c>
      <c r="J1126" s="17">
        <v>0</v>
      </c>
      <c r="K1126" s="18">
        <v>0</v>
      </c>
      <c r="O1126" s="16">
        <v>15000</v>
      </c>
      <c r="P1126" s="17">
        <v>0</v>
      </c>
    </row>
    <row r="1127" spans="1:16" x14ac:dyDescent="0.3">
      <c r="A1127" s="19">
        <v>3779</v>
      </c>
      <c r="B1127" s="20">
        <v>10000</v>
      </c>
      <c r="C1127" s="21" t="s">
        <v>14</v>
      </c>
      <c r="D1127" s="21">
        <v>0</v>
      </c>
      <c r="E1127" s="21">
        <v>0</v>
      </c>
      <c r="F1127" s="21">
        <v>0</v>
      </c>
      <c r="G1127" s="21">
        <v>1</v>
      </c>
      <c r="H1127" s="21">
        <v>0</v>
      </c>
      <c r="I1127" s="21" t="s">
        <v>16</v>
      </c>
      <c r="J1127" s="21">
        <v>1</v>
      </c>
      <c r="K1127" s="22">
        <v>0</v>
      </c>
      <c r="O1127" s="20">
        <v>10000</v>
      </c>
      <c r="P1127" s="21">
        <v>0</v>
      </c>
    </row>
    <row r="1128" spans="1:16" x14ac:dyDescent="0.3">
      <c r="A1128" s="15">
        <v>3781</v>
      </c>
      <c r="B1128" s="16">
        <v>150000</v>
      </c>
      <c r="C1128" s="17" t="s">
        <v>14</v>
      </c>
      <c r="D1128" s="17">
        <v>0</v>
      </c>
      <c r="E1128" s="17">
        <v>0</v>
      </c>
      <c r="F1128" s="17">
        <v>0</v>
      </c>
      <c r="G1128" s="17">
        <v>0</v>
      </c>
      <c r="H1128" s="17">
        <v>1</v>
      </c>
      <c r="I1128" s="17" t="s">
        <v>15</v>
      </c>
      <c r="J1128" s="17">
        <v>1</v>
      </c>
      <c r="K1128" s="18">
        <v>0</v>
      </c>
      <c r="O1128" s="16">
        <v>150000</v>
      </c>
      <c r="P1128" s="17">
        <v>0</v>
      </c>
    </row>
    <row r="1129" spans="1:16" x14ac:dyDescent="0.3">
      <c r="A1129" s="19">
        <v>3787</v>
      </c>
      <c r="B1129" s="20">
        <v>75000</v>
      </c>
      <c r="C1129" s="21" t="s">
        <v>14</v>
      </c>
      <c r="D1129" s="21">
        <v>0</v>
      </c>
      <c r="E1129" s="21">
        <v>0</v>
      </c>
      <c r="F1129" s="21">
        <v>0</v>
      </c>
      <c r="G1129" s="21">
        <v>0</v>
      </c>
      <c r="H1129" s="21">
        <v>1</v>
      </c>
      <c r="I1129" s="21" t="s">
        <v>15</v>
      </c>
      <c r="J1129" s="21">
        <v>1</v>
      </c>
      <c r="K1129" s="22">
        <v>0</v>
      </c>
      <c r="O1129" s="20">
        <v>75000</v>
      </c>
      <c r="P1129" s="21">
        <v>0</v>
      </c>
    </row>
    <row r="1130" spans="1:16" x14ac:dyDescent="0.3">
      <c r="A1130" s="15">
        <v>3792</v>
      </c>
      <c r="B1130" s="16">
        <v>87719.298250000007</v>
      </c>
      <c r="C1130" s="17" t="s">
        <v>14</v>
      </c>
      <c r="D1130" s="17">
        <v>0</v>
      </c>
      <c r="E1130" s="17">
        <v>0</v>
      </c>
      <c r="F1130" s="17">
        <v>0</v>
      </c>
      <c r="G1130" s="17">
        <v>0</v>
      </c>
      <c r="H1130" s="17">
        <v>1</v>
      </c>
      <c r="I1130" s="17" t="s">
        <v>15</v>
      </c>
      <c r="J1130" s="17">
        <v>1</v>
      </c>
      <c r="K1130" s="18">
        <v>1</v>
      </c>
      <c r="O1130" s="16">
        <v>87719.298250000007</v>
      </c>
      <c r="P1130" s="17">
        <v>0</v>
      </c>
    </row>
    <row r="1131" spans="1:16" x14ac:dyDescent="0.3">
      <c r="A1131" s="19">
        <v>3804</v>
      </c>
      <c r="B1131" s="20">
        <v>150000</v>
      </c>
      <c r="C1131" s="21" t="s">
        <v>14</v>
      </c>
      <c r="D1131" s="21">
        <v>0</v>
      </c>
      <c r="E1131" s="21">
        <v>0</v>
      </c>
      <c r="F1131" s="21">
        <v>0</v>
      </c>
      <c r="G1131" s="21">
        <v>0</v>
      </c>
      <c r="H1131" s="21">
        <v>1</v>
      </c>
      <c r="I1131" s="21" t="s">
        <v>15</v>
      </c>
      <c r="J1131" s="21">
        <v>1</v>
      </c>
      <c r="K1131" s="22">
        <v>0</v>
      </c>
      <c r="O1131" s="20">
        <v>150000</v>
      </c>
      <c r="P1131" s="21">
        <v>0</v>
      </c>
    </row>
    <row r="1132" spans="1:16" x14ac:dyDescent="0.3">
      <c r="A1132" s="15">
        <v>3813</v>
      </c>
      <c r="B1132" s="16">
        <v>45454.545449999998</v>
      </c>
      <c r="C1132" s="17" t="s">
        <v>14</v>
      </c>
      <c r="D1132" s="17">
        <v>0</v>
      </c>
      <c r="E1132" s="17">
        <v>0</v>
      </c>
      <c r="F1132" s="17">
        <v>0</v>
      </c>
      <c r="G1132" s="17">
        <v>0</v>
      </c>
      <c r="H1132" s="17">
        <v>1</v>
      </c>
      <c r="I1132" s="17" t="s">
        <v>15</v>
      </c>
      <c r="J1132" s="17">
        <v>1</v>
      </c>
      <c r="K1132" s="18">
        <v>0</v>
      </c>
      <c r="O1132" s="16">
        <v>45454.545449999998</v>
      </c>
      <c r="P1132" s="17">
        <v>0</v>
      </c>
    </row>
    <row r="1133" spans="1:16" x14ac:dyDescent="0.3">
      <c r="A1133" s="19">
        <v>3814</v>
      </c>
      <c r="B1133" s="20">
        <v>31250</v>
      </c>
      <c r="C1133" s="21" t="s">
        <v>14</v>
      </c>
      <c r="D1133" s="21">
        <v>0</v>
      </c>
      <c r="E1133" s="21">
        <v>0</v>
      </c>
      <c r="F1133" s="21">
        <v>0</v>
      </c>
      <c r="G1133" s="21">
        <v>0</v>
      </c>
      <c r="H1133" s="21">
        <v>1</v>
      </c>
      <c r="I1133" s="21" t="s">
        <v>15</v>
      </c>
      <c r="J1133" s="21">
        <v>1</v>
      </c>
      <c r="K1133" s="22">
        <v>0</v>
      </c>
      <c r="O1133" s="20">
        <v>31250</v>
      </c>
      <c r="P1133" s="21">
        <v>0</v>
      </c>
    </row>
    <row r="1134" spans="1:16" x14ac:dyDescent="0.3">
      <c r="A1134" s="15">
        <v>3815</v>
      </c>
      <c r="B1134" s="16">
        <v>33333.333330000001</v>
      </c>
      <c r="C1134" s="17" t="s">
        <v>14</v>
      </c>
      <c r="D1134" s="17">
        <v>0</v>
      </c>
      <c r="E1134" s="17">
        <v>0</v>
      </c>
      <c r="F1134" s="17">
        <v>0</v>
      </c>
      <c r="G1134" s="17">
        <v>0</v>
      </c>
      <c r="H1134" s="17">
        <v>1</v>
      </c>
      <c r="I1134" s="17" t="s">
        <v>15</v>
      </c>
      <c r="J1134" s="17">
        <v>1</v>
      </c>
      <c r="K1134" s="18">
        <v>0</v>
      </c>
      <c r="O1134" s="16">
        <v>33333.333330000001</v>
      </c>
      <c r="P1134" s="17">
        <v>0</v>
      </c>
    </row>
    <row r="1135" spans="1:16" x14ac:dyDescent="0.3">
      <c r="A1135" s="19">
        <v>3819</v>
      </c>
      <c r="B1135" s="20">
        <v>150000</v>
      </c>
      <c r="C1135" s="21" t="s">
        <v>14</v>
      </c>
      <c r="D1135" s="21">
        <v>0</v>
      </c>
      <c r="E1135" s="21">
        <v>0</v>
      </c>
      <c r="F1135" s="21">
        <v>0</v>
      </c>
      <c r="G1135" s="21">
        <v>0</v>
      </c>
      <c r="H1135" s="21">
        <v>1</v>
      </c>
      <c r="I1135" s="21" t="s">
        <v>15</v>
      </c>
      <c r="J1135" s="21">
        <v>1</v>
      </c>
      <c r="K1135" s="22">
        <v>0</v>
      </c>
      <c r="O1135" s="20">
        <v>150000</v>
      </c>
      <c r="P1135" s="21">
        <v>0</v>
      </c>
    </row>
    <row r="1136" spans="1:16" x14ac:dyDescent="0.3">
      <c r="A1136" s="15">
        <v>3829</v>
      </c>
      <c r="B1136" s="16">
        <v>99264.705879999994</v>
      </c>
      <c r="C1136" s="17" t="s">
        <v>14</v>
      </c>
      <c r="D1136" s="17">
        <v>0</v>
      </c>
      <c r="E1136" s="17">
        <v>0</v>
      </c>
      <c r="F1136" s="17">
        <v>0</v>
      </c>
      <c r="G1136" s="17">
        <v>0</v>
      </c>
      <c r="H1136" s="17">
        <v>1</v>
      </c>
      <c r="I1136" s="17" t="s">
        <v>15</v>
      </c>
      <c r="J1136" s="17">
        <v>1</v>
      </c>
      <c r="K1136" s="18">
        <v>1</v>
      </c>
      <c r="O1136" s="16">
        <v>99264.705879999994</v>
      </c>
      <c r="P1136" s="17">
        <v>0</v>
      </c>
    </row>
    <row r="1137" spans="1:16" x14ac:dyDescent="0.3">
      <c r="A1137" s="19">
        <v>3835</v>
      </c>
      <c r="B1137" s="20">
        <v>100000</v>
      </c>
      <c r="C1137" s="21" t="s">
        <v>14</v>
      </c>
      <c r="D1137" s="21">
        <v>0</v>
      </c>
      <c r="E1137" s="21">
        <v>0</v>
      </c>
      <c r="F1137" s="21">
        <v>0</v>
      </c>
      <c r="G1137" s="21">
        <v>0</v>
      </c>
      <c r="H1137" s="21">
        <v>1</v>
      </c>
      <c r="I1137" s="21" t="s">
        <v>15</v>
      </c>
      <c r="J1137" s="21">
        <v>1</v>
      </c>
      <c r="K1137" s="22">
        <v>1</v>
      </c>
      <c r="O1137" s="20">
        <v>100000</v>
      </c>
      <c r="P1137" s="21">
        <v>0</v>
      </c>
    </row>
    <row r="1138" spans="1:16" x14ac:dyDescent="0.3">
      <c r="A1138" s="15">
        <v>3843</v>
      </c>
      <c r="B1138" s="16">
        <v>100000</v>
      </c>
      <c r="C1138" s="17" t="s">
        <v>14</v>
      </c>
      <c r="D1138" s="17">
        <v>0</v>
      </c>
      <c r="E1138" s="17">
        <v>0</v>
      </c>
      <c r="F1138" s="17">
        <v>0</v>
      </c>
      <c r="G1138" s="17">
        <v>0</v>
      </c>
      <c r="H1138" s="17">
        <v>1</v>
      </c>
      <c r="I1138" s="17" t="s">
        <v>15</v>
      </c>
      <c r="J1138" s="17">
        <v>1</v>
      </c>
      <c r="K1138" s="18">
        <v>0</v>
      </c>
      <c r="O1138" s="16">
        <v>100000</v>
      </c>
      <c r="P1138" s="17">
        <v>0</v>
      </c>
    </row>
    <row r="1139" spans="1:16" x14ac:dyDescent="0.3">
      <c r="A1139" s="19">
        <v>3844</v>
      </c>
      <c r="B1139" s="20">
        <v>38834.951459999997</v>
      </c>
      <c r="C1139" s="21" t="s">
        <v>14</v>
      </c>
      <c r="D1139" s="21">
        <v>0</v>
      </c>
      <c r="E1139" s="21">
        <v>0</v>
      </c>
      <c r="F1139" s="21">
        <v>0</v>
      </c>
      <c r="G1139" s="21">
        <v>0</v>
      </c>
      <c r="H1139" s="21">
        <v>1</v>
      </c>
      <c r="I1139" s="21" t="s">
        <v>15</v>
      </c>
      <c r="J1139" s="21">
        <v>1</v>
      </c>
      <c r="K1139" s="22">
        <v>0</v>
      </c>
      <c r="O1139" s="20">
        <v>38834.951459999997</v>
      </c>
      <c r="P1139" s="21">
        <v>0</v>
      </c>
    </row>
    <row r="1140" spans="1:16" x14ac:dyDescent="0.3">
      <c r="A1140" s="15">
        <v>3845</v>
      </c>
      <c r="B1140" s="16">
        <v>44052.863440000001</v>
      </c>
      <c r="C1140" s="17" t="s">
        <v>14</v>
      </c>
      <c r="D1140" s="17">
        <v>0</v>
      </c>
      <c r="E1140" s="17">
        <v>0</v>
      </c>
      <c r="F1140" s="17">
        <v>0</v>
      </c>
      <c r="G1140" s="17">
        <v>0</v>
      </c>
      <c r="H1140" s="17">
        <v>1</v>
      </c>
      <c r="I1140" s="17" t="s">
        <v>15</v>
      </c>
      <c r="J1140" s="17">
        <v>1</v>
      </c>
      <c r="K1140" s="18">
        <v>0</v>
      </c>
      <c r="O1140" s="16">
        <v>44052.863440000001</v>
      </c>
      <c r="P1140" s="17">
        <v>0</v>
      </c>
    </row>
    <row r="1141" spans="1:16" x14ac:dyDescent="0.3">
      <c r="A1141" s="19">
        <v>3861</v>
      </c>
      <c r="B1141" s="20">
        <v>32154.340840000001</v>
      </c>
      <c r="C1141" s="21" t="s">
        <v>14</v>
      </c>
      <c r="D1141" s="21">
        <v>0</v>
      </c>
      <c r="E1141" s="21">
        <v>1</v>
      </c>
      <c r="F1141" s="21">
        <v>0</v>
      </c>
      <c r="G1141" s="21">
        <v>1</v>
      </c>
      <c r="H1141" s="21">
        <v>0</v>
      </c>
      <c r="I1141" s="21" t="s">
        <v>17</v>
      </c>
      <c r="J1141" s="21">
        <v>1</v>
      </c>
      <c r="K1141" s="22">
        <v>0</v>
      </c>
      <c r="O1141" s="20">
        <v>32154.340840000001</v>
      </c>
      <c r="P1141" s="21">
        <v>0</v>
      </c>
    </row>
    <row r="1142" spans="1:16" x14ac:dyDescent="0.3">
      <c r="A1142" s="15">
        <v>3864</v>
      </c>
      <c r="B1142" s="16">
        <v>9500</v>
      </c>
      <c r="C1142" s="17" t="s">
        <v>14</v>
      </c>
      <c r="D1142" s="17">
        <v>0</v>
      </c>
      <c r="E1142" s="17">
        <v>0</v>
      </c>
      <c r="F1142" s="17">
        <v>0</v>
      </c>
      <c r="G1142" s="17">
        <v>1</v>
      </c>
      <c r="H1142" s="17">
        <v>0</v>
      </c>
      <c r="I1142" s="17" t="s">
        <v>17</v>
      </c>
      <c r="J1142" s="17">
        <v>1</v>
      </c>
      <c r="K1142" s="18">
        <v>0</v>
      </c>
      <c r="O1142" s="16">
        <v>9500</v>
      </c>
      <c r="P1142" s="17">
        <v>0</v>
      </c>
    </row>
    <row r="1143" spans="1:16" x14ac:dyDescent="0.3">
      <c r="A1143" s="19">
        <v>3870</v>
      </c>
      <c r="B1143" s="20">
        <v>100000</v>
      </c>
      <c r="C1143" s="21" t="s">
        <v>14</v>
      </c>
      <c r="D1143" s="21">
        <v>0</v>
      </c>
      <c r="E1143" s="21">
        <v>0</v>
      </c>
      <c r="F1143" s="21">
        <v>0</v>
      </c>
      <c r="G1143" s="21">
        <v>1</v>
      </c>
      <c r="H1143" s="21">
        <v>0</v>
      </c>
      <c r="I1143" s="21" t="s">
        <v>17</v>
      </c>
      <c r="J1143" s="21">
        <v>1</v>
      </c>
      <c r="K1143" s="22">
        <v>0</v>
      </c>
      <c r="O1143" s="20">
        <v>100000</v>
      </c>
      <c r="P1143" s="21">
        <v>0</v>
      </c>
    </row>
    <row r="1144" spans="1:16" x14ac:dyDescent="0.3">
      <c r="A1144" s="15">
        <v>3878</v>
      </c>
      <c r="B1144" s="16">
        <v>100000</v>
      </c>
      <c r="C1144" s="17" t="s">
        <v>12</v>
      </c>
      <c r="D1144" s="17">
        <v>1</v>
      </c>
      <c r="E1144" s="17">
        <v>0</v>
      </c>
      <c r="F1144" s="17">
        <v>0</v>
      </c>
      <c r="G1144" s="17">
        <v>0</v>
      </c>
      <c r="H1144" s="17">
        <v>1</v>
      </c>
      <c r="I1144" s="17" t="s">
        <v>15</v>
      </c>
      <c r="J1144" s="17">
        <v>1</v>
      </c>
      <c r="K1144" s="18">
        <v>0</v>
      </c>
      <c r="O1144" s="16">
        <v>100000</v>
      </c>
      <c r="P1144" s="17">
        <v>0</v>
      </c>
    </row>
    <row r="1145" spans="1:16" x14ac:dyDescent="0.3">
      <c r="A1145" s="19">
        <v>3881</v>
      </c>
      <c r="B1145" s="20">
        <v>83333.333329999994</v>
      </c>
      <c r="C1145" s="21" t="s">
        <v>14</v>
      </c>
      <c r="D1145" s="21">
        <v>0</v>
      </c>
      <c r="E1145" s="21">
        <v>0</v>
      </c>
      <c r="F1145" s="21">
        <v>0</v>
      </c>
      <c r="G1145" s="21">
        <v>0</v>
      </c>
      <c r="H1145" s="21">
        <v>1</v>
      </c>
      <c r="I1145" s="21" t="s">
        <v>15</v>
      </c>
      <c r="J1145" s="21">
        <v>1</v>
      </c>
      <c r="K1145" s="22">
        <v>0</v>
      </c>
      <c r="O1145" s="20">
        <v>83333.333329999994</v>
      </c>
      <c r="P1145" s="21">
        <v>0</v>
      </c>
    </row>
    <row r="1146" spans="1:16" x14ac:dyDescent="0.3">
      <c r="A1146" s="15">
        <v>3888</v>
      </c>
      <c r="B1146" s="16">
        <v>83333.333329999994</v>
      </c>
      <c r="C1146" s="17" t="s">
        <v>14</v>
      </c>
      <c r="D1146" s="17">
        <v>0</v>
      </c>
      <c r="E1146" s="17">
        <v>0</v>
      </c>
      <c r="F1146" s="17">
        <v>0</v>
      </c>
      <c r="G1146" s="17">
        <v>0</v>
      </c>
      <c r="H1146" s="17">
        <v>1</v>
      </c>
      <c r="I1146" s="17" t="s">
        <v>15</v>
      </c>
      <c r="J1146" s="17">
        <v>1</v>
      </c>
      <c r="K1146" s="18">
        <v>1</v>
      </c>
      <c r="O1146" s="16">
        <v>83333.333329999994</v>
      </c>
      <c r="P1146" s="17">
        <v>0</v>
      </c>
    </row>
    <row r="1147" spans="1:16" x14ac:dyDescent="0.3">
      <c r="A1147" s="19">
        <v>3889</v>
      </c>
      <c r="B1147" s="20">
        <v>100000</v>
      </c>
      <c r="C1147" s="21" t="s">
        <v>14</v>
      </c>
      <c r="D1147" s="21">
        <v>0</v>
      </c>
      <c r="E1147" s="21">
        <v>0</v>
      </c>
      <c r="F1147" s="21">
        <v>0</v>
      </c>
      <c r="G1147" s="21">
        <v>0</v>
      </c>
      <c r="H1147" s="21">
        <v>1</v>
      </c>
      <c r="I1147" s="21" t="s">
        <v>15</v>
      </c>
      <c r="J1147" s="21">
        <v>1</v>
      </c>
      <c r="K1147" s="22">
        <v>1</v>
      </c>
      <c r="O1147" s="20">
        <v>100000</v>
      </c>
      <c r="P1147" s="21">
        <v>0</v>
      </c>
    </row>
    <row r="1148" spans="1:16" x14ac:dyDescent="0.3">
      <c r="A1148" s="15">
        <v>3890</v>
      </c>
      <c r="B1148" s="16">
        <v>50000</v>
      </c>
      <c r="C1148" s="17" t="s">
        <v>14</v>
      </c>
      <c r="D1148" s="17">
        <v>0</v>
      </c>
      <c r="E1148" s="17">
        <v>0</v>
      </c>
      <c r="F1148" s="17">
        <v>0</v>
      </c>
      <c r="G1148" s="17">
        <v>0</v>
      </c>
      <c r="H1148" s="17">
        <v>1</v>
      </c>
      <c r="I1148" s="17" t="s">
        <v>15</v>
      </c>
      <c r="J1148" s="17">
        <v>1</v>
      </c>
      <c r="K1148" s="18">
        <v>1</v>
      </c>
      <c r="O1148" s="16">
        <v>50000</v>
      </c>
      <c r="P1148" s="17">
        <v>0</v>
      </c>
    </row>
    <row r="1149" spans="1:16" x14ac:dyDescent="0.3">
      <c r="A1149" s="19">
        <v>3893</v>
      </c>
      <c r="B1149" s="20">
        <v>100000</v>
      </c>
      <c r="C1149" s="21" t="s">
        <v>14</v>
      </c>
      <c r="D1149" s="21">
        <v>0</v>
      </c>
      <c r="E1149" s="21">
        <v>0</v>
      </c>
      <c r="F1149" s="21">
        <v>0</v>
      </c>
      <c r="G1149" s="21">
        <v>0</v>
      </c>
      <c r="H1149" s="21">
        <v>1</v>
      </c>
      <c r="I1149" s="21" t="s">
        <v>15</v>
      </c>
      <c r="J1149" s="21">
        <v>1</v>
      </c>
      <c r="K1149" s="22">
        <v>1</v>
      </c>
      <c r="O1149" s="20">
        <v>100000</v>
      </c>
      <c r="P1149" s="21">
        <v>0</v>
      </c>
    </row>
    <row r="1150" spans="1:16" x14ac:dyDescent="0.3">
      <c r="A1150" s="15">
        <v>3897</v>
      </c>
      <c r="B1150" s="16">
        <v>92307.692309999999</v>
      </c>
      <c r="C1150" s="17" t="s">
        <v>14</v>
      </c>
      <c r="D1150" s="17">
        <v>0</v>
      </c>
      <c r="E1150" s="17">
        <v>0</v>
      </c>
      <c r="F1150" s="17">
        <v>0</v>
      </c>
      <c r="G1150" s="17">
        <v>0</v>
      </c>
      <c r="H1150" s="17">
        <v>1</v>
      </c>
      <c r="I1150" s="17" t="s">
        <v>15</v>
      </c>
      <c r="J1150" s="17">
        <v>1</v>
      </c>
      <c r="K1150" s="18">
        <v>0</v>
      </c>
      <c r="O1150" s="16">
        <v>92307.692309999999</v>
      </c>
      <c r="P1150" s="17">
        <v>0</v>
      </c>
    </row>
    <row r="1151" spans="1:16" x14ac:dyDescent="0.3">
      <c r="A1151" s="19">
        <v>3904</v>
      </c>
      <c r="B1151" s="20">
        <v>21413.333330000001</v>
      </c>
      <c r="C1151" s="21" t="s">
        <v>14</v>
      </c>
      <c r="D1151" s="21">
        <v>0</v>
      </c>
      <c r="E1151" s="21">
        <v>1</v>
      </c>
      <c r="F1151" s="21">
        <v>0</v>
      </c>
      <c r="G1151" s="21">
        <v>1</v>
      </c>
      <c r="H1151" s="21">
        <v>0</v>
      </c>
      <c r="I1151" s="21" t="s">
        <v>17</v>
      </c>
      <c r="J1151" s="21">
        <v>1</v>
      </c>
      <c r="K1151" s="22">
        <v>1</v>
      </c>
      <c r="O1151" s="20">
        <v>21413.333330000001</v>
      </c>
      <c r="P1151" s="21">
        <v>0</v>
      </c>
    </row>
    <row r="1152" spans="1:16" x14ac:dyDescent="0.3">
      <c r="A1152" s="15">
        <v>3907</v>
      </c>
      <c r="B1152" s="16">
        <v>72508.5</v>
      </c>
      <c r="C1152" s="17" t="s">
        <v>12</v>
      </c>
      <c r="D1152" s="17">
        <v>1</v>
      </c>
      <c r="E1152" s="17">
        <v>1</v>
      </c>
      <c r="F1152" s="17">
        <v>0</v>
      </c>
      <c r="G1152" s="17">
        <v>1</v>
      </c>
      <c r="H1152" s="17">
        <v>0</v>
      </c>
      <c r="I1152" s="17" t="s">
        <v>17</v>
      </c>
      <c r="J1152" s="17">
        <v>1</v>
      </c>
      <c r="K1152" s="18">
        <v>1</v>
      </c>
      <c r="O1152" s="16">
        <v>72508.5</v>
      </c>
      <c r="P1152" s="17">
        <v>0</v>
      </c>
    </row>
    <row r="1153" spans="1:16" x14ac:dyDescent="0.3">
      <c r="A1153" s="19">
        <v>3909</v>
      </c>
      <c r="B1153" s="20">
        <v>25000</v>
      </c>
      <c r="C1153" s="21" t="s">
        <v>14</v>
      </c>
      <c r="D1153" s="21">
        <v>0</v>
      </c>
      <c r="E1153" s="21">
        <v>0</v>
      </c>
      <c r="F1153" s="21">
        <v>0</v>
      </c>
      <c r="G1153" s="21">
        <v>1</v>
      </c>
      <c r="H1153" s="21">
        <v>0</v>
      </c>
      <c r="I1153" s="21" t="s">
        <v>17</v>
      </c>
      <c r="J1153" s="21">
        <v>1</v>
      </c>
      <c r="K1153" s="22">
        <v>0</v>
      </c>
      <c r="O1153" s="20">
        <v>25000</v>
      </c>
      <c r="P1153" s="21">
        <v>0</v>
      </c>
    </row>
    <row r="1154" spans="1:16" x14ac:dyDescent="0.3">
      <c r="A1154" s="15">
        <v>3914</v>
      </c>
      <c r="B1154" s="16">
        <v>75000</v>
      </c>
      <c r="C1154" s="17" t="s">
        <v>14</v>
      </c>
      <c r="D1154" s="17">
        <v>0</v>
      </c>
      <c r="E1154" s="17">
        <v>0</v>
      </c>
      <c r="F1154" s="17">
        <v>0</v>
      </c>
      <c r="G1154" s="17">
        <v>1</v>
      </c>
      <c r="H1154" s="17">
        <v>0</v>
      </c>
      <c r="I1154" s="17" t="s">
        <v>17</v>
      </c>
      <c r="J1154" s="17">
        <v>1</v>
      </c>
      <c r="K1154" s="18">
        <v>0</v>
      </c>
      <c r="O1154" s="16">
        <v>75000</v>
      </c>
      <c r="P1154" s="17">
        <v>0</v>
      </c>
    </row>
    <row r="1155" spans="1:16" x14ac:dyDescent="0.3">
      <c r="A1155" s="19">
        <v>3915</v>
      </c>
      <c r="B1155" s="20">
        <v>18264.840179999999</v>
      </c>
      <c r="C1155" s="21" t="s">
        <v>14</v>
      </c>
      <c r="D1155" s="21">
        <v>0</v>
      </c>
      <c r="E1155" s="21">
        <v>0</v>
      </c>
      <c r="F1155" s="21">
        <v>0</v>
      </c>
      <c r="G1155" s="21">
        <v>1</v>
      </c>
      <c r="H1155" s="21">
        <v>0</v>
      </c>
      <c r="I1155" s="21" t="s">
        <v>17</v>
      </c>
      <c r="J1155" s="21">
        <v>1</v>
      </c>
      <c r="K1155" s="22">
        <v>0</v>
      </c>
      <c r="O1155" s="20">
        <v>18264.840179999999</v>
      </c>
      <c r="P1155" s="21">
        <v>0</v>
      </c>
    </row>
    <row r="1156" spans="1:16" x14ac:dyDescent="0.3">
      <c r="A1156" s="15">
        <v>3918</v>
      </c>
      <c r="B1156" s="16">
        <v>136363.63639999999</v>
      </c>
      <c r="C1156" s="17" t="s">
        <v>14</v>
      </c>
      <c r="D1156" s="17">
        <v>0</v>
      </c>
      <c r="E1156" s="17">
        <v>0</v>
      </c>
      <c r="F1156" s="17">
        <v>0</v>
      </c>
      <c r="G1156" s="17">
        <v>0</v>
      </c>
      <c r="H1156" s="17">
        <v>1</v>
      </c>
      <c r="I1156" s="17" t="s">
        <v>15</v>
      </c>
      <c r="J1156" s="17">
        <v>1</v>
      </c>
      <c r="K1156" s="18">
        <v>0</v>
      </c>
      <c r="O1156" s="16">
        <v>136363.63639999999</v>
      </c>
      <c r="P1156" s="17">
        <v>0</v>
      </c>
    </row>
    <row r="1157" spans="1:16" x14ac:dyDescent="0.3">
      <c r="A1157" s="19">
        <v>3927</v>
      </c>
      <c r="B1157" s="20">
        <v>66666.666670000006</v>
      </c>
      <c r="C1157" s="21" t="s">
        <v>14</v>
      </c>
      <c r="D1157" s="21">
        <v>0</v>
      </c>
      <c r="E1157" s="21">
        <v>0</v>
      </c>
      <c r="F1157" s="21">
        <v>0</v>
      </c>
      <c r="G1157" s="21">
        <v>0</v>
      </c>
      <c r="H1157" s="21">
        <v>1</v>
      </c>
      <c r="I1157" s="21" t="s">
        <v>15</v>
      </c>
      <c r="J1157" s="21">
        <v>1</v>
      </c>
      <c r="K1157" s="22">
        <v>0</v>
      </c>
      <c r="O1157" s="20">
        <v>66666.666670000006</v>
      </c>
      <c r="P1157" s="21">
        <v>0</v>
      </c>
    </row>
    <row r="1158" spans="1:16" x14ac:dyDescent="0.3">
      <c r="A1158" s="15">
        <v>3933</v>
      </c>
      <c r="B1158" s="16">
        <v>150000</v>
      </c>
      <c r="C1158" s="17" t="s">
        <v>14</v>
      </c>
      <c r="D1158" s="17">
        <v>0</v>
      </c>
      <c r="E1158" s="17">
        <v>0</v>
      </c>
      <c r="F1158" s="17">
        <v>0</v>
      </c>
      <c r="G1158" s="17">
        <v>0</v>
      </c>
      <c r="H1158" s="17">
        <v>1</v>
      </c>
      <c r="I1158" s="17" t="s">
        <v>15</v>
      </c>
      <c r="J1158" s="17">
        <v>1</v>
      </c>
      <c r="K1158" s="18">
        <v>0</v>
      </c>
      <c r="O1158" s="16">
        <v>150000</v>
      </c>
      <c r="P1158" s="17">
        <v>0</v>
      </c>
    </row>
    <row r="1159" spans="1:16" x14ac:dyDescent="0.3">
      <c r="A1159" s="19">
        <v>3939</v>
      </c>
      <c r="B1159" s="20">
        <v>114833.3333</v>
      </c>
      <c r="C1159" s="21" t="s">
        <v>14</v>
      </c>
      <c r="D1159" s="21">
        <v>0</v>
      </c>
      <c r="E1159" s="21">
        <v>0</v>
      </c>
      <c r="F1159" s="21">
        <v>0</v>
      </c>
      <c r="G1159" s="21">
        <v>0</v>
      </c>
      <c r="H1159" s="21">
        <v>1</v>
      </c>
      <c r="I1159" s="21" t="s">
        <v>15</v>
      </c>
      <c r="J1159" s="21">
        <v>0</v>
      </c>
      <c r="K1159" s="22">
        <v>1</v>
      </c>
      <c r="O1159" s="20">
        <v>114833.3333</v>
      </c>
      <c r="P1159" s="21">
        <v>0</v>
      </c>
    </row>
    <row r="1160" spans="1:16" x14ac:dyDescent="0.3">
      <c r="A1160" s="15">
        <v>3945</v>
      </c>
      <c r="B1160" s="16">
        <v>50000</v>
      </c>
      <c r="C1160" s="17" t="s">
        <v>14</v>
      </c>
      <c r="D1160" s="17">
        <v>0</v>
      </c>
      <c r="E1160" s="17">
        <v>0</v>
      </c>
      <c r="F1160" s="17">
        <v>0</v>
      </c>
      <c r="G1160" s="17">
        <v>0</v>
      </c>
      <c r="H1160" s="17">
        <v>1</v>
      </c>
      <c r="I1160" s="17" t="s">
        <v>15</v>
      </c>
      <c r="J1160" s="17">
        <v>1</v>
      </c>
      <c r="K1160" s="18">
        <v>1</v>
      </c>
      <c r="O1160" s="16">
        <v>50000</v>
      </c>
      <c r="P1160" s="17">
        <v>0</v>
      </c>
    </row>
    <row r="1161" spans="1:16" x14ac:dyDescent="0.3">
      <c r="A1161" s="19">
        <v>3947</v>
      </c>
      <c r="B1161" s="20">
        <v>50000</v>
      </c>
      <c r="C1161" s="21" t="s">
        <v>14</v>
      </c>
      <c r="D1161" s="21">
        <v>0</v>
      </c>
      <c r="E1161" s="21">
        <v>0</v>
      </c>
      <c r="F1161" s="21">
        <v>0</v>
      </c>
      <c r="G1161" s="21">
        <v>0</v>
      </c>
      <c r="H1161" s="21">
        <v>1</v>
      </c>
      <c r="I1161" s="21" t="s">
        <v>15</v>
      </c>
      <c r="J1161" s="21">
        <v>1</v>
      </c>
      <c r="K1161" s="22">
        <v>1</v>
      </c>
      <c r="O1161" s="20">
        <v>50000</v>
      </c>
      <c r="P1161" s="21">
        <v>0</v>
      </c>
    </row>
    <row r="1162" spans="1:16" x14ac:dyDescent="0.3">
      <c r="A1162" s="15">
        <v>3948</v>
      </c>
      <c r="B1162" s="16">
        <v>50000</v>
      </c>
      <c r="C1162" s="17" t="s">
        <v>14</v>
      </c>
      <c r="D1162" s="17">
        <v>0</v>
      </c>
      <c r="E1162" s="17">
        <v>0</v>
      </c>
      <c r="F1162" s="17">
        <v>0</v>
      </c>
      <c r="G1162" s="17">
        <v>0</v>
      </c>
      <c r="H1162" s="17">
        <v>1</v>
      </c>
      <c r="I1162" s="17" t="s">
        <v>15</v>
      </c>
      <c r="J1162" s="17">
        <v>1</v>
      </c>
      <c r="K1162" s="18">
        <v>1</v>
      </c>
      <c r="O1162" s="16">
        <v>50000</v>
      </c>
      <c r="P1162" s="17">
        <v>0</v>
      </c>
    </row>
    <row r="1163" spans="1:16" x14ac:dyDescent="0.3">
      <c r="A1163" s="19">
        <v>3952</v>
      </c>
      <c r="B1163" s="20">
        <v>84745.762709999995</v>
      </c>
      <c r="C1163" s="21" t="s">
        <v>14</v>
      </c>
      <c r="D1163" s="21">
        <v>0</v>
      </c>
      <c r="E1163" s="21">
        <v>0</v>
      </c>
      <c r="F1163" s="21">
        <v>0</v>
      </c>
      <c r="G1163" s="21">
        <v>0</v>
      </c>
      <c r="H1163" s="21">
        <v>1</v>
      </c>
      <c r="I1163" s="21" t="s">
        <v>15</v>
      </c>
      <c r="J1163" s="21">
        <v>1</v>
      </c>
      <c r="K1163" s="22">
        <v>1</v>
      </c>
      <c r="O1163" s="20">
        <v>84745.762709999995</v>
      </c>
      <c r="P1163" s="21">
        <v>0</v>
      </c>
    </row>
    <row r="1164" spans="1:16" x14ac:dyDescent="0.3">
      <c r="A1164" s="15">
        <v>3960</v>
      </c>
      <c r="B1164" s="16">
        <v>20000</v>
      </c>
      <c r="C1164" s="17" t="s">
        <v>14</v>
      </c>
      <c r="D1164" s="17">
        <v>0</v>
      </c>
      <c r="E1164" s="17">
        <v>0</v>
      </c>
      <c r="F1164" s="17">
        <v>0</v>
      </c>
      <c r="G1164" s="17">
        <v>0</v>
      </c>
      <c r="H1164" s="17">
        <v>1</v>
      </c>
      <c r="I1164" s="17" t="s">
        <v>15</v>
      </c>
      <c r="J1164" s="17">
        <v>0</v>
      </c>
      <c r="K1164" s="18">
        <v>1</v>
      </c>
      <c r="O1164" s="16">
        <v>20000</v>
      </c>
      <c r="P1164" s="17">
        <v>0</v>
      </c>
    </row>
    <row r="1165" spans="1:16" x14ac:dyDescent="0.3">
      <c r="A1165" s="19">
        <v>3963</v>
      </c>
      <c r="B1165" s="20">
        <v>83333.333329999994</v>
      </c>
      <c r="C1165" s="21" t="s">
        <v>14</v>
      </c>
      <c r="D1165" s="21">
        <v>0</v>
      </c>
      <c r="E1165" s="21">
        <v>0</v>
      </c>
      <c r="F1165" s="21">
        <v>0</v>
      </c>
      <c r="G1165" s="21">
        <v>0</v>
      </c>
      <c r="H1165" s="21">
        <v>1</v>
      </c>
      <c r="I1165" s="21" t="s">
        <v>15</v>
      </c>
      <c r="J1165" s="21">
        <v>0</v>
      </c>
      <c r="K1165" s="22">
        <v>1</v>
      </c>
      <c r="O1165" s="20">
        <v>83333.333329999994</v>
      </c>
      <c r="P1165" s="21">
        <v>0</v>
      </c>
    </row>
    <row r="1166" spans="1:16" x14ac:dyDescent="0.3">
      <c r="A1166" s="15">
        <v>3968</v>
      </c>
      <c r="B1166" s="16">
        <v>5000</v>
      </c>
      <c r="C1166" s="17" t="s">
        <v>14</v>
      </c>
      <c r="D1166" s="17">
        <v>0</v>
      </c>
      <c r="E1166" s="17">
        <v>1</v>
      </c>
      <c r="F1166" s="17">
        <v>0</v>
      </c>
      <c r="G1166" s="17">
        <v>0</v>
      </c>
      <c r="H1166" s="17">
        <v>1</v>
      </c>
      <c r="I1166" s="17" t="s">
        <v>18</v>
      </c>
      <c r="J1166" s="17">
        <v>1</v>
      </c>
      <c r="K1166" s="18">
        <v>1</v>
      </c>
      <c r="O1166" s="16">
        <v>5000</v>
      </c>
      <c r="P1166" s="17">
        <v>0</v>
      </c>
    </row>
    <row r="1167" spans="1:16" x14ac:dyDescent="0.3">
      <c r="A1167" s="19">
        <v>3972</v>
      </c>
      <c r="B1167" s="20">
        <v>13636.36364</v>
      </c>
      <c r="C1167" s="21" t="s">
        <v>14</v>
      </c>
      <c r="D1167" s="21">
        <v>0</v>
      </c>
      <c r="E1167" s="21">
        <v>0</v>
      </c>
      <c r="F1167" s="21">
        <v>0</v>
      </c>
      <c r="G1167" s="21">
        <v>0</v>
      </c>
      <c r="H1167" s="21">
        <v>1</v>
      </c>
      <c r="I1167" s="21" t="s">
        <v>18</v>
      </c>
      <c r="J1167" s="21">
        <v>1</v>
      </c>
      <c r="K1167" s="22">
        <v>1</v>
      </c>
      <c r="O1167" s="20">
        <v>13636.36364</v>
      </c>
      <c r="P1167" s="21">
        <v>0</v>
      </c>
    </row>
    <row r="1168" spans="1:16" x14ac:dyDescent="0.3">
      <c r="A1168" s="15">
        <v>3975</v>
      </c>
      <c r="B1168" s="16">
        <v>0</v>
      </c>
      <c r="C1168" s="17" t="s">
        <v>14</v>
      </c>
      <c r="D1168" s="17">
        <v>0</v>
      </c>
      <c r="E1168" s="17">
        <v>0</v>
      </c>
      <c r="F1168" s="17">
        <v>0</v>
      </c>
      <c r="G1168" s="17">
        <v>0</v>
      </c>
      <c r="H1168" s="17">
        <v>1</v>
      </c>
      <c r="I1168" s="17" t="s">
        <v>18</v>
      </c>
      <c r="J1168" s="17">
        <v>1</v>
      </c>
      <c r="K1168" s="18">
        <v>0</v>
      </c>
      <c r="O1168" s="16">
        <v>0</v>
      </c>
      <c r="P1168" s="17">
        <v>0</v>
      </c>
    </row>
    <row r="1169" spans="1:16" x14ac:dyDescent="0.3">
      <c r="A1169" s="19">
        <v>3979</v>
      </c>
      <c r="B1169" s="20">
        <v>-3478.2608700000001</v>
      </c>
      <c r="C1169" s="21" t="s">
        <v>14</v>
      </c>
      <c r="D1169" s="21">
        <v>0</v>
      </c>
      <c r="E1169" s="21">
        <v>0</v>
      </c>
      <c r="F1169" s="21">
        <v>0</v>
      </c>
      <c r="G1169" s="21">
        <v>0</v>
      </c>
      <c r="H1169" s="21">
        <v>1</v>
      </c>
      <c r="I1169" s="21" t="s">
        <v>18</v>
      </c>
      <c r="J1169" s="21">
        <v>1</v>
      </c>
      <c r="K1169" s="22">
        <v>0</v>
      </c>
      <c r="O1169" s="20">
        <v>-3478.2608700000001</v>
      </c>
      <c r="P1169" s="21">
        <v>0</v>
      </c>
    </row>
    <row r="1170" spans="1:16" x14ac:dyDescent="0.3">
      <c r="A1170" s="15">
        <v>3980</v>
      </c>
      <c r="B1170" s="16">
        <v>-3333.333333</v>
      </c>
      <c r="C1170" s="17" t="s">
        <v>14</v>
      </c>
      <c r="D1170" s="17">
        <v>0</v>
      </c>
      <c r="E1170" s="17">
        <v>0</v>
      </c>
      <c r="F1170" s="17">
        <v>0</v>
      </c>
      <c r="G1170" s="17">
        <v>0</v>
      </c>
      <c r="H1170" s="17">
        <v>1</v>
      </c>
      <c r="I1170" s="17" t="s">
        <v>18</v>
      </c>
      <c r="J1170" s="17">
        <v>1</v>
      </c>
      <c r="K1170" s="18">
        <v>0</v>
      </c>
      <c r="O1170" s="16">
        <v>-3333.333333</v>
      </c>
      <c r="P1170" s="17">
        <v>0</v>
      </c>
    </row>
    <row r="1171" spans="1:16" x14ac:dyDescent="0.3">
      <c r="A1171" s="19">
        <v>3981</v>
      </c>
      <c r="B1171" s="20">
        <v>-4166.6666670000004</v>
      </c>
      <c r="C1171" s="21" t="s">
        <v>14</v>
      </c>
      <c r="D1171" s="21">
        <v>0</v>
      </c>
      <c r="E1171" s="21">
        <v>0</v>
      </c>
      <c r="F1171" s="21">
        <v>0</v>
      </c>
      <c r="G1171" s="21">
        <v>0</v>
      </c>
      <c r="H1171" s="21">
        <v>1</v>
      </c>
      <c r="I1171" s="21" t="s">
        <v>18</v>
      </c>
      <c r="J1171" s="21">
        <v>1</v>
      </c>
      <c r="K1171" s="22">
        <v>0</v>
      </c>
      <c r="O1171" s="20">
        <v>-4166.6666670000004</v>
      </c>
      <c r="P1171" s="21">
        <v>0</v>
      </c>
    </row>
    <row r="1172" spans="1:16" x14ac:dyDescent="0.3">
      <c r="A1172" s="15">
        <v>3983</v>
      </c>
      <c r="B1172" s="16">
        <v>1875</v>
      </c>
      <c r="C1172" s="17" t="s">
        <v>14</v>
      </c>
      <c r="D1172" s="17">
        <v>0</v>
      </c>
      <c r="E1172" s="17">
        <v>0</v>
      </c>
      <c r="F1172" s="17">
        <v>0</v>
      </c>
      <c r="G1172" s="17">
        <v>0</v>
      </c>
      <c r="H1172" s="17">
        <v>1</v>
      </c>
      <c r="I1172" s="17" t="s">
        <v>18</v>
      </c>
      <c r="J1172" s="17">
        <v>1</v>
      </c>
      <c r="K1172" s="18">
        <v>0</v>
      </c>
      <c r="O1172" s="16">
        <v>1875</v>
      </c>
      <c r="P1172" s="17">
        <v>0</v>
      </c>
    </row>
    <row r="1173" spans="1:16" x14ac:dyDescent="0.3">
      <c r="A1173" s="19">
        <v>4006</v>
      </c>
      <c r="B1173" s="20">
        <v>-9523.8095240000002</v>
      </c>
      <c r="C1173" s="21" t="s">
        <v>14</v>
      </c>
      <c r="D1173" s="21">
        <v>0</v>
      </c>
      <c r="E1173" s="21">
        <v>0</v>
      </c>
      <c r="F1173" s="21">
        <v>0</v>
      </c>
      <c r="G1173" s="21">
        <v>0</v>
      </c>
      <c r="H1173" s="21">
        <v>1</v>
      </c>
      <c r="I1173" s="21" t="s">
        <v>18</v>
      </c>
      <c r="J1173" s="21">
        <v>1</v>
      </c>
      <c r="K1173" s="22">
        <v>1</v>
      </c>
      <c r="O1173" s="20">
        <v>-9523.8095240000002</v>
      </c>
      <c r="P1173" s="21">
        <v>0</v>
      </c>
    </row>
    <row r="1174" spans="1:16" x14ac:dyDescent="0.3">
      <c r="A1174" s="15">
        <v>4008</v>
      </c>
      <c r="B1174" s="16">
        <v>5000</v>
      </c>
      <c r="C1174" s="17" t="s">
        <v>12</v>
      </c>
      <c r="D1174" s="17">
        <v>1</v>
      </c>
      <c r="E1174" s="17">
        <v>0</v>
      </c>
      <c r="F1174" s="17">
        <v>0</v>
      </c>
      <c r="G1174" s="17">
        <v>0</v>
      </c>
      <c r="H1174" s="17">
        <v>1</v>
      </c>
      <c r="I1174" s="17" t="s">
        <v>18</v>
      </c>
      <c r="J1174" s="17">
        <v>1</v>
      </c>
      <c r="K1174" s="18">
        <v>0</v>
      </c>
      <c r="O1174" s="16">
        <v>5000</v>
      </c>
      <c r="P1174" s="17">
        <v>0</v>
      </c>
    </row>
    <row r="1175" spans="1:16" x14ac:dyDescent="0.3">
      <c r="A1175" s="19">
        <v>4014</v>
      </c>
      <c r="B1175" s="20">
        <v>4545.4545449999996</v>
      </c>
      <c r="C1175" s="21" t="s">
        <v>14</v>
      </c>
      <c r="D1175" s="21">
        <v>0</v>
      </c>
      <c r="E1175" s="21">
        <v>0</v>
      </c>
      <c r="F1175" s="21">
        <v>0</v>
      </c>
      <c r="G1175" s="21">
        <v>0</v>
      </c>
      <c r="H1175" s="21">
        <v>1</v>
      </c>
      <c r="I1175" s="21" t="s">
        <v>18</v>
      </c>
      <c r="J1175" s="21">
        <v>1</v>
      </c>
      <c r="K1175" s="22">
        <v>0</v>
      </c>
      <c r="O1175" s="20">
        <v>4545.4545449999996</v>
      </c>
      <c r="P1175" s="21">
        <v>0</v>
      </c>
    </row>
    <row r="1176" spans="1:16" x14ac:dyDescent="0.3">
      <c r="A1176" s="15">
        <v>4041</v>
      </c>
      <c r="B1176" s="16">
        <v>4545.4545449999996</v>
      </c>
      <c r="C1176" s="17" t="s">
        <v>12</v>
      </c>
      <c r="D1176" s="17">
        <v>1</v>
      </c>
      <c r="E1176" s="17">
        <v>1</v>
      </c>
      <c r="F1176" s="17">
        <v>0</v>
      </c>
      <c r="G1176" s="17">
        <v>0</v>
      </c>
      <c r="H1176" s="17">
        <v>1</v>
      </c>
      <c r="I1176" s="17" t="s">
        <v>18</v>
      </c>
      <c r="J1176" s="17">
        <v>1</v>
      </c>
      <c r="K1176" s="18">
        <v>1</v>
      </c>
      <c r="O1176" s="16">
        <v>4545.4545449999996</v>
      </c>
      <c r="P1176" s="17">
        <v>0</v>
      </c>
    </row>
    <row r="1177" spans="1:16" x14ac:dyDescent="0.3">
      <c r="A1177" s="19">
        <v>4042</v>
      </c>
      <c r="B1177" s="20">
        <v>4545.4545449999996</v>
      </c>
      <c r="C1177" s="21" t="s">
        <v>14</v>
      </c>
      <c r="D1177" s="21">
        <v>0</v>
      </c>
      <c r="E1177" s="21">
        <v>1</v>
      </c>
      <c r="F1177" s="21">
        <v>0</v>
      </c>
      <c r="G1177" s="21">
        <v>0</v>
      </c>
      <c r="H1177" s="21">
        <v>1</v>
      </c>
      <c r="I1177" s="21" t="s">
        <v>18</v>
      </c>
      <c r="J1177" s="21">
        <v>1</v>
      </c>
      <c r="K1177" s="22">
        <v>1</v>
      </c>
      <c r="O1177" s="20">
        <v>4545.4545449999996</v>
      </c>
      <c r="P1177" s="21">
        <v>0</v>
      </c>
    </row>
    <row r="1178" spans="1:16" x14ac:dyDescent="0.3">
      <c r="A1178" s="15">
        <v>4044</v>
      </c>
      <c r="B1178" s="16">
        <v>-40000</v>
      </c>
      <c r="C1178" s="17" t="s">
        <v>14</v>
      </c>
      <c r="D1178" s="17">
        <v>0</v>
      </c>
      <c r="E1178" s="17">
        <v>1</v>
      </c>
      <c r="F1178" s="17">
        <v>0</v>
      </c>
      <c r="G1178" s="17">
        <v>0</v>
      </c>
      <c r="H1178" s="17">
        <v>1</v>
      </c>
      <c r="I1178" s="17" t="s">
        <v>18</v>
      </c>
      <c r="J1178" s="17">
        <v>1</v>
      </c>
      <c r="K1178" s="18">
        <v>1</v>
      </c>
      <c r="O1178" s="16">
        <v>-40000</v>
      </c>
      <c r="P1178" s="17">
        <v>0</v>
      </c>
    </row>
    <row r="1179" spans="1:16" x14ac:dyDescent="0.3">
      <c r="A1179" s="19">
        <v>4050</v>
      </c>
      <c r="B1179" s="20">
        <v>3759.3984959999998</v>
      </c>
      <c r="C1179" s="21" t="s">
        <v>14</v>
      </c>
      <c r="D1179" s="21">
        <v>0</v>
      </c>
      <c r="E1179" s="21">
        <v>0</v>
      </c>
      <c r="F1179" s="21">
        <v>0</v>
      </c>
      <c r="G1179" s="21">
        <v>0</v>
      </c>
      <c r="H1179" s="21">
        <v>1</v>
      </c>
      <c r="I1179" s="21" t="s">
        <v>18</v>
      </c>
      <c r="J1179" s="21">
        <v>0</v>
      </c>
      <c r="K1179" s="22">
        <v>1</v>
      </c>
      <c r="O1179" s="20">
        <v>3759.3984959999998</v>
      </c>
      <c r="P1179" s="21">
        <v>0</v>
      </c>
    </row>
    <row r="1180" spans="1:16" x14ac:dyDescent="0.3">
      <c r="A1180" s="15">
        <v>4061</v>
      </c>
      <c r="B1180" s="16">
        <v>150000</v>
      </c>
      <c r="C1180" s="17" t="s">
        <v>14</v>
      </c>
      <c r="D1180" s="17">
        <v>0</v>
      </c>
      <c r="E1180" s="17">
        <v>1</v>
      </c>
      <c r="F1180" s="17">
        <v>0</v>
      </c>
      <c r="G1180" s="17">
        <v>0</v>
      </c>
      <c r="H1180" s="17">
        <v>1</v>
      </c>
      <c r="I1180" s="17" t="s">
        <v>18</v>
      </c>
      <c r="J1180" s="17">
        <v>1</v>
      </c>
      <c r="K1180" s="18">
        <v>1</v>
      </c>
      <c r="O1180" s="16">
        <v>150000</v>
      </c>
      <c r="P1180" s="17">
        <v>0</v>
      </c>
    </row>
    <row r="1181" spans="1:16" x14ac:dyDescent="0.3">
      <c r="A1181" s="19">
        <v>4112</v>
      </c>
      <c r="B1181" s="20">
        <v>4545.4545449999996</v>
      </c>
      <c r="C1181" s="21" t="s">
        <v>14</v>
      </c>
      <c r="D1181" s="21">
        <v>0</v>
      </c>
      <c r="E1181" s="21">
        <v>1</v>
      </c>
      <c r="F1181" s="21">
        <v>0</v>
      </c>
      <c r="G1181" s="21">
        <v>1</v>
      </c>
      <c r="H1181" s="21">
        <v>0</v>
      </c>
      <c r="I1181" s="21" t="s">
        <v>17</v>
      </c>
      <c r="J1181" s="21">
        <v>1</v>
      </c>
      <c r="K1181" s="22">
        <v>0</v>
      </c>
      <c r="O1181" s="20">
        <v>4545.4545449999996</v>
      </c>
      <c r="P1181" s="21">
        <v>0</v>
      </c>
    </row>
    <row r="1182" spans="1:16" x14ac:dyDescent="0.3">
      <c r="A1182" s="15">
        <v>4115</v>
      </c>
      <c r="B1182" s="16">
        <v>40000</v>
      </c>
      <c r="C1182" s="17" t="s">
        <v>14</v>
      </c>
      <c r="D1182" s="17">
        <v>0</v>
      </c>
      <c r="E1182" s="17">
        <v>1</v>
      </c>
      <c r="F1182" s="17">
        <v>0</v>
      </c>
      <c r="G1182" s="17">
        <v>1</v>
      </c>
      <c r="H1182" s="17">
        <v>0</v>
      </c>
      <c r="I1182" s="17" t="s">
        <v>17</v>
      </c>
      <c r="J1182" s="17">
        <v>1</v>
      </c>
      <c r="K1182" s="18">
        <v>0</v>
      </c>
      <c r="O1182" s="16">
        <v>40000</v>
      </c>
      <c r="P1182" s="17">
        <v>0</v>
      </c>
    </row>
    <row r="1183" spans="1:16" x14ac:dyDescent="0.3">
      <c r="A1183" s="19">
        <v>4125</v>
      </c>
      <c r="B1183" s="20">
        <v>21428.57143</v>
      </c>
      <c r="C1183" s="21" t="s">
        <v>14</v>
      </c>
      <c r="D1183" s="21">
        <v>0</v>
      </c>
      <c r="E1183" s="21">
        <v>1</v>
      </c>
      <c r="F1183" s="21">
        <v>0</v>
      </c>
      <c r="G1183" s="21">
        <v>1</v>
      </c>
      <c r="H1183" s="21">
        <v>0</v>
      </c>
      <c r="I1183" s="21" t="s">
        <v>17</v>
      </c>
      <c r="J1183" s="21">
        <v>1</v>
      </c>
      <c r="K1183" s="22">
        <v>0</v>
      </c>
      <c r="O1183" s="20">
        <v>21428.57143</v>
      </c>
      <c r="P1183" s="21">
        <v>0</v>
      </c>
    </row>
    <row r="1184" spans="1:16" x14ac:dyDescent="0.3">
      <c r="A1184" s="15">
        <v>4126</v>
      </c>
      <c r="B1184" s="16">
        <v>13952.380950000001</v>
      </c>
      <c r="C1184" s="17" t="s">
        <v>14</v>
      </c>
      <c r="D1184" s="17">
        <v>0</v>
      </c>
      <c r="E1184" s="17">
        <v>0</v>
      </c>
      <c r="F1184" s="17">
        <v>0</v>
      </c>
      <c r="G1184" s="17">
        <v>1</v>
      </c>
      <c r="H1184" s="17">
        <v>0</v>
      </c>
      <c r="I1184" s="17" t="s">
        <v>17</v>
      </c>
      <c r="J1184" s="17">
        <v>1</v>
      </c>
      <c r="K1184" s="18">
        <v>0</v>
      </c>
      <c r="O1184" s="16">
        <v>13952.380950000001</v>
      </c>
      <c r="P1184" s="17">
        <v>0</v>
      </c>
    </row>
    <row r="1185" spans="1:16" x14ac:dyDescent="0.3">
      <c r="A1185" s="19">
        <v>4127</v>
      </c>
      <c r="B1185" s="20">
        <v>48449.541279999998</v>
      </c>
      <c r="C1185" s="21" t="s">
        <v>14</v>
      </c>
      <c r="D1185" s="21">
        <v>0</v>
      </c>
      <c r="E1185" s="21">
        <v>1</v>
      </c>
      <c r="F1185" s="21">
        <v>0</v>
      </c>
      <c r="G1185" s="21">
        <v>1</v>
      </c>
      <c r="H1185" s="21">
        <v>0</v>
      </c>
      <c r="I1185" s="21" t="s">
        <v>17</v>
      </c>
      <c r="J1185" s="21">
        <v>1</v>
      </c>
      <c r="K1185" s="22">
        <v>0</v>
      </c>
      <c r="O1185" s="20">
        <v>48449.541279999998</v>
      </c>
      <c r="P1185" s="21">
        <v>0</v>
      </c>
    </row>
    <row r="1186" spans="1:16" x14ac:dyDescent="0.3">
      <c r="A1186" s="15">
        <v>4129</v>
      </c>
      <c r="B1186" s="16">
        <v>24174.047620000001</v>
      </c>
      <c r="C1186" s="17" t="s">
        <v>14</v>
      </c>
      <c r="D1186" s="17">
        <v>0</v>
      </c>
      <c r="E1186" s="17">
        <v>1</v>
      </c>
      <c r="F1186" s="17">
        <v>0</v>
      </c>
      <c r="G1186" s="17">
        <v>1</v>
      </c>
      <c r="H1186" s="17">
        <v>0</v>
      </c>
      <c r="I1186" s="17" t="s">
        <v>17</v>
      </c>
      <c r="J1186" s="17">
        <v>1</v>
      </c>
      <c r="K1186" s="18">
        <v>0</v>
      </c>
      <c r="O1186" s="16">
        <v>24174.047620000001</v>
      </c>
      <c r="P1186" s="17">
        <v>0</v>
      </c>
    </row>
    <row r="1187" spans="1:16" x14ac:dyDescent="0.3">
      <c r="A1187" s="19">
        <v>4130</v>
      </c>
      <c r="B1187" s="20">
        <v>25487.5</v>
      </c>
      <c r="C1187" s="21" t="s">
        <v>14</v>
      </c>
      <c r="D1187" s="21">
        <v>0</v>
      </c>
      <c r="E1187" s="21">
        <v>1</v>
      </c>
      <c r="F1187" s="21">
        <v>0</v>
      </c>
      <c r="G1187" s="21">
        <v>1</v>
      </c>
      <c r="H1187" s="21">
        <v>0</v>
      </c>
      <c r="I1187" s="21" t="s">
        <v>17</v>
      </c>
      <c r="J1187" s="21">
        <v>1</v>
      </c>
      <c r="K1187" s="22">
        <v>0</v>
      </c>
      <c r="O1187" s="20">
        <v>25487.5</v>
      </c>
      <c r="P1187" s="21">
        <v>0</v>
      </c>
    </row>
    <row r="1188" spans="1:16" x14ac:dyDescent="0.3">
      <c r="A1188" s="15">
        <v>4131</v>
      </c>
      <c r="B1188" s="16">
        <v>103448.27589999999</v>
      </c>
      <c r="C1188" s="17" t="s">
        <v>14</v>
      </c>
      <c r="D1188" s="17">
        <v>0</v>
      </c>
      <c r="E1188" s="17">
        <v>1</v>
      </c>
      <c r="F1188" s="17">
        <v>1</v>
      </c>
      <c r="G1188" s="17">
        <v>1</v>
      </c>
      <c r="H1188" s="17">
        <v>0</v>
      </c>
      <c r="I1188" s="17" t="s">
        <v>17</v>
      </c>
      <c r="J1188" s="17">
        <v>1</v>
      </c>
      <c r="K1188" s="18">
        <v>0</v>
      </c>
      <c r="O1188" s="16">
        <v>103448.27589999999</v>
      </c>
      <c r="P1188" s="17">
        <v>1</v>
      </c>
    </row>
    <row r="1189" spans="1:16" x14ac:dyDescent="0.3">
      <c r="A1189" s="19">
        <v>4134</v>
      </c>
      <c r="B1189" s="20">
        <v>4866.1800489999996</v>
      </c>
      <c r="C1189" s="21" t="s">
        <v>14</v>
      </c>
      <c r="D1189" s="21">
        <v>0</v>
      </c>
      <c r="E1189" s="21">
        <v>1</v>
      </c>
      <c r="F1189" s="21">
        <v>0</v>
      </c>
      <c r="G1189" s="21">
        <v>1</v>
      </c>
      <c r="H1189" s="21">
        <v>0</v>
      </c>
      <c r="I1189" s="21" t="s">
        <v>17</v>
      </c>
      <c r="J1189" s="21">
        <v>1</v>
      </c>
      <c r="K1189" s="22">
        <v>0</v>
      </c>
      <c r="O1189" s="20">
        <v>4866.1800489999996</v>
      </c>
      <c r="P1189" s="21">
        <v>0</v>
      </c>
    </row>
    <row r="1190" spans="1:16" x14ac:dyDescent="0.3">
      <c r="A1190" s="15">
        <v>4135</v>
      </c>
      <c r="B1190" s="16">
        <v>6082.7250610000001</v>
      </c>
      <c r="C1190" s="17" t="s">
        <v>14</v>
      </c>
      <c r="D1190" s="17">
        <v>0</v>
      </c>
      <c r="E1190" s="17">
        <v>1</v>
      </c>
      <c r="F1190" s="17">
        <v>0</v>
      </c>
      <c r="G1190" s="17">
        <v>1</v>
      </c>
      <c r="H1190" s="17">
        <v>0</v>
      </c>
      <c r="I1190" s="17" t="s">
        <v>17</v>
      </c>
      <c r="J1190" s="17">
        <v>1</v>
      </c>
      <c r="K1190" s="18">
        <v>0</v>
      </c>
      <c r="O1190" s="16">
        <v>6082.7250610000001</v>
      </c>
      <c r="P1190" s="17">
        <v>0</v>
      </c>
    </row>
    <row r="1191" spans="1:16" x14ac:dyDescent="0.3">
      <c r="A1191" s="19">
        <v>4137</v>
      </c>
      <c r="B1191" s="20">
        <v>7738.0952379999999</v>
      </c>
      <c r="C1191" s="21" t="s">
        <v>14</v>
      </c>
      <c r="D1191" s="21">
        <v>0</v>
      </c>
      <c r="E1191" s="21">
        <v>1</v>
      </c>
      <c r="F1191" s="21">
        <v>0</v>
      </c>
      <c r="G1191" s="21">
        <v>1</v>
      </c>
      <c r="H1191" s="21">
        <v>0</v>
      </c>
      <c r="I1191" s="21" t="s">
        <v>17</v>
      </c>
      <c r="J1191" s="21">
        <v>1</v>
      </c>
      <c r="K1191" s="22">
        <v>0</v>
      </c>
      <c r="O1191" s="20">
        <v>7738.0952379999999</v>
      </c>
      <c r="P1191" s="21">
        <v>0</v>
      </c>
    </row>
    <row r="1192" spans="1:16" x14ac:dyDescent="0.3">
      <c r="A1192" s="15">
        <v>4138</v>
      </c>
      <c r="B1192" s="16">
        <v>20887.5</v>
      </c>
      <c r="C1192" s="17" t="s">
        <v>14</v>
      </c>
      <c r="D1192" s="17">
        <v>0</v>
      </c>
      <c r="E1192" s="17">
        <v>0</v>
      </c>
      <c r="F1192" s="17">
        <v>0</v>
      </c>
      <c r="G1192" s="17">
        <v>1</v>
      </c>
      <c r="H1192" s="17">
        <v>0</v>
      </c>
      <c r="I1192" s="17" t="s">
        <v>17</v>
      </c>
      <c r="J1192" s="17">
        <v>1</v>
      </c>
      <c r="K1192" s="18">
        <v>0</v>
      </c>
      <c r="O1192" s="16">
        <v>20887.5</v>
      </c>
      <c r="P1192" s="17">
        <v>0</v>
      </c>
    </row>
    <row r="1193" spans="1:16" x14ac:dyDescent="0.3">
      <c r="A1193" s="19">
        <v>4140</v>
      </c>
      <c r="B1193" s="20">
        <v>13500</v>
      </c>
      <c r="C1193" s="21" t="s">
        <v>14</v>
      </c>
      <c r="D1193" s="21">
        <v>0</v>
      </c>
      <c r="E1193" s="21">
        <v>1</v>
      </c>
      <c r="F1193" s="21">
        <v>0</v>
      </c>
      <c r="G1193" s="21">
        <v>1</v>
      </c>
      <c r="H1193" s="21">
        <v>0</v>
      </c>
      <c r="I1193" s="21" t="s">
        <v>17</v>
      </c>
      <c r="J1193" s="21">
        <v>1</v>
      </c>
      <c r="K1193" s="22">
        <v>0</v>
      </c>
      <c r="O1193" s="20">
        <v>13500</v>
      </c>
      <c r="P1193" s="21">
        <v>0</v>
      </c>
    </row>
    <row r="1194" spans="1:16" x14ac:dyDescent="0.3">
      <c r="A1194" s="15">
        <v>4142</v>
      </c>
      <c r="B1194" s="16">
        <v>7073.954984</v>
      </c>
      <c r="C1194" s="17" t="s">
        <v>14</v>
      </c>
      <c r="D1194" s="17">
        <v>0</v>
      </c>
      <c r="E1194" s="17">
        <v>1</v>
      </c>
      <c r="F1194" s="17">
        <v>0</v>
      </c>
      <c r="G1194" s="17">
        <v>1</v>
      </c>
      <c r="H1194" s="17">
        <v>0</v>
      </c>
      <c r="I1194" s="17" t="s">
        <v>17</v>
      </c>
      <c r="J1194" s="17">
        <v>1</v>
      </c>
      <c r="K1194" s="18">
        <v>0</v>
      </c>
      <c r="O1194" s="16">
        <v>7073.954984</v>
      </c>
      <c r="P1194" s="17">
        <v>0</v>
      </c>
    </row>
    <row r="1195" spans="1:16" x14ac:dyDescent="0.3">
      <c r="A1195" s="19">
        <v>4150</v>
      </c>
      <c r="B1195" s="20">
        <v>47761.194029999999</v>
      </c>
      <c r="C1195" s="21" t="s">
        <v>14</v>
      </c>
      <c r="D1195" s="21">
        <v>0</v>
      </c>
      <c r="E1195" s="21">
        <v>0</v>
      </c>
      <c r="F1195" s="21">
        <v>0</v>
      </c>
      <c r="G1195" s="21">
        <v>0</v>
      </c>
      <c r="H1195" s="21">
        <v>1</v>
      </c>
      <c r="I1195" s="21" t="s">
        <v>15</v>
      </c>
      <c r="J1195" s="21">
        <v>1</v>
      </c>
      <c r="K1195" s="22">
        <v>1</v>
      </c>
      <c r="O1195" s="20">
        <v>47761.194029999999</v>
      </c>
      <c r="P1195" s="21">
        <v>0</v>
      </c>
    </row>
    <row r="1196" spans="1:16" x14ac:dyDescent="0.3">
      <c r="A1196" s="15">
        <v>4151</v>
      </c>
      <c r="B1196" s="16">
        <v>45454.545449999998</v>
      </c>
      <c r="C1196" s="17" t="s">
        <v>14</v>
      </c>
      <c r="D1196" s="17">
        <v>0</v>
      </c>
      <c r="E1196" s="17">
        <v>0</v>
      </c>
      <c r="F1196" s="17">
        <v>0</v>
      </c>
      <c r="G1196" s="17">
        <v>0</v>
      </c>
      <c r="H1196" s="17">
        <v>1</v>
      </c>
      <c r="I1196" s="17" t="s">
        <v>15</v>
      </c>
      <c r="J1196" s="17">
        <v>1</v>
      </c>
      <c r="K1196" s="18">
        <v>0</v>
      </c>
      <c r="O1196" s="16">
        <v>45454.545449999998</v>
      </c>
      <c r="P1196" s="17">
        <v>0</v>
      </c>
    </row>
    <row r="1197" spans="1:16" x14ac:dyDescent="0.3">
      <c r="A1197" s="19">
        <v>4156</v>
      </c>
      <c r="B1197" s="20">
        <v>150000</v>
      </c>
      <c r="C1197" s="21" t="s">
        <v>14</v>
      </c>
      <c r="D1197" s="21">
        <v>0</v>
      </c>
      <c r="E1197" s="21">
        <v>0</v>
      </c>
      <c r="F1197" s="21">
        <v>0</v>
      </c>
      <c r="G1197" s="21">
        <v>0</v>
      </c>
      <c r="H1197" s="21">
        <v>1</v>
      </c>
      <c r="I1197" s="21" t="s">
        <v>15</v>
      </c>
      <c r="J1197" s="21">
        <v>1</v>
      </c>
      <c r="K1197" s="22">
        <v>0</v>
      </c>
      <c r="O1197" s="20">
        <v>150000</v>
      </c>
      <c r="P1197" s="21">
        <v>0</v>
      </c>
    </row>
    <row r="1198" spans="1:16" x14ac:dyDescent="0.3">
      <c r="A1198" s="15">
        <v>4159</v>
      </c>
      <c r="B1198" s="16">
        <v>76923.076920000007</v>
      </c>
      <c r="C1198" s="17" t="s">
        <v>14</v>
      </c>
      <c r="D1198" s="17">
        <v>0</v>
      </c>
      <c r="E1198" s="17">
        <v>0</v>
      </c>
      <c r="F1198" s="17">
        <v>0</v>
      </c>
      <c r="G1198" s="17">
        <v>0</v>
      </c>
      <c r="H1198" s="17">
        <v>1</v>
      </c>
      <c r="I1198" s="17" t="s">
        <v>15</v>
      </c>
      <c r="J1198" s="17">
        <v>1</v>
      </c>
      <c r="K1198" s="18">
        <v>0</v>
      </c>
      <c r="O1198" s="16">
        <v>76923.076920000007</v>
      </c>
      <c r="P1198" s="17">
        <v>0</v>
      </c>
    </row>
    <row r="1199" spans="1:16" x14ac:dyDescent="0.3">
      <c r="A1199" s="19">
        <v>4162</v>
      </c>
      <c r="B1199" s="20">
        <v>86363.636360000004</v>
      </c>
      <c r="C1199" s="21" t="s">
        <v>14</v>
      </c>
      <c r="D1199" s="21">
        <v>0</v>
      </c>
      <c r="E1199" s="21">
        <v>0</v>
      </c>
      <c r="F1199" s="21">
        <v>0</v>
      </c>
      <c r="G1199" s="21">
        <v>0</v>
      </c>
      <c r="H1199" s="21">
        <v>1</v>
      </c>
      <c r="I1199" s="21" t="s">
        <v>15</v>
      </c>
      <c r="J1199" s="21">
        <v>1</v>
      </c>
      <c r="K1199" s="22">
        <v>1</v>
      </c>
      <c r="O1199" s="20">
        <v>86363.636360000004</v>
      </c>
      <c r="P1199" s="21">
        <v>0</v>
      </c>
    </row>
    <row r="1200" spans="1:16" x14ac:dyDescent="0.3">
      <c r="A1200" s="15">
        <v>4163</v>
      </c>
      <c r="B1200" s="16">
        <v>142857.14290000001</v>
      </c>
      <c r="C1200" s="17" t="s">
        <v>14</v>
      </c>
      <c r="D1200" s="17">
        <v>0</v>
      </c>
      <c r="E1200" s="17">
        <v>0</v>
      </c>
      <c r="F1200" s="17">
        <v>0</v>
      </c>
      <c r="G1200" s="17">
        <v>0</v>
      </c>
      <c r="H1200" s="17">
        <v>1</v>
      </c>
      <c r="I1200" s="17" t="s">
        <v>15</v>
      </c>
      <c r="J1200" s="17">
        <v>1</v>
      </c>
      <c r="K1200" s="18">
        <v>0</v>
      </c>
      <c r="O1200" s="16">
        <v>142857.14290000001</v>
      </c>
      <c r="P1200" s="17">
        <v>0</v>
      </c>
    </row>
    <row r="1201" spans="1:16" x14ac:dyDescent="0.3">
      <c r="A1201" s="19">
        <v>4164</v>
      </c>
      <c r="B1201" s="20">
        <v>96774.193549999996</v>
      </c>
      <c r="C1201" s="21" t="s">
        <v>12</v>
      </c>
      <c r="D1201" s="21">
        <v>1</v>
      </c>
      <c r="E1201" s="21">
        <v>0</v>
      </c>
      <c r="F1201" s="21">
        <v>0</v>
      </c>
      <c r="G1201" s="21">
        <v>0</v>
      </c>
      <c r="H1201" s="21">
        <v>1</v>
      </c>
      <c r="I1201" s="21" t="s">
        <v>15</v>
      </c>
      <c r="J1201" s="21">
        <v>1</v>
      </c>
      <c r="K1201" s="22">
        <v>0</v>
      </c>
      <c r="O1201" s="20">
        <v>96774.193549999996</v>
      </c>
      <c r="P1201" s="21">
        <v>0</v>
      </c>
    </row>
    <row r="1202" spans="1:16" x14ac:dyDescent="0.3">
      <c r="A1202" s="15">
        <v>4171</v>
      </c>
      <c r="B1202" s="16">
        <v>95238.095239999995</v>
      </c>
      <c r="C1202" s="17" t="s">
        <v>12</v>
      </c>
      <c r="D1202" s="17">
        <v>1</v>
      </c>
      <c r="E1202" s="17">
        <v>0</v>
      </c>
      <c r="F1202" s="17">
        <v>0</v>
      </c>
      <c r="G1202" s="17">
        <v>0</v>
      </c>
      <c r="H1202" s="17">
        <v>1</v>
      </c>
      <c r="I1202" s="17" t="s">
        <v>15</v>
      </c>
      <c r="J1202" s="17">
        <v>1</v>
      </c>
      <c r="K1202" s="18">
        <v>0</v>
      </c>
      <c r="O1202" s="16">
        <v>95238.095239999995</v>
      </c>
      <c r="P1202" s="17">
        <v>0</v>
      </c>
    </row>
    <row r="1203" spans="1:16" x14ac:dyDescent="0.3">
      <c r="A1203" s="19">
        <v>4172</v>
      </c>
      <c r="B1203" s="20">
        <v>66666.666670000006</v>
      </c>
      <c r="C1203" s="21" t="s">
        <v>14</v>
      </c>
      <c r="D1203" s="21">
        <v>0</v>
      </c>
      <c r="E1203" s="21">
        <v>0</v>
      </c>
      <c r="F1203" s="21">
        <v>0</v>
      </c>
      <c r="G1203" s="21">
        <v>0</v>
      </c>
      <c r="H1203" s="21">
        <v>1</v>
      </c>
      <c r="I1203" s="21" t="s">
        <v>15</v>
      </c>
      <c r="J1203" s="21">
        <v>1</v>
      </c>
      <c r="K1203" s="22">
        <v>0</v>
      </c>
      <c r="O1203" s="20">
        <v>66666.666670000006</v>
      </c>
      <c r="P1203" s="21">
        <v>0</v>
      </c>
    </row>
    <row r="1204" spans="1:16" x14ac:dyDescent="0.3">
      <c r="A1204" s="15">
        <v>4177</v>
      </c>
      <c r="B1204" s="16">
        <v>60000</v>
      </c>
      <c r="C1204" s="17" t="s">
        <v>14</v>
      </c>
      <c r="D1204" s="17">
        <v>0</v>
      </c>
      <c r="E1204" s="17">
        <v>0</v>
      </c>
      <c r="F1204" s="17">
        <v>0</v>
      </c>
      <c r="G1204" s="17">
        <v>0</v>
      </c>
      <c r="H1204" s="17">
        <v>1</v>
      </c>
      <c r="I1204" s="17" t="s">
        <v>15</v>
      </c>
      <c r="J1204" s="17">
        <v>1</v>
      </c>
      <c r="K1204" s="18">
        <v>0</v>
      </c>
      <c r="O1204" s="16">
        <v>60000</v>
      </c>
      <c r="P1204" s="17">
        <v>0</v>
      </c>
    </row>
    <row r="1205" spans="1:16" x14ac:dyDescent="0.3">
      <c r="A1205" s="19">
        <v>4178</v>
      </c>
      <c r="B1205" s="20">
        <v>64516.129029999996</v>
      </c>
      <c r="C1205" s="21" t="s">
        <v>14</v>
      </c>
      <c r="D1205" s="21">
        <v>0</v>
      </c>
      <c r="E1205" s="21">
        <v>0</v>
      </c>
      <c r="F1205" s="21">
        <v>0</v>
      </c>
      <c r="G1205" s="21">
        <v>0</v>
      </c>
      <c r="H1205" s="21">
        <v>1</v>
      </c>
      <c r="I1205" s="21" t="s">
        <v>15</v>
      </c>
      <c r="J1205" s="21">
        <v>1</v>
      </c>
      <c r="K1205" s="22">
        <v>0</v>
      </c>
      <c r="O1205" s="20">
        <v>64516.129029999996</v>
      </c>
      <c r="P1205" s="21">
        <v>0</v>
      </c>
    </row>
    <row r="1206" spans="1:16" x14ac:dyDescent="0.3">
      <c r="A1206" s="15">
        <v>4179</v>
      </c>
      <c r="B1206" s="16">
        <v>80645.161290000004</v>
      </c>
      <c r="C1206" s="17" t="s">
        <v>14</v>
      </c>
      <c r="D1206" s="17">
        <v>0</v>
      </c>
      <c r="E1206" s="17">
        <v>0</v>
      </c>
      <c r="F1206" s="17">
        <v>0</v>
      </c>
      <c r="G1206" s="17">
        <v>0</v>
      </c>
      <c r="H1206" s="17">
        <v>1</v>
      </c>
      <c r="I1206" s="17" t="s">
        <v>15</v>
      </c>
      <c r="J1206" s="17">
        <v>1</v>
      </c>
      <c r="K1206" s="18">
        <v>0</v>
      </c>
      <c r="O1206" s="16">
        <v>80645.161290000004</v>
      </c>
      <c r="P1206" s="17">
        <v>0</v>
      </c>
    </row>
    <row r="1207" spans="1:16" x14ac:dyDescent="0.3">
      <c r="A1207" s="19">
        <v>4180</v>
      </c>
      <c r="B1207" s="20">
        <v>100000</v>
      </c>
      <c r="C1207" s="21" t="s">
        <v>14</v>
      </c>
      <c r="D1207" s="21">
        <v>0</v>
      </c>
      <c r="E1207" s="21">
        <v>0</v>
      </c>
      <c r="F1207" s="21">
        <v>0</v>
      </c>
      <c r="G1207" s="21">
        <v>0</v>
      </c>
      <c r="H1207" s="21">
        <v>1</v>
      </c>
      <c r="I1207" s="21" t="s">
        <v>15</v>
      </c>
      <c r="J1207" s="21">
        <v>1</v>
      </c>
      <c r="K1207" s="22">
        <v>0</v>
      </c>
      <c r="O1207" s="20">
        <v>100000</v>
      </c>
      <c r="P1207" s="21">
        <v>0</v>
      </c>
    </row>
    <row r="1208" spans="1:16" x14ac:dyDescent="0.3">
      <c r="A1208" s="15">
        <v>4182</v>
      </c>
      <c r="B1208" s="16">
        <v>150000</v>
      </c>
      <c r="C1208" s="17" t="s">
        <v>14</v>
      </c>
      <c r="D1208" s="17">
        <v>0</v>
      </c>
      <c r="E1208" s="17">
        <v>0</v>
      </c>
      <c r="F1208" s="17">
        <v>0</v>
      </c>
      <c r="G1208" s="17">
        <v>0</v>
      </c>
      <c r="H1208" s="17">
        <v>1</v>
      </c>
      <c r="I1208" s="17" t="s">
        <v>15</v>
      </c>
      <c r="J1208" s="17">
        <v>1</v>
      </c>
      <c r="K1208" s="18">
        <v>0</v>
      </c>
      <c r="O1208" s="16">
        <v>150000</v>
      </c>
      <c r="P1208" s="17">
        <v>0</v>
      </c>
    </row>
    <row r="1209" spans="1:16" x14ac:dyDescent="0.3">
      <c r="A1209" s="19">
        <v>4183</v>
      </c>
      <c r="B1209" s="20">
        <v>100000</v>
      </c>
      <c r="C1209" s="21" t="s">
        <v>14</v>
      </c>
      <c r="D1209" s="21">
        <v>0</v>
      </c>
      <c r="E1209" s="21">
        <v>0</v>
      </c>
      <c r="F1209" s="21">
        <v>0</v>
      </c>
      <c r="G1209" s="21">
        <v>0</v>
      </c>
      <c r="H1209" s="21">
        <v>1</v>
      </c>
      <c r="I1209" s="21" t="s">
        <v>15</v>
      </c>
      <c r="J1209" s="21">
        <v>1</v>
      </c>
      <c r="K1209" s="22">
        <v>1</v>
      </c>
      <c r="O1209" s="20">
        <v>100000</v>
      </c>
      <c r="P1209" s="21">
        <v>0</v>
      </c>
    </row>
    <row r="1210" spans="1:16" x14ac:dyDescent="0.3">
      <c r="A1210" s="15">
        <v>4184</v>
      </c>
      <c r="B1210" s="16">
        <v>100000</v>
      </c>
      <c r="C1210" s="17" t="s">
        <v>14</v>
      </c>
      <c r="D1210" s="17">
        <v>0</v>
      </c>
      <c r="E1210" s="17">
        <v>0</v>
      </c>
      <c r="F1210" s="17">
        <v>0</v>
      </c>
      <c r="G1210" s="17">
        <v>0</v>
      </c>
      <c r="H1210" s="17">
        <v>1</v>
      </c>
      <c r="I1210" s="17" t="s">
        <v>15</v>
      </c>
      <c r="J1210" s="17">
        <v>0</v>
      </c>
      <c r="K1210" s="18">
        <v>1</v>
      </c>
      <c r="O1210" s="16">
        <v>100000</v>
      </c>
      <c r="P1210" s="17">
        <v>0</v>
      </c>
    </row>
    <row r="1211" spans="1:16" x14ac:dyDescent="0.3">
      <c r="A1211" s="19">
        <v>4185</v>
      </c>
      <c r="B1211" s="20">
        <v>153846.1538</v>
      </c>
      <c r="C1211" s="21" t="s">
        <v>14</v>
      </c>
      <c r="D1211" s="21">
        <v>0</v>
      </c>
      <c r="E1211" s="21">
        <v>0</v>
      </c>
      <c r="F1211" s="21">
        <v>0</v>
      </c>
      <c r="G1211" s="21">
        <v>0</v>
      </c>
      <c r="H1211" s="21">
        <v>1</v>
      </c>
      <c r="I1211" s="21" t="s">
        <v>15</v>
      </c>
      <c r="J1211" s="21">
        <v>1</v>
      </c>
      <c r="K1211" s="22">
        <v>1</v>
      </c>
      <c r="O1211" s="20">
        <v>153846.1538</v>
      </c>
      <c r="P1211" s="21">
        <v>0</v>
      </c>
    </row>
    <row r="1212" spans="1:16" x14ac:dyDescent="0.3">
      <c r="A1212" s="15">
        <v>4187</v>
      </c>
      <c r="B1212" s="16">
        <v>100000</v>
      </c>
      <c r="C1212" s="17" t="s">
        <v>14</v>
      </c>
      <c r="D1212" s="17">
        <v>0</v>
      </c>
      <c r="E1212" s="17">
        <v>0</v>
      </c>
      <c r="F1212" s="17">
        <v>0</v>
      </c>
      <c r="G1212" s="17">
        <v>0</v>
      </c>
      <c r="H1212" s="17">
        <v>1</v>
      </c>
      <c r="I1212" s="17" t="s">
        <v>15</v>
      </c>
      <c r="J1212" s="17">
        <v>1</v>
      </c>
      <c r="K1212" s="18">
        <v>1</v>
      </c>
      <c r="O1212" s="16">
        <v>100000</v>
      </c>
      <c r="P1212" s="17">
        <v>0</v>
      </c>
    </row>
    <row r="1213" spans="1:16" x14ac:dyDescent="0.3">
      <c r="A1213" s="19">
        <v>4188</v>
      </c>
      <c r="B1213" s="20">
        <v>32786.885249999999</v>
      </c>
      <c r="C1213" s="21" t="s">
        <v>14</v>
      </c>
      <c r="D1213" s="21">
        <v>0</v>
      </c>
      <c r="E1213" s="21">
        <v>0</v>
      </c>
      <c r="F1213" s="21">
        <v>0</v>
      </c>
      <c r="G1213" s="21">
        <v>0</v>
      </c>
      <c r="H1213" s="21">
        <v>1</v>
      </c>
      <c r="I1213" s="21" t="s">
        <v>15</v>
      </c>
      <c r="J1213" s="21">
        <v>1</v>
      </c>
      <c r="K1213" s="22">
        <v>1</v>
      </c>
      <c r="O1213" s="20">
        <v>32786.885249999999</v>
      </c>
      <c r="P1213" s="21">
        <v>0</v>
      </c>
    </row>
    <row r="1214" spans="1:16" x14ac:dyDescent="0.3">
      <c r="A1214" s="15">
        <v>4190</v>
      </c>
      <c r="B1214" s="16">
        <v>150000</v>
      </c>
      <c r="C1214" s="17" t="s">
        <v>14</v>
      </c>
      <c r="D1214" s="17">
        <v>0</v>
      </c>
      <c r="E1214" s="17">
        <v>0</v>
      </c>
      <c r="F1214" s="17">
        <v>0</v>
      </c>
      <c r="G1214" s="17">
        <v>0</v>
      </c>
      <c r="H1214" s="17">
        <v>1</v>
      </c>
      <c r="I1214" s="17" t="s">
        <v>15</v>
      </c>
      <c r="J1214" s="17">
        <v>1</v>
      </c>
      <c r="K1214" s="18">
        <v>0</v>
      </c>
      <c r="O1214" s="16">
        <v>150000</v>
      </c>
      <c r="P1214" s="17">
        <v>0</v>
      </c>
    </row>
    <row r="1215" spans="1:16" x14ac:dyDescent="0.3">
      <c r="A1215" s="19">
        <v>4191</v>
      </c>
      <c r="B1215" s="20">
        <v>90909.090909999999</v>
      </c>
      <c r="C1215" s="21" t="s">
        <v>14</v>
      </c>
      <c r="D1215" s="21">
        <v>0</v>
      </c>
      <c r="E1215" s="21">
        <v>0</v>
      </c>
      <c r="F1215" s="21">
        <v>0</v>
      </c>
      <c r="G1215" s="21">
        <v>0</v>
      </c>
      <c r="H1215" s="21">
        <v>1</v>
      </c>
      <c r="I1215" s="21" t="s">
        <v>15</v>
      </c>
      <c r="J1215" s="21">
        <v>1</v>
      </c>
      <c r="K1215" s="22">
        <v>1</v>
      </c>
      <c r="O1215" s="20">
        <v>90909.090909999999</v>
      </c>
      <c r="P1215" s="21">
        <v>0</v>
      </c>
    </row>
    <row r="1216" spans="1:16" x14ac:dyDescent="0.3">
      <c r="A1216" s="15">
        <v>4193</v>
      </c>
      <c r="B1216" s="16">
        <v>76923.076920000007</v>
      </c>
      <c r="C1216" s="17" t="s">
        <v>14</v>
      </c>
      <c r="D1216" s="17">
        <v>0</v>
      </c>
      <c r="E1216" s="17">
        <v>0</v>
      </c>
      <c r="F1216" s="17">
        <v>0</v>
      </c>
      <c r="G1216" s="17">
        <v>0</v>
      </c>
      <c r="H1216" s="17">
        <v>1</v>
      </c>
      <c r="I1216" s="17" t="s">
        <v>15</v>
      </c>
      <c r="J1216" s="17">
        <v>1</v>
      </c>
      <c r="K1216" s="18">
        <v>1</v>
      </c>
      <c r="O1216" s="16">
        <v>76923.076920000007</v>
      </c>
      <c r="P1216" s="17">
        <v>0</v>
      </c>
    </row>
    <row r="1217" spans="1:16" x14ac:dyDescent="0.3">
      <c r="A1217" s="19">
        <v>4194</v>
      </c>
      <c r="B1217" s="20">
        <v>125000</v>
      </c>
      <c r="C1217" s="21" t="s">
        <v>14</v>
      </c>
      <c r="D1217" s="21">
        <v>0</v>
      </c>
      <c r="E1217" s="21">
        <v>0</v>
      </c>
      <c r="F1217" s="21">
        <v>0</v>
      </c>
      <c r="G1217" s="21">
        <v>0</v>
      </c>
      <c r="H1217" s="21">
        <v>1</v>
      </c>
      <c r="I1217" s="21" t="s">
        <v>15</v>
      </c>
      <c r="J1217" s="21">
        <v>1</v>
      </c>
      <c r="K1217" s="22">
        <v>1</v>
      </c>
      <c r="O1217" s="20">
        <v>125000</v>
      </c>
      <c r="P1217" s="21">
        <v>0</v>
      </c>
    </row>
    <row r="1218" spans="1:16" x14ac:dyDescent="0.3">
      <c r="A1218" s="15">
        <v>4196</v>
      </c>
      <c r="B1218" s="16">
        <v>91666.666670000006</v>
      </c>
      <c r="C1218" s="17" t="s">
        <v>12</v>
      </c>
      <c r="D1218" s="17">
        <v>1</v>
      </c>
      <c r="E1218" s="17">
        <v>0</v>
      </c>
      <c r="F1218" s="17">
        <v>0</v>
      </c>
      <c r="G1218" s="17">
        <v>0</v>
      </c>
      <c r="H1218" s="17">
        <v>1</v>
      </c>
      <c r="I1218" s="17" t="s">
        <v>15</v>
      </c>
      <c r="J1218" s="17">
        <v>1</v>
      </c>
      <c r="K1218" s="18">
        <v>1</v>
      </c>
      <c r="O1218" s="16">
        <v>91666.666670000006</v>
      </c>
      <c r="P1218" s="17">
        <v>0</v>
      </c>
    </row>
    <row r="1219" spans="1:16" x14ac:dyDescent="0.3">
      <c r="A1219" s="8">
        <v>4197</v>
      </c>
      <c r="B1219" s="23">
        <v>83333.333329999994</v>
      </c>
      <c r="C1219" s="9" t="s">
        <v>14</v>
      </c>
      <c r="D1219" s="9">
        <v>0</v>
      </c>
      <c r="E1219" s="9">
        <v>0</v>
      </c>
      <c r="F1219" s="9">
        <v>0</v>
      </c>
      <c r="G1219" s="9">
        <v>0</v>
      </c>
      <c r="H1219" s="9">
        <v>1</v>
      </c>
      <c r="I1219" s="9" t="s">
        <v>15</v>
      </c>
      <c r="J1219" s="9">
        <v>1</v>
      </c>
      <c r="K1219" s="10">
        <v>1</v>
      </c>
      <c r="O1219" s="23">
        <v>83333.333329999994</v>
      </c>
      <c r="P1219" s="9">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8CDC7-2C34-4E67-947C-2DAAA308F4F7}">
  <dimension ref="B1:Z1220"/>
  <sheetViews>
    <sheetView topLeftCell="X1" zoomScaleNormal="100" workbookViewId="0">
      <selection activeCell="AA1" sqref="AA1"/>
    </sheetView>
  </sheetViews>
  <sheetFormatPr defaultRowHeight="14.4" x14ac:dyDescent="0.3"/>
  <cols>
    <col min="2" max="2" width="15.6640625" bestFit="1" customWidth="1"/>
    <col min="3" max="3" width="15.77734375" bestFit="1" customWidth="1"/>
    <col min="9" max="9" width="27.44140625" bestFit="1" customWidth="1"/>
    <col min="11" max="11" width="30.77734375" bestFit="1" customWidth="1"/>
    <col min="13" max="13" width="14.109375" bestFit="1" customWidth="1"/>
    <col min="14" max="14" width="21" bestFit="1" customWidth="1"/>
    <col min="15" max="15" width="24.33203125" bestFit="1" customWidth="1"/>
    <col min="16" max="16" width="11.5546875" bestFit="1" customWidth="1"/>
    <col min="25" max="25" width="28.44140625" bestFit="1" customWidth="1"/>
    <col min="26" max="26" width="32" bestFit="1" customWidth="1"/>
  </cols>
  <sheetData>
    <row r="1" spans="2:26" ht="15.6" x14ac:dyDescent="0.3">
      <c r="I1" s="28" t="s">
        <v>55</v>
      </c>
      <c r="K1" s="28" t="s">
        <v>54</v>
      </c>
      <c r="N1" s="27" t="s">
        <v>55</v>
      </c>
      <c r="O1" s="27" t="s">
        <v>54</v>
      </c>
      <c r="P1" s="44" t="s">
        <v>90</v>
      </c>
      <c r="Q1" s="44"/>
    </row>
    <row r="2" spans="2:26" x14ac:dyDescent="0.3">
      <c r="B2" s="6" t="s">
        <v>2</v>
      </c>
      <c r="C2" s="14" t="s">
        <v>11</v>
      </c>
      <c r="I2" s="24" t="s">
        <v>52</v>
      </c>
      <c r="K2" s="24" t="s">
        <v>53</v>
      </c>
      <c r="N2" s="24" t="s">
        <v>56</v>
      </c>
      <c r="O2" s="24" t="s">
        <v>58</v>
      </c>
      <c r="X2" s="24" t="s">
        <v>87</v>
      </c>
      <c r="Y2" s="24" t="s">
        <v>88</v>
      </c>
      <c r="Z2" s="24" t="s">
        <v>89</v>
      </c>
    </row>
    <row r="3" spans="2:26" x14ac:dyDescent="0.3">
      <c r="B3" s="7">
        <v>35937.5</v>
      </c>
      <c r="C3" s="18">
        <v>1</v>
      </c>
      <c r="I3" s="6"/>
      <c r="X3">
        <v>-80000</v>
      </c>
      <c r="Y3">
        <f>_xlfn.NORM.DIST(X3:X27,$N$4,$N$7,)</f>
        <v>1.7076748970777044E-7</v>
      </c>
      <c r="Z3">
        <f>_xlfn.NORM.DIST(X3:X27,$O$4,$O$7,)</f>
        <v>2.105794136621974E-7</v>
      </c>
    </row>
    <row r="4" spans="2:26" x14ac:dyDescent="0.3">
      <c r="B4" s="9">
        <v>83333.333329999994</v>
      </c>
      <c r="C4" s="22">
        <v>0</v>
      </c>
      <c r="I4" s="25">
        <v>35937.5</v>
      </c>
      <c r="K4" s="26">
        <v>83333.333329999994</v>
      </c>
      <c r="M4" s="24" t="s">
        <v>57</v>
      </c>
      <c r="N4" s="30">
        <f>AVERAGE(I2:I581)</f>
        <v>35476.58419015001</v>
      </c>
      <c r="O4" s="30">
        <f>AVERAGE(K2:K526)</f>
        <v>41482.584090393888</v>
      </c>
      <c r="X4">
        <f>X3+10000</f>
        <v>-70000</v>
      </c>
      <c r="Y4">
        <f t="shared" ref="Y4:Y27" si="0">_xlfn.NORM.DIST(X4:X28,$N$4,$N$7,)</f>
        <v>3.3427517735594948E-7</v>
      </c>
      <c r="Z4">
        <f t="shared" ref="Z4:Z27" si="1">_xlfn.NORM.DIST(X4:X28,$O$4,$O$7,)</f>
        <v>3.8093351369619136E-7</v>
      </c>
    </row>
    <row r="5" spans="2:26" x14ac:dyDescent="0.3">
      <c r="B5" s="7">
        <v>25000</v>
      </c>
      <c r="C5" s="18">
        <v>0</v>
      </c>
      <c r="I5" s="26">
        <v>31111.111110000002</v>
      </c>
      <c r="K5" s="25">
        <v>25000</v>
      </c>
      <c r="O5" s="30"/>
      <c r="X5">
        <f t="shared" ref="X5:X26" si="2">X4+10000</f>
        <v>-60000</v>
      </c>
      <c r="Y5">
        <f t="shared" si="0"/>
        <v>6.1574284331835212E-7</v>
      </c>
      <c r="Z5">
        <f t="shared" si="1"/>
        <v>6.5491037847338006E-7</v>
      </c>
    </row>
    <row r="6" spans="2:26" x14ac:dyDescent="0.3">
      <c r="B6" s="9">
        <v>31111.111110000002</v>
      </c>
      <c r="C6" s="22">
        <v>1</v>
      </c>
      <c r="I6" s="9">
        <v>24000</v>
      </c>
      <c r="K6" s="7">
        <v>20161.29032</v>
      </c>
      <c r="O6" s="30"/>
      <c r="X6">
        <f t="shared" si="2"/>
        <v>-50000</v>
      </c>
      <c r="Y6">
        <f t="shared" si="0"/>
        <v>1.0673108614320436E-6</v>
      </c>
      <c r="Z6">
        <f t="shared" si="1"/>
        <v>1.0700744206885928E-6</v>
      </c>
    </row>
    <row r="7" spans="2:26" x14ac:dyDescent="0.3">
      <c r="B7" s="7">
        <v>20161.29032</v>
      </c>
      <c r="C7" s="18">
        <v>0</v>
      </c>
      <c r="I7" s="25">
        <v>91666.666670000006</v>
      </c>
      <c r="K7" s="26">
        <v>90909.090909999999</v>
      </c>
      <c r="M7" s="24" t="s">
        <v>59</v>
      </c>
      <c r="N7" s="30">
        <f>_xlfn.STDEV.S(I2:I581)</f>
        <v>40556.442595185857</v>
      </c>
      <c r="O7" s="30">
        <f>_xlfn.STDEV.S(K2:K526)</f>
        <v>44329.243190504174</v>
      </c>
      <c r="X7">
        <f t="shared" si="2"/>
        <v>-40000</v>
      </c>
      <c r="Y7">
        <f t="shared" si="0"/>
        <v>1.7409199278146474E-6</v>
      </c>
      <c r="Z7">
        <f t="shared" si="1"/>
        <v>1.6616728051051308E-6</v>
      </c>
    </row>
    <row r="8" spans="2:26" x14ac:dyDescent="0.3">
      <c r="B8" s="9">
        <v>24000</v>
      </c>
      <c r="C8" s="22">
        <v>1</v>
      </c>
      <c r="I8" s="9">
        <v>125000</v>
      </c>
      <c r="K8" s="7">
        <v>0</v>
      </c>
      <c r="X8">
        <f t="shared" si="2"/>
        <v>-30000</v>
      </c>
      <c r="Y8">
        <f t="shared" si="0"/>
        <v>2.672163179349307E-6</v>
      </c>
      <c r="Z8">
        <f t="shared" si="1"/>
        <v>2.4523161685379023E-6</v>
      </c>
    </row>
    <row r="9" spans="2:26" x14ac:dyDescent="0.3">
      <c r="B9" s="7">
        <v>91666.666670000006</v>
      </c>
      <c r="C9" s="18">
        <v>1</v>
      </c>
      <c r="I9" s="7">
        <v>21739.130430000001</v>
      </c>
      <c r="K9" s="7">
        <v>-5376.3440860000001</v>
      </c>
      <c r="M9" s="24" t="s">
        <v>60</v>
      </c>
      <c r="N9">
        <f>COUNTIF(C2:C1220,1)</f>
        <v>616</v>
      </c>
      <c r="O9">
        <f>COUNTIF(C2:C1220,0)</f>
        <v>602</v>
      </c>
      <c r="X9">
        <f t="shared" si="2"/>
        <v>-20000</v>
      </c>
      <c r="Y9">
        <f t="shared" si="0"/>
        <v>3.8596103787047463E-6</v>
      </c>
      <c r="Z9">
        <f t="shared" si="1"/>
        <v>3.4395912102742707E-6</v>
      </c>
    </row>
    <row r="10" spans="2:26" x14ac:dyDescent="0.3">
      <c r="B10" s="9">
        <v>125000</v>
      </c>
      <c r="C10" s="22">
        <v>1</v>
      </c>
      <c r="I10" s="9">
        <v>15000</v>
      </c>
      <c r="K10" s="9">
        <v>50000</v>
      </c>
      <c r="X10">
        <f t="shared" si="2"/>
        <v>-10000</v>
      </c>
      <c r="Y10">
        <f t="shared" si="0"/>
        <v>5.2459031340838738E-6</v>
      </c>
      <c r="Z10">
        <f t="shared" si="1"/>
        <v>4.5849712742678063E-6</v>
      </c>
    </row>
    <row r="11" spans="2:26" x14ac:dyDescent="0.3">
      <c r="B11" s="7">
        <v>21739.130430000001</v>
      </c>
      <c r="C11" s="18">
        <v>1</v>
      </c>
      <c r="I11" s="7">
        <v>76923.076920000007</v>
      </c>
      <c r="K11" s="7">
        <v>50000</v>
      </c>
      <c r="M11" s="24" t="s">
        <v>61</v>
      </c>
      <c r="N11">
        <f>SQRT(N7^2/N9+O7^2/O9)</f>
        <v>2436.0677325841825</v>
      </c>
      <c r="X11">
        <f t="shared" si="2"/>
        <v>0</v>
      </c>
      <c r="Y11">
        <f t="shared" si="0"/>
        <v>6.7095497871157032E-6</v>
      </c>
      <c r="Z11">
        <f t="shared" si="1"/>
        <v>5.8085245247750241E-6</v>
      </c>
    </row>
    <row r="12" spans="2:26" x14ac:dyDescent="0.3">
      <c r="B12" s="9">
        <v>15000</v>
      </c>
      <c r="C12" s="22">
        <v>1</v>
      </c>
      <c r="I12" s="7">
        <v>150000</v>
      </c>
      <c r="K12" s="9">
        <v>60000</v>
      </c>
      <c r="X12">
        <f t="shared" si="2"/>
        <v>10000</v>
      </c>
      <c r="Y12">
        <f t="shared" si="0"/>
        <v>8.0753769515471364E-6</v>
      </c>
      <c r="Z12">
        <f t="shared" si="1"/>
        <v>6.9934980055459859E-6</v>
      </c>
    </row>
    <row r="13" spans="2:26" x14ac:dyDescent="0.3">
      <c r="B13" s="7">
        <v>76923.076920000007</v>
      </c>
      <c r="C13" s="18">
        <v>1</v>
      </c>
      <c r="I13" s="9">
        <v>32786.885249999999</v>
      </c>
      <c r="K13" s="7">
        <v>25000</v>
      </c>
      <c r="M13" s="24"/>
      <c r="X13">
        <f t="shared" si="2"/>
        <v>20000</v>
      </c>
      <c r="Y13">
        <f t="shared" si="0"/>
        <v>9.1459440314732493E-6</v>
      </c>
      <c r="Z13">
        <f t="shared" si="1"/>
        <v>8.0024414080788699E-6</v>
      </c>
    </row>
    <row r="14" spans="2:26" x14ac:dyDescent="0.3">
      <c r="B14" s="9">
        <v>90909.090909999999</v>
      </c>
      <c r="C14" s="22">
        <v>0</v>
      </c>
      <c r="I14" s="25">
        <v>-12500</v>
      </c>
      <c r="K14" s="25">
        <v>13333.333329999999</v>
      </c>
      <c r="X14">
        <f t="shared" si="2"/>
        <v>30000</v>
      </c>
      <c r="Y14">
        <f t="shared" si="0"/>
        <v>9.7474403490047728E-6</v>
      </c>
      <c r="Z14">
        <f t="shared" si="1"/>
        <v>8.7026189964365822E-6</v>
      </c>
    </row>
    <row r="15" spans="2:26" x14ac:dyDescent="0.3">
      <c r="B15" s="7">
        <v>150000</v>
      </c>
      <c r="C15" s="18">
        <v>1</v>
      </c>
      <c r="I15" s="9">
        <v>-833.33333330000005</v>
      </c>
      <c r="K15" s="9">
        <v>40000</v>
      </c>
      <c r="X15">
        <f t="shared" si="2"/>
        <v>40000</v>
      </c>
      <c r="Y15">
        <f t="shared" si="0"/>
        <v>9.7757242846607914E-6</v>
      </c>
      <c r="Z15">
        <f t="shared" si="1"/>
        <v>8.9944965058801388E-6</v>
      </c>
    </row>
    <row r="16" spans="2:26" x14ac:dyDescent="0.3">
      <c r="B16" s="9">
        <v>32786.885249999999</v>
      </c>
      <c r="C16" s="22">
        <v>1</v>
      </c>
      <c r="I16" s="7">
        <v>0</v>
      </c>
      <c r="K16" s="7">
        <v>40000</v>
      </c>
      <c r="X16">
        <f t="shared" si="2"/>
        <v>50000</v>
      </c>
      <c r="Y16">
        <f t="shared" si="0"/>
        <v>9.2257910348636824E-6</v>
      </c>
      <c r="Z16">
        <f t="shared" si="1"/>
        <v>8.8349310422807902E-6</v>
      </c>
    </row>
    <row r="17" spans="2:26" x14ac:dyDescent="0.3">
      <c r="B17" s="7">
        <v>-12500</v>
      </c>
      <c r="C17" s="18">
        <v>1</v>
      </c>
      <c r="I17" s="9">
        <v>-2500</v>
      </c>
      <c r="K17" s="7">
        <v>10000</v>
      </c>
      <c r="X17">
        <f t="shared" si="2"/>
        <v>60000</v>
      </c>
      <c r="Y17">
        <f t="shared" si="0"/>
        <v>8.1932195811235435E-6</v>
      </c>
      <c r="Z17">
        <f t="shared" si="1"/>
        <v>8.2476246990807023E-6</v>
      </c>
    </row>
    <row r="18" spans="2:26" x14ac:dyDescent="0.3">
      <c r="B18" s="9">
        <v>-833.33333330000005</v>
      </c>
      <c r="C18" s="22">
        <v>1</v>
      </c>
      <c r="I18" s="9">
        <v>0</v>
      </c>
      <c r="K18" s="9">
        <v>-20000</v>
      </c>
      <c r="N18" t="s">
        <v>62</v>
      </c>
      <c r="X18">
        <f t="shared" si="2"/>
        <v>70000</v>
      </c>
      <c r="Y18">
        <f t="shared" si="0"/>
        <v>6.8470245694060561E-6</v>
      </c>
      <c r="Z18">
        <f t="shared" si="1"/>
        <v>7.3173535066467589E-6</v>
      </c>
    </row>
    <row r="19" spans="2:26" x14ac:dyDescent="0.3">
      <c r="B19" s="7">
        <v>0</v>
      </c>
      <c r="C19" s="18">
        <v>1</v>
      </c>
      <c r="I19" s="9">
        <v>26666.666669999999</v>
      </c>
      <c r="K19" s="9">
        <v>60000</v>
      </c>
      <c r="X19">
        <f t="shared" si="2"/>
        <v>80000</v>
      </c>
      <c r="Y19">
        <f t="shared" si="0"/>
        <v>5.3845013425729728E-6</v>
      </c>
      <c r="Z19">
        <f t="shared" si="1"/>
        <v>6.1699067797609627E-6</v>
      </c>
    </row>
    <row r="20" spans="2:26" x14ac:dyDescent="0.3">
      <c r="B20" s="9">
        <v>-2500</v>
      </c>
      <c r="C20" s="22">
        <v>1</v>
      </c>
      <c r="I20" s="9">
        <v>50000</v>
      </c>
      <c r="K20" s="7">
        <v>40000</v>
      </c>
      <c r="N20" s="31"/>
      <c r="O20" s="33" t="s">
        <v>63</v>
      </c>
      <c r="P20" s="33" t="s">
        <v>64</v>
      </c>
      <c r="X20">
        <f t="shared" si="2"/>
        <v>90000</v>
      </c>
      <c r="Y20">
        <f t="shared" si="0"/>
        <v>3.9846061801914327E-6</v>
      </c>
      <c r="Z20">
        <f t="shared" si="1"/>
        <v>4.9442746548229958E-6</v>
      </c>
    </row>
    <row r="21" spans="2:26" x14ac:dyDescent="0.3">
      <c r="B21" s="7">
        <v>0</v>
      </c>
      <c r="C21" s="18">
        <v>0</v>
      </c>
      <c r="I21" s="25">
        <v>50000</v>
      </c>
      <c r="K21" s="26">
        <v>50000</v>
      </c>
      <c r="N21" s="32" t="s">
        <v>65</v>
      </c>
      <c r="O21" s="32">
        <v>35476.58419015001</v>
      </c>
      <c r="P21" s="32">
        <v>41367.412341478106</v>
      </c>
      <c r="X21">
        <f t="shared" si="2"/>
        <v>100000</v>
      </c>
      <c r="Y21">
        <f t="shared" si="0"/>
        <v>2.774735753025554E-6</v>
      </c>
      <c r="Z21">
        <f t="shared" si="1"/>
        <v>3.7655289682063108E-6</v>
      </c>
    </row>
    <row r="22" spans="2:26" x14ac:dyDescent="0.3">
      <c r="B22" s="9">
        <v>0</v>
      </c>
      <c r="C22" s="22">
        <v>1</v>
      </c>
      <c r="I22" s="9">
        <v>60000</v>
      </c>
      <c r="K22" s="7">
        <v>60000</v>
      </c>
      <c r="N22" s="32" t="s">
        <v>66</v>
      </c>
      <c r="O22" s="32">
        <v>1644825035.9766059</v>
      </c>
      <c r="P22" s="32">
        <v>1961110457.9472723</v>
      </c>
      <c r="X22">
        <f t="shared" si="2"/>
        <v>110000</v>
      </c>
      <c r="Y22">
        <f t="shared" si="0"/>
        <v>1.8182523914197038E-6</v>
      </c>
      <c r="Z22">
        <f t="shared" si="1"/>
        <v>2.7255165141144345E-6</v>
      </c>
    </row>
    <row r="23" spans="2:26" x14ac:dyDescent="0.3">
      <c r="B23" s="7">
        <v>-5376.3440860000001</v>
      </c>
      <c r="C23" s="18">
        <v>0</v>
      </c>
      <c r="I23" s="26">
        <v>50000</v>
      </c>
      <c r="K23" s="26">
        <v>33333.333330000001</v>
      </c>
      <c r="N23" s="32" t="s">
        <v>67</v>
      </c>
      <c r="O23" s="32">
        <v>578</v>
      </c>
      <c r="P23" s="32">
        <v>525</v>
      </c>
      <c r="X23">
        <f t="shared" si="2"/>
        <v>120000</v>
      </c>
      <c r="Y23">
        <f t="shared" si="0"/>
        <v>1.1211998113733541E-6</v>
      </c>
      <c r="Z23">
        <f t="shared" si="1"/>
        <v>1.8748695784908149E-6</v>
      </c>
    </row>
    <row r="24" spans="2:26" x14ac:dyDescent="0.3">
      <c r="B24" s="9">
        <v>50000</v>
      </c>
      <c r="C24" s="22">
        <v>0</v>
      </c>
      <c r="I24" s="25">
        <v>120000</v>
      </c>
      <c r="K24" s="25">
        <v>40000</v>
      </c>
      <c r="N24" s="32" t="s">
        <v>68</v>
      </c>
      <c r="O24" s="32">
        <v>0</v>
      </c>
      <c r="P24" s="32"/>
      <c r="X24">
        <f t="shared" si="2"/>
        <v>130000</v>
      </c>
      <c r="Y24">
        <f t="shared" si="0"/>
        <v>6.505911869273544E-7</v>
      </c>
      <c r="Z24">
        <f t="shared" si="1"/>
        <v>1.2257241035829478E-6</v>
      </c>
    </row>
    <row r="25" spans="2:26" x14ac:dyDescent="0.3">
      <c r="B25" s="7">
        <v>50000</v>
      </c>
      <c r="C25" s="18">
        <v>0</v>
      </c>
      <c r="I25" s="25">
        <v>100000</v>
      </c>
      <c r="K25" s="26">
        <v>33333.333330000001</v>
      </c>
      <c r="N25" s="32" t="s">
        <v>69</v>
      </c>
      <c r="O25" s="32">
        <v>1065</v>
      </c>
      <c r="P25" s="32"/>
      <c r="X25">
        <f t="shared" si="2"/>
        <v>140000</v>
      </c>
      <c r="Y25">
        <f t="shared" si="0"/>
        <v>3.5524636856787578E-7</v>
      </c>
      <c r="Z25">
        <f t="shared" si="1"/>
        <v>7.6157698366395258E-7</v>
      </c>
    </row>
    <row r="26" spans="2:26" x14ac:dyDescent="0.3">
      <c r="B26" s="9">
        <v>60000</v>
      </c>
      <c r="C26" s="22">
        <v>0</v>
      </c>
      <c r="I26" s="25">
        <v>20000</v>
      </c>
      <c r="K26" s="26">
        <v>-7692.3076920000003</v>
      </c>
      <c r="N26" s="32" t="s">
        <v>70</v>
      </c>
      <c r="O26" s="32">
        <v>-2.2962803681074009</v>
      </c>
      <c r="P26" s="32"/>
      <c r="X26">
        <f t="shared" si="2"/>
        <v>150000</v>
      </c>
      <c r="Y26">
        <f t="shared" si="0"/>
        <v>1.8253553778081313E-7</v>
      </c>
      <c r="Z26">
        <f t="shared" si="1"/>
        <v>4.4971183181259491E-7</v>
      </c>
    </row>
    <row r="27" spans="2:26" x14ac:dyDescent="0.3">
      <c r="B27" s="7">
        <v>25000</v>
      </c>
      <c r="C27" s="18">
        <v>0</v>
      </c>
      <c r="I27" s="26">
        <v>70000</v>
      </c>
      <c r="K27" s="26">
        <v>72000</v>
      </c>
      <c r="N27" s="32" t="s">
        <v>71</v>
      </c>
      <c r="O27" s="32">
        <v>1.0926662192289568E-2</v>
      </c>
      <c r="P27" s="32"/>
      <c r="X27">
        <f>X26+10000</f>
        <v>160000</v>
      </c>
      <c r="Y27">
        <f t="shared" si="0"/>
        <v>8.8259512340106467E-8</v>
      </c>
      <c r="Z27">
        <f t="shared" si="1"/>
        <v>2.5237959386441115E-7</v>
      </c>
    </row>
    <row r="28" spans="2:26" x14ac:dyDescent="0.3">
      <c r="B28" s="9">
        <v>26666.666669999999</v>
      </c>
      <c r="C28" s="22">
        <v>1</v>
      </c>
      <c r="I28" s="9">
        <v>36666.666669999999</v>
      </c>
      <c r="K28" s="7">
        <v>73333.333329999994</v>
      </c>
      <c r="N28" s="32" t="s">
        <v>72</v>
      </c>
      <c r="O28" s="32">
        <v>1.6462856490533579</v>
      </c>
      <c r="P28" s="32"/>
    </row>
    <row r="29" spans="2:26" x14ac:dyDescent="0.3">
      <c r="B29" s="7">
        <v>13333.333329999999</v>
      </c>
      <c r="C29" s="18">
        <v>0</v>
      </c>
      <c r="I29" s="25">
        <v>30000</v>
      </c>
      <c r="K29" s="26">
        <v>58823.529410000003</v>
      </c>
      <c r="N29" s="32" t="s">
        <v>73</v>
      </c>
      <c r="O29" s="32">
        <v>2.1853324384579136E-2</v>
      </c>
      <c r="P29" s="32"/>
    </row>
    <row r="30" spans="2:26" x14ac:dyDescent="0.3">
      <c r="B30" s="9">
        <v>50000</v>
      </c>
      <c r="C30" s="22">
        <v>1</v>
      </c>
      <c r="I30" s="7">
        <v>-40000</v>
      </c>
      <c r="K30" s="7">
        <v>25000</v>
      </c>
      <c r="N30" s="32" t="s">
        <v>74</v>
      </c>
      <c r="O30" s="32">
        <v>1.9621939598625426</v>
      </c>
      <c r="P30" s="32"/>
    </row>
    <row r="31" spans="2:26" x14ac:dyDescent="0.3">
      <c r="B31" s="7">
        <v>50000</v>
      </c>
      <c r="C31" s="18">
        <v>1</v>
      </c>
      <c r="I31" s="9">
        <v>30000</v>
      </c>
      <c r="K31" s="9">
        <v>35000</v>
      </c>
    </row>
    <row r="32" spans="2:26" x14ac:dyDescent="0.3">
      <c r="B32" s="9">
        <v>40000</v>
      </c>
      <c r="C32" s="22">
        <v>0</v>
      </c>
      <c r="I32" s="25">
        <v>45000</v>
      </c>
      <c r="K32" s="25">
        <v>-12000</v>
      </c>
      <c r="O32" s="37" t="s">
        <v>75</v>
      </c>
    </row>
    <row r="33" spans="2:24" x14ac:dyDescent="0.3">
      <c r="B33" s="7">
        <v>40000</v>
      </c>
      <c r="C33" s="18">
        <v>0</v>
      </c>
      <c r="I33" s="26">
        <v>-20771.513350000001</v>
      </c>
      <c r="K33" s="26">
        <v>50000</v>
      </c>
      <c r="N33" s="35" t="s">
        <v>76</v>
      </c>
      <c r="O33" s="35"/>
      <c r="P33" s="35"/>
      <c r="Q33" s="35"/>
      <c r="R33" s="35"/>
      <c r="S33" s="35"/>
      <c r="T33" s="35"/>
      <c r="U33" s="35"/>
      <c r="V33" s="35"/>
      <c r="W33" s="35"/>
      <c r="X33" s="35"/>
    </row>
    <row r="34" spans="2:24" x14ac:dyDescent="0.3">
      <c r="B34" s="9">
        <v>60000</v>
      </c>
      <c r="C34" s="22">
        <v>1</v>
      </c>
      <c r="I34" s="7">
        <v>153846.1538</v>
      </c>
      <c r="K34" s="7">
        <v>66666.666670000006</v>
      </c>
      <c r="N34" s="34" t="s">
        <v>77</v>
      </c>
      <c r="O34" s="34"/>
      <c r="P34" s="34"/>
      <c r="Q34" s="34"/>
      <c r="R34" s="34"/>
      <c r="S34" s="34"/>
      <c r="T34" s="34"/>
      <c r="U34" s="34"/>
      <c r="V34" s="34"/>
    </row>
    <row r="35" spans="2:24" x14ac:dyDescent="0.3">
      <c r="B35" s="7">
        <v>10000</v>
      </c>
      <c r="C35" s="18">
        <v>0</v>
      </c>
      <c r="I35" s="26">
        <v>-10000</v>
      </c>
      <c r="K35" s="26">
        <v>33333.333330000001</v>
      </c>
    </row>
    <row r="36" spans="2:24" x14ac:dyDescent="0.3">
      <c r="B36" s="9">
        <v>50000</v>
      </c>
      <c r="C36" s="22">
        <v>1</v>
      </c>
      <c r="I36" s="7">
        <v>27500</v>
      </c>
      <c r="K36" s="7">
        <v>26666.666669999999</v>
      </c>
      <c r="N36" s="36" t="s">
        <v>78</v>
      </c>
    </row>
    <row r="37" spans="2:24" x14ac:dyDescent="0.3">
      <c r="B37" s="7">
        <v>120000</v>
      </c>
      <c r="C37" s="18">
        <v>1</v>
      </c>
      <c r="I37" s="7">
        <v>100000</v>
      </c>
      <c r="K37" s="9">
        <v>14285.71429</v>
      </c>
      <c r="N37" t="s">
        <v>79</v>
      </c>
    </row>
    <row r="38" spans="2:24" x14ac:dyDescent="0.3">
      <c r="B38" s="9">
        <v>-20000</v>
      </c>
      <c r="C38" s="22">
        <v>0</v>
      </c>
      <c r="I38" s="26">
        <v>50000</v>
      </c>
      <c r="K38" s="25">
        <v>25000</v>
      </c>
      <c r="N38" t="s">
        <v>80</v>
      </c>
    </row>
    <row r="39" spans="2:24" x14ac:dyDescent="0.3">
      <c r="B39" s="7">
        <v>100000</v>
      </c>
      <c r="C39" s="18">
        <v>1</v>
      </c>
      <c r="I39" s="7">
        <v>40000</v>
      </c>
      <c r="K39" s="9">
        <v>100000</v>
      </c>
      <c r="N39" s="42" t="s">
        <v>81</v>
      </c>
      <c r="O39" s="42"/>
      <c r="P39" s="42"/>
    </row>
    <row r="40" spans="2:24" x14ac:dyDescent="0.3">
      <c r="B40" s="9">
        <v>60000</v>
      </c>
      <c r="C40" s="22">
        <v>0</v>
      </c>
      <c r="I40" s="26">
        <v>80000</v>
      </c>
      <c r="K40" s="26">
        <v>28000</v>
      </c>
      <c r="N40" s="43" t="s">
        <v>82</v>
      </c>
      <c r="O40" s="43"/>
      <c r="P40" s="43"/>
    </row>
    <row r="41" spans="2:24" x14ac:dyDescent="0.3">
      <c r="B41" s="7">
        <v>20000</v>
      </c>
      <c r="C41" s="18">
        <v>1</v>
      </c>
      <c r="I41" s="7">
        <v>9090.9090909999995</v>
      </c>
      <c r="K41" s="9">
        <v>40000</v>
      </c>
      <c r="N41" s="43" t="s">
        <v>83</v>
      </c>
      <c r="O41" s="43"/>
      <c r="P41" s="43"/>
    </row>
    <row r="42" spans="2:24" x14ac:dyDescent="0.3">
      <c r="B42" s="9">
        <v>70000</v>
      </c>
      <c r="C42" s="22">
        <v>1</v>
      </c>
      <c r="I42" s="9">
        <v>100000</v>
      </c>
      <c r="K42" s="7">
        <v>50000</v>
      </c>
      <c r="N42" t="s">
        <v>84</v>
      </c>
    </row>
    <row r="43" spans="2:24" x14ac:dyDescent="0.3">
      <c r="B43" s="7">
        <v>40000</v>
      </c>
      <c r="C43" s="18">
        <v>0</v>
      </c>
      <c r="I43" s="25">
        <v>40000</v>
      </c>
      <c r="K43" s="25">
        <v>33333.333330000001</v>
      </c>
    </row>
    <row r="44" spans="2:24" x14ac:dyDescent="0.3">
      <c r="B44" s="9">
        <v>50000</v>
      </c>
      <c r="C44" s="22">
        <v>0</v>
      </c>
      <c r="I44" s="26">
        <v>7777.7777779999997</v>
      </c>
      <c r="K44" s="26">
        <v>33333.333330000001</v>
      </c>
    </row>
    <row r="45" spans="2:24" x14ac:dyDescent="0.3">
      <c r="B45" s="7">
        <v>60000</v>
      </c>
      <c r="C45" s="18">
        <v>0</v>
      </c>
      <c r="I45" s="25">
        <v>10000</v>
      </c>
      <c r="K45" s="25">
        <v>40000</v>
      </c>
    </row>
    <row r="46" spans="2:24" x14ac:dyDescent="0.3">
      <c r="B46" s="9">
        <v>33333.333330000001</v>
      </c>
      <c r="C46" s="22">
        <v>0</v>
      </c>
      <c r="I46" s="25">
        <v>40000</v>
      </c>
      <c r="K46" s="26">
        <v>25000</v>
      </c>
    </row>
    <row r="47" spans="2:24" x14ac:dyDescent="0.3">
      <c r="B47" s="7">
        <v>40000</v>
      </c>
      <c r="C47" s="18">
        <v>0</v>
      </c>
      <c r="I47" s="26">
        <v>-20000</v>
      </c>
      <c r="K47" s="25">
        <v>26666.666669999999</v>
      </c>
    </row>
    <row r="48" spans="2:24" x14ac:dyDescent="0.3">
      <c r="B48" s="9">
        <v>36666.666669999999</v>
      </c>
      <c r="C48" s="22">
        <v>1</v>
      </c>
      <c r="I48" s="7">
        <v>10000</v>
      </c>
      <c r="K48" s="7">
        <v>100000</v>
      </c>
    </row>
    <row r="49" spans="2:11" x14ac:dyDescent="0.3">
      <c r="B49" s="7">
        <v>30000</v>
      </c>
      <c r="C49" s="18">
        <v>1</v>
      </c>
      <c r="I49" s="9">
        <v>28000</v>
      </c>
      <c r="K49" s="9">
        <v>50000</v>
      </c>
    </row>
    <row r="50" spans="2:11" x14ac:dyDescent="0.3">
      <c r="B50" s="9">
        <v>33333.333330000001</v>
      </c>
      <c r="C50" s="22">
        <v>0</v>
      </c>
      <c r="I50" s="25">
        <v>60000</v>
      </c>
      <c r="K50" s="25">
        <v>25000</v>
      </c>
    </row>
    <row r="51" spans="2:11" x14ac:dyDescent="0.3">
      <c r="B51" s="7">
        <v>-40000</v>
      </c>
      <c r="C51" s="18">
        <v>1</v>
      </c>
      <c r="I51" s="7">
        <v>50000</v>
      </c>
      <c r="K51" s="9">
        <v>10000</v>
      </c>
    </row>
    <row r="52" spans="2:11" x14ac:dyDescent="0.3">
      <c r="B52" s="9">
        <v>30000</v>
      </c>
      <c r="C52" s="22">
        <v>1</v>
      </c>
      <c r="I52" s="9">
        <v>8571.4285710000004</v>
      </c>
      <c r="K52" s="7">
        <v>40000</v>
      </c>
    </row>
    <row r="53" spans="2:11" x14ac:dyDescent="0.3">
      <c r="B53" s="7">
        <v>45000</v>
      </c>
      <c r="C53" s="18">
        <v>1</v>
      </c>
      <c r="I53" s="9">
        <v>5000</v>
      </c>
      <c r="K53" s="9">
        <v>50000</v>
      </c>
    </row>
    <row r="54" spans="2:11" x14ac:dyDescent="0.3">
      <c r="B54" s="9">
        <v>-20771.513350000001</v>
      </c>
      <c r="C54" s="22">
        <v>1</v>
      </c>
      <c r="I54" s="9">
        <v>33333.333330000001</v>
      </c>
      <c r="K54" s="7">
        <v>70000</v>
      </c>
    </row>
    <row r="55" spans="2:11" x14ac:dyDescent="0.3">
      <c r="B55" s="7">
        <v>153846.1538</v>
      </c>
      <c r="C55" s="18">
        <v>1</v>
      </c>
      <c r="I55" s="7">
        <v>50000</v>
      </c>
      <c r="K55" s="7">
        <v>60000</v>
      </c>
    </row>
    <row r="56" spans="2:11" x14ac:dyDescent="0.3">
      <c r="B56" s="9">
        <v>-10000</v>
      </c>
      <c r="C56" s="22">
        <v>1</v>
      </c>
      <c r="I56" s="9">
        <v>50000</v>
      </c>
      <c r="K56" s="9">
        <v>50000</v>
      </c>
    </row>
    <row r="57" spans="2:11" x14ac:dyDescent="0.3">
      <c r="B57" s="7">
        <v>27500</v>
      </c>
      <c r="C57" s="18">
        <v>1</v>
      </c>
      <c r="I57" s="7">
        <v>60000</v>
      </c>
      <c r="K57" s="7">
        <v>32500</v>
      </c>
    </row>
    <row r="58" spans="2:11" x14ac:dyDescent="0.3">
      <c r="B58" s="9">
        <v>-7692.3076920000003</v>
      </c>
      <c r="C58" s="22">
        <v>0</v>
      </c>
      <c r="I58" s="26">
        <v>25000</v>
      </c>
      <c r="K58" s="26">
        <v>25000</v>
      </c>
    </row>
    <row r="59" spans="2:11" x14ac:dyDescent="0.3">
      <c r="B59" s="7">
        <v>100000</v>
      </c>
      <c r="C59" s="18">
        <v>1</v>
      </c>
      <c r="I59" s="7">
        <v>4000</v>
      </c>
      <c r="K59" s="7">
        <v>25000</v>
      </c>
    </row>
    <row r="60" spans="2:11" x14ac:dyDescent="0.3">
      <c r="B60" s="9">
        <v>72000</v>
      </c>
      <c r="C60" s="22">
        <v>0</v>
      </c>
      <c r="I60" s="25">
        <v>17500</v>
      </c>
      <c r="K60" s="26">
        <v>33333.333330000001</v>
      </c>
    </row>
    <row r="61" spans="2:11" x14ac:dyDescent="0.3">
      <c r="B61" s="7">
        <v>73333.333329999994</v>
      </c>
      <c r="C61" s="18">
        <v>0</v>
      </c>
      <c r="I61" s="26">
        <v>11818.18182</v>
      </c>
      <c r="K61" s="25">
        <v>150000</v>
      </c>
    </row>
    <row r="62" spans="2:11" x14ac:dyDescent="0.3">
      <c r="B62" s="9">
        <v>58823.529410000003</v>
      </c>
      <c r="C62" s="22">
        <v>0</v>
      </c>
      <c r="I62" s="25">
        <v>5000</v>
      </c>
      <c r="K62" s="26">
        <v>30000</v>
      </c>
    </row>
    <row r="63" spans="2:11" x14ac:dyDescent="0.3">
      <c r="B63" s="7">
        <v>25000</v>
      </c>
      <c r="C63" s="18">
        <v>0</v>
      </c>
      <c r="I63" s="26">
        <v>15000</v>
      </c>
      <c r="K63" s="25">
        <v>16000</v>
      </c>
    </row>
    <row r="64" spans="2:11" x14ac:dyDescent="0.3">
      <c r="B64" s="9">
        <v>50000</v>
      </c>
      <c r="C64" s="22">
        <v>1</v>
      </c>
      <c r="I64" s="7">
        <v>10769.23077</v>
      </c>
      <c r="K64" s="9">
        <v>20000</v>
      </c>
    </row>
    <row r="65" spans="2:11" x14ac:dyDescent="0.3">
      <c r="B65" s="7">
        <v>40000</v>
      </c>
      <c r="C65" s="18">
        <v>1</v>
      </c>
      <c r="I65" s="9">
        <v>16000</v>
      </c>
      <c r="K65" s="9">
        <v>100000</v>
      </c>
    </row>
    <row r="66" spans="2:11" x14ac:dyDescent="0.3">
      <c r="B66" s="9">
        <v>80000</v>
      </c>
      <c r="C66" s="22">
        <v>1</v>
      </c>
      <c r="I66" s="7">
        <v>-16666.666669999999</v>
      </c>
      <c r="K66" s="7">
        <v>24444.444439999999</v>
      </c>
    </row>
    <row r="67" spans="2:11" x14ac:dyDescent="0.3">
      <c r="B67" s="7">
        <v>9090.9090909999995</v>
      </c>
      <c r="C67" s="18">
        <v>1</v>
      </c>
      <c r="I67" s="9">
        <v>14285.71429</v>
      </c>
      <c r="K67" s="9">
        <v>30000</v>
      </c>
    </row>
    <row r="68" spans="2:11" x14ac:dyDescent="0.3">
      <c r="B68" s="9">
        <v>35000</v>
      </c>
      <c r="C68" s="22">
        <v>0</v>
      </c>
      <c r="I68" s="25">
        <v>-6172.8395060000003</v>
      </c>
      <c r="K68" s="25">
        <v>-15625</v>
      </c>
    </row>
    <row r="69" spans="2:11" x14ac:dyDescent="0.3">
      <c r="B69" s="7">
        <v>-12000</v>
      </c>
      <c r="C69" s="18">
        <v>0</v>
      </c>
      <c r="I69" s="26">
        <v>-50000</v>
      </c>
      <c r="K69" s="25">
        <v>48000</v>
      </c>
    </row>
    <row r="70" spans="2:11" x14ac:dyDescent="0.3">
      <c r="B70" s="9">
        <v>100000</v>
      </c>
      <c r="C70" s="22">
        <v>1</v>
      </c>
      <c r="I70" s="9">
        <v>33591.731269999997</v>
      </c>
      <c r="K70" s="7">
        <v>41428.571430000004</v>
      </c>
    </row>
    <row r="71" spans="2:11" x14ac:dyDescent="0.3">
      <c r="B71" s="7">
        <v>40000</v>
      </c>
      <c r="C71" s="18">
        <v>1</v>
      </c>
      <c r="I71" s="9">
        <v>25000</v>
      </c>
      <c r="K71" s="9">
        <v>17500</v>
      </c>
    </row>
    <row r="72" spans="2:11" x14ac:dyDescent="0.3">
      <c r="B72" s="9">
        <v>50000</v>
      </c>
      <c r="C72" s="22">
        <v>0</v>
      </c>
      <c r="I72" s="25">
        <v>15000</v>
      </c>
      <c r="K72" s="25">
        <v>43478.260869999998</v>
      </c>
    </row>
    <row r="73" spans="2:11" x14ac:dyDescent="0.3">
      <c r="B73" s="7">
        <v>66666.666670000006</v>
      </c>
      <c r="C73" s="18">
        <v>0</v>
      </c>
      <c r="I73" s="26">
        <v>20000</v>
      </c>
      <c r="K73" s="26">
        <v>8695.6521740000007</v>
      </c>
    </row>
    <row r="74" spans="2:11" x14ac:dyDescent="0.3">
      <c r="B74" s="9">
        <v>7777.7777779999997</v>
      </c>
      <c r="C74" s="22">
        <v>1</v>
      </c>
      <c r="I74" s="9">
        <v>10000</v>
      </c>
      <c r="K74" s="7">
        <v>103174.6032</v>
      </c>
    </row>
    <row r="75" spans="2:11" x14ac:dyDescent="0.3">
      <c r="B75" s="7">
        <v>10000</v>
      </c>
      <c r="C75" s="18">
        <v>1</v>
      </c>
      <c r="I75" s="7">
        <v>3717.472119</v>
      </c>
      <c r="K75" s="7">
        <v>12500</v>
      </c>
    </row>
    <row r="76" spans="2:11" x14ac:dyDescent="0.3">
      <c r="B76" s="9">
        <v>33333.333330000001</v>
      </c>
      <c r="C76" s="22">
        <v>0</v>
      </c>
      <c r="I76" s="26">
        <v>27014.28571</v>
      </c>
      <c r="K76" s="25">
        <v>47500</v>
      </c>
    </row>
    <row r="77" spans="2:11" x14ac:dyDescent="0.3">
      <c r="B77" s="7">
        <v>26666.666669999999</v>
      </c>
      <c r="C77" s="18">
        <v>0</v>
      </c>
      <c r="I77" s="25">
        <v>10000</v>
      </c>
      <c r="K77" s="26">
        <v>11666.666670000001</v>
      </c>
    </row>
    <row r="78" spans="2:11" x14ac:dyDescent="0.3">
      <c r="B78" s="9">
        <v>14285.71429</v>
      </c>
      <c r="C78" s="22">
        <v>0</v>
      </c>
      <c r="I78" s="26">
        <v>15000</v>
      </c>
      <c r="K78" s="25">
        <v>150000</v>
      </c>
    </row>
    <row r="79" spans="2:11" x14ac:dyDescent="0.3">
      <c r="B79" s="7">
        <v>40000</v>
      </c>
      <c r="C79" s="18">
        <v>1</v>
      </c>
      <c r="I79" s="7">
        <v>8510.6382979999998</v>
      </c>
      <c r="K79" s="7">
        <v>18181.818179999998</v>
      </c>
    </row>
    <row r="80" spans="2:11" x14ac:dyDescent="0.3">
      <c r="B80" s="9">
        <v>-20000</v>
      </c>
      <c r="C80" s="22">
        <v>1</v>
      </c>
      <c r="I80" s="9">
        <v>6250</v>
      </c>
      <c r="K80" s="9">
        <v>-10000</v>
      </c>
    </row>
    <row r="81" spans="2:11" x14ac:dyDescent="0.3">
      <c r="B81" s="7">
        <v>25000</v>
      </c>
      <c r="C81" s="18">
        <v>0</v>
      </c>
      <c r="I81" s="25">
        <v>14516.12903</v>
      </c>
      <c r="K81" s="25">
        <v>25000</v>
      </c>
    </row>
    <row r="82" spans="2:11" x14ac:dyDescent="0.3">
      <c r="B82" s="9">
        <v>100000</v>
      </c>
      <c r="C82" s="22">
        <v>0</v>
      </c>
      <c r="I82" s="25">
        <v>4615.3846149999999</v>
      </c>
      <c r="K82" s="26">
        <v>50000</v>
      </c>
    </row>
    <row r="83" spans="2:11" x14ac:dyDescent="0.3">
      <c r="B83" s="7">
        <v>10000</v>
      </c>
      <c r="C83" s="18">
        <v>1</v>
      </c>
      <c r="I83" s="9">
        <v>18437.5</v>
      </c>
      <c r="K83" s="9">
        <v>50000</v>
      </c>
    </row>
    <row r="84" spans="2:11" x14ac:dyDescent="0.3">
      <c r="B84" s="9">
        <v>28000</v>
      </c>
      <c r="C84" s="22">
        <v>1</v>
      </c>
      <c r="I84" s="7">
        <v>80000</v>
      </c>
      <c r="K84" s="7">
        <v>14285.71429</v>
      </c>
    </row>
    <row r="85" spans="2:11" x14ac:dyDescent="0.3">
      <c r="B85" s="7">
        <v>60000</v>
      </c>
      <c r="C85" s="18">
        <v>1</v>
      </c>
      <c r="I85" s="9">
        <v>7272.7272730000004</v>
      </c>
      <c r="K85" s="9">
        <v>20000</v>
      </c>
    </row>
    <row r="86" spans="2:11" x14ac:dyDescent="0.3">
      <c r="B86" s="9">
        <v>28000</v>
      </c>
      <c r="C86" s="22">
        <v>0</v>
      </c>
      <c r="I86" s="25">
        <v>66666.666670000006</v>
      </c>
      <c r="K86" s="25">
        <v>36250</v>
      </c>
    </row>
    <row r="87" spans="2:11" x14ac:dyDescent="0.3">
      <c r="B87" s="7">
        <v>50000</v>
      </c>
      <c r="C87" s="18">
        <v>1</v>
      </c>
      <c r="I87" s="9">
        <v>23076.92308</v>
      </c>
      <c r="K87" s="7">
        <v>2777.7777780000001</v>
      </c>
    </row>
    <row r="88" spans="2:11" x14ac:dyDescent="0.3">
      <c r="B88" s="9">
        <v>40000</v>
      </c>
      <c r="C88" s="22">
        <v>0</v>
      </c>
      <c r="I88" s="25">
        <v>23750</v>
      </c>
      <c r="K88" s="26">
        <v>100000</v>
      </c>
    </row>
    <row r="89" spans="2:11" x14ac:dyDescent="0.3">
      <c r="B89" s="7">
        <v>50000</v>
      </c>
      <c r="C89" s="18">
        <v>0</v>
      </c>
      <c r="I89" s="26">
        <v>42500</v>
      </c>
      <c r="K89" s="25">
        <v>-15625</v>
      </c>
    </row>
    <row r="90" spans="2:11" x14ac:dyDescent="0.3">
      <c r="B90" s="9">
        <v>8571.4285710000004</v>
      </c>
      <c r="C90" s="22">
        <v>1</v>
      </c>
      <c r="I90" s="7">
        <v>16666.666669999999</v>
      </c>
      <c r="K90" s="9">
        <v>-19450.800920000001</v>
      </c>
    </row>
    <row r="91" spans="2:11" x14ac:dyDescent="0.3">
      <c r="B91" s="7">
        <v>33333.333330000001</v>
      </c>
      <c r="C91" s="18">
        <v>0</v>
      </c>
      <c r="I91" s="26">
        <v>-12500</v>
      </c>
      <c r="K91" s="25">
        <v>-17000</v>
      </c>
    </row>
    <row r="92" spans="2:11" x14ac:dyDescent="0.3">
      <c r="B92" s="9">
        <v>33333.333330000001</v>
      </c>
      <c r="C92" s="22">
        <v>0</v>
      </c>
      <c r="I92" s="26">
        <v>18333.333330000001</v>
      </c>
      <c r="K92" s="25">
        <v>64516.129029999996</v>
      </c>
    </row>
    <row r="93" spans="2:11" x14ac:dyDescent="0.3">
      <c r="B93" s="7">
        <v>40000</v>
      </c>
      <c r="C93" s="18">
        <v>0</v>
      </c>
      <c r="I93" s="25">
        <v>28000</v>
      </c>
      <c r="K93" s="26">
        <v>51666.666669999999</v>
      </c>
    </row>
    <row r="94" spans="2:11" x14ac:dyDescent="0.3">
      <c r="B94" s="9">
        <v>25000</v>
      </c>
      <c r="C94" s="22">
        <v>0</v>
      </c>
      <c r="I94" s="26">
        <v>30000</v>
      </c>
      <c r="K94" s="25">
        <v>20000</v>
      </c>
    </row>
    <row r="95" spans="2:11" x14ac:dyDescent="0.3">
      <c r="B95" s="7">
        <v>26666.666669999999</v>
      </c>
      <c r="C95" s="18">
        <v>0</v>
      </c>
      <c r="I95" s="25">
        <v>21666.666669999999</v>
      </c>
      <c r="K95" s="25">
        <v>18750</v>
      </c>
    </row>
    <row r="96" spans="2:11" x14ac:dyDescent="0.3">
      <c r="B96" s="9">
        <v>5000</v>
      </c>
      <c r="C96" s="22">
        <v>1</v>
      </c>
      <c r="I96" s="9">
        <v>66666.666670000006</v>
      </c>
      <c r="K96" s="7">
        <v>133333.3333</v>
      </c>
    </row>
    <row r="97" spans="2:11" x14ac:dyDescent="0.3">
      <c r="B97" s="7">
        <v>100000</v>
      </c>
      <c r="C97" s="18">
        <v>0</v>
      </c>
      <c r="I97" s="25">
        <v>5000</v>
      </c>
      <c r="K97" s="26">
        <v>26666.666669999999</v>
      </c>
    </row>
    <row r="98" spans="2:11" x14ac:dyDescent="0.3">
      <c r="B98" s="9">
        <v>50000</v>
      </c>
      <c r="C98" s="22">
        <v>0</v>
      </c>
      <c r="I98" s="26">
        <v>12727.272730000001</v>
      </c>
      <c r="K98" s="25">
        <v>33333.333330000001</v>
      </c>
    </row>
    <row r="99" spans="2:11" x14ac:dyDescent="0.3">
      <c r="B99" s="7">
        <v>25000</v>
      </c>
      <c r="C99" s="18">
        <v>0</v>
      </c>
      <c r="I99" s="25">
        <v>22000</v>
      </c>
      <c r="K99" s="25">
        <v>66666.666670000006</v>
      </c>
    </row>
    <row r="100" spans="2:11" x14ac:dyDescent="0.3">
      <c r="B100" s="9">
        <v>10000</v>
      </c>
      <c r="C100" s="22">
        <v>0</v>
      </c>
      <c r="I100" s="26">
        <v>30000</v>
      </c>
      <c r="K100" s="25">
        <v>20000</v>
      </c>
    </row>
    <row r="101" spans="2:11" x14ac:dyDescent="0.3">
      <c r="B101" s="7">
        <v>40000</v>
      </c>
      <c r="C101" s="18">
        <v>0</v>
      </c>
      <c r="I101" s="25">
        <v>8571.4285710000004</v>
      </c>
      <c r="K101" s="25">
        <v>31250</v>
      </c>
    </row>
    <row r="102" spans="2:11" x14ac:dyDescent="0.3">
      <c r="B102" s="9">
        <v>50000</v>
      </c>
      <c r="C102" s="22">
        <v>0</v>
      </c>
      <c r="I102" s="26">
        <v>25000</v>
      </c>
      <c r="K102" s="26">
        <v>30000</v>
      </c>
    </row>
    <row r="103" spans="2:11" x14ac:dyDescent="0.3">
      <c r="B103" s="7">
        <v>70000</v>
      </c>
      <c r="C103" s="18">
        <v>0</v>
      </c>
      <c r="I103" s="26">
        <v>-8333.3333330000005</v>
      </c>
      <c r="K103" s="25">
        <v>142857.14290000001</v>
      </c>
    </row>
    <row r="104" spans="2:11" x14ac:dyDescent="0.3">
      <c r="B104" s="9">
        <v>33333.333330000001</v>
      </c>
      <c r="C104" s="22">
        <v>1</v>
      </c>
      <c r="I104" s="9">
        <v>8333.3333330000005</v>
      </c>
      <c r="K104" s="7">
        <v>45454.545449999998</v>
      </c>
    </row>
    <row r="105" spans="2:11" x14ac:dyDescent="0.3">
      <c r="B105" s="7">
        <v>60000</v>
      </c>
      <c r="C105" s="18">
        <v>0</v>
      </c>
      <c r="I105" s="26">
        <v>-12195.121950000001</v>
      </c>
      <c r="K105" s="26">
        <v>20887.5</v>
      </c>
    </row>
    <row r="106" spans="2:11" x14ac:dyDescent="0.3">
      <c r="B106" s="9">
        <v>50000</v>
      </c>
      <c r="C106" s="22">
        <v>0</v>
      </c>
      <c r="I106" s="25">
        <v>-11111.11111</v>
      </c>
      <c r="K106" s="25">
        <v>17000</v>
      </c>
    </row>
    <row r="107" spans="2:11" x14ac:dyDescent="0.3">
      <c r="B107" s="7">
        <v>32500</v>
      </c>
      <c r="C107" s="18">
        <v>0</v>
      </c>
      <c r="I107" s="26">
        <v>8333.3333330000005</v>
      </c>
      <c r="K107" s="25">
        <v>16540.75547</v>
      </c>
    </row>
    <row r="108" spans="2:11" x14ac:dyDescent="0.3">
      <c r="B108" s="9">
        <v>25000</v>
      </c>
      <c r="C108" s="22">
        <v>0</v>
      </c>
      <c r="I108" s="25">
        <v>0</v>
      </c>
      <c r="K108" s="25">
        <v>90909.090909999999</v>
      </c>
    </row>
    <row r="109" spans="2:11" x14ac:dyDescent="0.3">
      <c r="B109" s="7">
        <v>25000</v>
      </c>
      <c r="C109" s="18">
        <v>0</v>
      </c>
      <c r="I109" s="26">
        <v>25000</v>
      </c>
      <c r="K109" s="26">
        <v>13043.47826</v>
      </c>
    </row>
    <row r="110" spans="2:11" x14ac:dyDescent="0.3">
      <c r="B110" s="9">
        <v>33333.333330000001</v>
      </c>
      <c r="C110" s="22">
        <v>0</v>
      </c>
      <c r="I110" s="25">
        <v>0</v>
      </c>
      <c r="K110" s="26">
        <v>31250</v>
      </c>
    </row>
    <row r="111" spans="2:11" x14ac:dyDescent="0.3">
      <c r="B111" s="7">
        <v>150000</v>
      </c>
      <c r="C111" s="18">
        <v>0</v>
      </c>
      <c r="I111" s="26">
        <v>-6250</v>
      </c>
      <c r="K111" s="25">
        <v>50000</v>
      </c>
    </row>
    <row r="112" spans="2:11" x14ac:dyDescent="0.3">
      <c r="B112" s="9">
        <v>30000</v>
      </c>
      <c r="C112" s="22">
        <v>0</v>
      </c>
      <c r="I112" s="25">
        <v>14285.71429</v>
      </c>
      <c r="K112" s="26">
        <v>16279.06977</v>
      </c>
    </row>
    <row r="113" spans="2:11" x14ac:dyDescent="0.3">
      <c r="B113" s="7">
        <v>50000</v>
      </c>
      <c r="C113" s="18">
        <v>1</v>
      </c>
      <c r="I113" s="7">
        <v>100000</v>
      </c>
      <c r="K113" s="7">
        <v>83333.333329999994</v>
      </c>
    </row>
    <row r="114" spans="2:11" x14ac:dyDescent="0.3">
      <c r="B114" s="9">
        <v>50000</v>
      </c>
      <c r="C114" s="22">
        <v>1</v>
      </c>
      <c r="I114" s="9">
        <v>80645.161290000004</v>
      </c>
      <c r="K114" s="9">
        <v>50000</v>
      </c>
    </row>
    <row r="115" spans="2:11" x14ac:dyDescent="0.3">
      <c r="B115" s="7">
        <v>16000</v>
      </c>
      <c r="C115" s="18">
        <v>0</v>
      </c>
      <c r="I115" s="25">
        <v>64516.129029999996</v>
      </c>
      <c r="K115" s="25">
        <v>50000</v>
      </c>
    </row>
    <row r="116" spans="2:11" x14ac:dyDescent="0.3">
      <c r="B116" s="9">
        <v>20000</v>
      </c>
      <c r="C116" s="22">
        <v>0</v>
      </c>
      <c r="I116" s="26">
        <v>60000</v>
      </c>
      <c r="K116" s="26">
        <v>87500</v>
      </c>
    </row>
    <row r="117" spans="2:11" x14ac:dyDescent="0.3">
      <c r="B117" s="7">
        <v>60000</v>
      </c>
      <c r="C117" s="18">
        <v>1</v>
      </c>
      <c r="I117" s="9">
        <v>0</v>
      </c>
      <c r="K117" s="7">
        <v>104545.45450000001</v>
      </c>
    </row>
    <row r="118" spans="2:11" x14ac:dyDescent="0.3">
      <c r="B118" s="9">
        <v>25000</v>
      </c>
      <c r="C118" s="22">
        <v>1</v>
      </c>
      <c r="I118" s="7">
        <v>-8333.3333330000005</v>
      </c>
      <c r="K118" s="9">
        <v>50000</v>
      </c>
    </row>
    <row r="119" spans="2:11" x14ac:dyDescent="0.3">
      <c r="B119" s="7">
        <v>4000</v>
      </c>
      <c r="C119" s="18">
        <v>1</v>
      </c>
      <c r="I119" s="9">
        <v>50000</v>
      </c>
      <c r="K119" s="9">
        <v>30232.558140000001</v>
      </c>
    </row>
    <row r="120" spans="2:11" x14ac:dyDescent="0.3">
      <c r="B120" s="9">
        <v>100000</v>
      </c>
      <c r="C120" s="22">
        <v>0</v>
      </c>
      <c r="I120" s="25">
        <v>0</v>
      </c>
      <c r="K120" s="26">
        <v>38461.538460000003</v>
      </c>
    </row>
    <row r="121" spans="2:11" x14ac:dyDescent="0.3">
      <c r="B121" s="7">
        <v>17500</v>
      </c>
      <c r="C121" s="18">
        <v>1</v>
      </c>
      <c r="I121" s="9">
        <v>0</v>
      </c>
      <c r="K121" s="9">
        <v>75000</v>
      </c>
    </row>
    <row r="122" spans="2:11" x14ac:dyDescent="0.3">
      <c r="B122" s="9">
        <v>11818.18182</v>
      </c>
      <c r="C122" s="22">
        <v>1</v>
      </c>
      <c r="I122" s="7">
        <v>25000</v>
      </c>
      <c r="K122" s="7">
        <v>-15000</v>
      </c>
    </row>
    <row r="123" spans="2:11" x14ac:dyDescent="0.3">
      <c r="B123" s="7">
        <v>5000</v>
      </c>
      <c r="C123" s="18">
        <v>1</v>
      </c>
      <c r="I123" s="9">
        <v>2500</v>
      </c>
      <c r="K123" s="9">
        <v>35000</v>
      </c>
    </row>
    <row r="124" spans="2:11" x14ac:dyDescent="0.3">
      <c r="B124" s="9">
        <v>15000</v>
      </c>
      <c r="C124" s="22">
        <v>1</v>
      </c>
      <c r="I124" s="7">
        <v>25000</v>
      </c>
      <c r="K124" s="7">
        <v>50000</v>
      </c>
    </row>
    <row r="125" spans="2:11" x14ac:dyDescent="0.3">
      <c r="B125" s="7">
        <v>10769.23077</v>
      </c>
      <c r="C125" s="18">
        <v>1</v>
      </c>
      <c r="I125" s="7">
        <v>13986.013989999999</v>
      </c>
      <c r="K125" s="7">
        <v>25000</v>
      </c>
    </row>
    <row r="126" spans="2:11" x14ac:dyDescent="0.3">
      <c r="B126" s="9">
        <v>16000</v>
      </c>
      <c r="C126" s="22">
        <v>1</v>
      </c>
      <c r="I126" s="9">
        <v>-12500</v>
      </c>
      <c r="K126" s="9">
        <v>45454.545449999998</v>
      </c>
    </row>
    <row r="127" spans="2:11" x14ac:dyDescent="0.3">
      <c r="B127" s="7">
        <v>24444.444439999999</v>
      </c>
      <c r="C127" s="18">
        <v>0</v>
      </c>
      <c r="I127" s="25">
        <v>-12500</v>
      </c>
      <c r="K127" s="25">
        <v>25000</v>
      </c>
    </row>
    <row r="128" spans="2:11" x14ac:dyDescent="0.3">
      <c r="B128" s="9">
        <v>30000</v>
      </c>
      <c r="C128" s="22">
        <v>0</v>
      </c>
      <c r="I128" s="26">
        <v>12500</v>
      </c>
      <c r="K128" s="26">
        <v>35000</v>
      </c>
    </row>
    <row r="129" spans="2:11" x14ac:dyDescent="0.3">
      <c r="B129" s="7">
        <v>-16666.666669999999</v>
      </c>
      <c r="C129" s="18">
        <v>1</v>
      </c>
      <c r="I129" s="7">
        <v>10000</v>
      </c>
      <c r="K129" s="7">
        <v>10000</v>
      </c>
    </row>
    <row r="130" spans="2:11" x14ac:dyDescent="0.3">
      <c r="B130" s="9">
        <v>14285.71429</v>
      </c>
      <c r="C130" s="22">
        <v>1</v>
      </c>
      <c r="I130" s="9">
        <v>6000</v>
      </c>
      <c r="K130" s="9">
        <v>10000</v>
      </c>
    </row>
    <row r="131" spans="2:11" x14ac:dyDescent="0.3">
      <c r="B131" s="7">
        <v>-6172.8395060000003</v>
      </c>
      <c r="C131" s="18">
        <v>1</v>
      </c>
      <c r="I131" s="7">
        <v>8333.3333330000005</v>
      </c>
      <c r="K131" s="7">
        <v>83333.333329999994</v>
      </c>
    </row>
    <row r="132" spans="2:11" x14ac:dyDescent="0.3">
      <c r="B132" s="9">
        <v>-50000</v>
      </c>
      <c r="C132" s="22">
        <v>1</v>
      </c>
      <c r="I132" s="9">
        <v>-10365.853660000001</v>
      </c>
      <c r="K132" s="9">
        <v>25000</v>
      </c>
    </row>
    <row r="133" spans="2:11" x14ac:dyDescent="0.3">
      <c r="B133" s="7">
        <v>-15625</v>
      </c>
      <c r="C133" s="18">
        <v>0</v>
      </c>
      <c r="I133" s="25">
        <v>-6172.8395060000003</v>
      </c>
      <c r="K133" s="26">
        <v>37500</v>
      </c>
    </row>
    <row r="134" spans="2:11" x14ac:dyDescent="0.3">
      <c r="B134" s="9">
        <v>33591.731269999997</v>
      </c>
      <c r="C134" s="22">
        <v>1</v>
      </c>
      <c r="I134" s="9">
        <v>4166.6666670000004</v>
      </c>
      <c r="K134" s="7">
        <v>40000</v>
      </c>
    </row>
    <row r="135" spans="2:11" x14ac:dyDescent="0.3">
      <c r="B135" s="7">
        <v>48000</v>
      </c>
      <c r="C135" s="18">
        <v>0</v>
      </c>
      <c r="I135" s="26">
        <v>16666.666669999999</v>
      </c>
      <c r="K135" s="25">
        <v>25000</v>
      </c>
    </row>
    <row r="136" spans="2:11" x14ac:dyDescent="0.3">
      <c r="B136" s="9">
        <v>25000</v>
      </c>
      <c r="C136" s="22">
        <v>1</v>
      </c>
      <c r="I136" s="7">
        <v>22500</v>
      </c>
      <c r="K136" s="9">
        <v>4545.4545449999996</v>
      </c>
    </row>
    <row r="137" spans="2:11" x14ac:dyDescent="0.3">
      <c r="B137" s="7">
        <v>15000</v>
      </c>
      <c r="C137" s="18">
        <v>1</v>
      </c>
      <c r="I137" s="9">
        <v>31428.57143</v>
      </c>
      <c r="K137" s="7">
        <v>0</v>
      </c>
    </row>
    <row r="138" spans="2:11" x14ac:dyDescent="0.3">
      <c r="B138" s="9">
        <v>20000</v>
      </c>
      <c r="C138" s="22">
        <v>1</v>
      </c>
      <c r="I138" s="7">
        <v>20000</v>
      </c>
      <c r="K138" s="9">
        <v>40000</v>
      </c>
    </row>
    <row r="139" spans="2:11" x14ac:dyDescent="0.3">
      <c r="B139" s="7">
        <v>41428.571430000004</v>
      </c>
      <c r="C139" s="18">
        <v>0</v>
      </c>
      <c r="I139" s="26">
        <v>100000</v>
      </c>
      <c r="K139" s="25">
        <v>66666.666670000006</v>
      </c>
    </row>
    <row r="140" spans="2:11" x14ac:dyDescent="0.3">
      <c r="B140" s="9">
        <v>10000</v>
      </c>
      <c r="C140" s="22">
        <v>1</v>
      </c>
      <c r="I140" s="7">
        <v>14000</v>
      </c>
      <c r="K140" s="9">
        <v>10000</v>
      </c>
    </row>
    <row r="141" spans="2:11" x14ac:dyDescent="0.3">
      <c r="B141" s="7">
        <v>3717.472119</v>
      </c>
      <c r="C141" s="18">
        <v>1</v>
      </c>
      <c r="I141" s="9">
        <v>10000</v>
      </c>
      <c r="K141" s="7">
        <v>25000</v>
      </c>
    </row>
    <row r="142" spans="2:11" x14ac:dyDescent="0.3">
      <c r="B142" s="9">
        <v>27014.28571</v>
      </c>
      <c r="C142" s="22">
        <v>1</v>
      </c>
      <c r="I142" s="7">
        <v>10000</v>
      </c>
      <c r="K142" s="9">
        <v>116666.6667</v>
      </c>
    </row>
    <row r="143" spans="2:11" x14ac:dyDescent="0.3">
      <c r="B143" s="7">
        <v>10000</v>
      </c>
      <c r="C143" s="18">
        <v>1</v>
      </c>
      <c r="I143" s="9">
        <v>16666.666669999999</v>
      </c>
      <c r="K143" s="9">
        <v>153846.1538</v>
      </c>
    </row>
    <row r="144" spans="2:11" x14ac:dyDescent="0.3">
      <c r="B144" s="9">
        <v>15000</v>
      </c>
      <c r="C144" s="22">
        <v>1</v>
      </c>
      <c r="I144" s="7">
        <v>73333.333329999994</v>
      </c>
      <c r="K144" s="9">
        <v>-24600</v>
      </c>
    </row>
    <row r="145" spans="2:11" x14ac:dyDescent="0.3">
      <c r="B145" s="7">
        <v>8510.6382979999998</v>
      </c>
      <c r="C145" s="18">
        <v>1</v>
      </c>
      <c r="I145" s="9">
        <v>107500</v>
      </c>
      <c r="K145" s="7">
        <v>24390.243900000001</v>
      </c>
    </row>
    <row r="146" spans="2:11" x14ac:dyDescent="0.3">
      <c r="B146" s="9">
        <v>6250</v>
      </c>
      <c r="C146" s="22">
        <v>1</v>
      </c>
      <c r="I146" s="9">
        <v>60000</v>
      </c>
      <c r="K146" s="7">
        <v>15384.615379999999</v>
      </c>
    </row>
    <row r="147" spans="2:11" x14ac:dyDescent="0.3">
      <c r="B147" s="7">
        <v>14516.12903</v>
      </c>
      <c r="C147" s="18">
        <v>1</v>
      </c>
      <c r="I147" s="7">
        <v>80000</v>
      </c>
      <c r="K147" s="7">
        <v>57142.85714</v>
      </c>
    </row>
    <row r="148" spans="2:11" x14ac:dyDescent="0.3">
      <c r="B148" s="9">
        <v>17500</v>
      </c>
      <c r="C148" s="22">
        <v>0</v>
      </c>
      <c r="I148" s="26">
        <v>60000</v>
      </c>
      <c r="K148" s="25">
        <v>45454.545449999998</v>
      </c>
    </row>
    <row r="149" spans="2:11" x14ac:dyDescent="0.3">
      <c r="B149" s="7">
        <v>4615.3846149999999</v>
      </c>
      <c r="C149" s="18">
        <v>1</v>
      </c>
      <c r="I149" s="7">
        <v>120000</v>
      </c>
      <c r="K149" s="7">
        <v>83333.333329999994</v>
      </c>
    </row>
    <row r="150" spans="2:11" x14ac:dyDescent="0.3">
      <c r="B150" s="9">
        <v>18437.5</v>
      </c>
      <c r="C150" s="22">
        <v>1</v>
      </c>
      <c r="I150" s="9">
        <v>73333.333329999994</v>
      </c>
      <c r="K150" s="9">
        <v>5000</v>
      </c>
    </row>
    <row r="151" spans="2:11" x14ac:dyDescent="0.3">
      <c r="B151" s="7">
        <v>80000</v>
      </c>
      <c r="C151" s="18">
        <v>1</v>
      </c>
      <c r="I151" s="7">
        <v>48500</v>
      </c>
      <c r="K151" s="7">
        <v>75000</v>
      </c>
    </row>
    <row r="152" spans="2:11" x14ac:dyDescent="0.3">
      <c r="B152" s="9">
        <v>7272.7272730000004</v>
      </c>
      <c r="C152" s="22">
        <v>1</v>
      </c>
      <c r="I152" s="9">
        <v>17500</v>
      </c>
      <c r="K152" s="9">
        <v>100000</v>
      </c>
    </row>
    <row r="153" spans="2:11" x14ac:dyDescent="0.3">
      <c r="B153" s="7">
        <v>66666.666670000006</v>
      </c>
      <c r="C153" s="18">
        <v>1</v>
      </c>
      <c r="I153" s="7">
        <v>83333.333329999994</v>
      </c>
      <c r="K153" s="9">
        <v>25000</v>
      </c>
    </row>
    <row r="154" spans="2:11" x14ac:dyDescent="0.3">
      <c r="B154" s="9">
        <v>23076.92308</v>
      </c>
      <c r="C154" s="22">
        <v>1</v>
      </c>
      <c r="I154" s="9">
        <v>31666.666669999999</v>
      </c>
      <c r="K154" s="7">
        <v>1000</v>
      </c>
    </row>
    <row r="155" spans="2:11" x14ac:dyDescent="0.3">
      <c r="B155" s="7">
        <v>23750</v>
      </c>
      <c r="C155" s="18">
        <v>1</v>
      </c>
      <c r="I155" s="7">
        <v>41666.666669999999</v>
      </c>
      <c r="K155" s="9">
        <v>16666.666669999999</v>
      </c>
    </row>
    <row r="156" spans="2:11" x14ac:dyDescent="0.3">
      <c r="B156" s="9">
        <v>42500</v>
      </c>
      <c r="C156" s="22">
        <v>1</v>
      </c>
      <c r="I156" s="9">
        <v>75000</v>
      </c>
      <c r="K156" s="7">
        <v>2500</v>
      </c>
    </row>
    <row r="157" spans="2:11" x14ac:dyDescent="0.3">
      <c r="B157" s="7">
        <v>16666.666669999999</v>
      </c>
      <c r="C157" s="18">
        <v>1</v>
      </c>
      <c r="I157" s="7">
        <v>14000</v>
      </c>
      <c r="K157" s="9">
        <v>5000</v>
      </c>
    </row>
    <row r="158" spans="2:11" x14ac:dyDescent="0.3">
      <c r="B158" s="9">
        <v>-12500</v>
      </c>
      <c r="C158" s="22">
        <v>1</v>
      </c>
      <c r="I158" s="9">
        <v>10000</v>
      </c>
      <c r="K158" s="7">
        <v>6000</v>
      </c>
    </row>
    <row r="159" spans="2:11" x14ac:dyDescent="0.3">
      <c r="B159" s="7">
        <v>43478.260869999998</v>
      </c>
      <c r="C159" s="18">
        <v>0</v>
      </c>
      <c r="I159" s="26">
        <v>5000</v>
      </c>
      <c r="K159" s="26">
        <v>5000</v>
      </c>
    </row>
    <row r="160" spans="2:11" x14ac:dyDescent="0.3">
      <c r="B160" s="9">
        <v>8695.6521740000007</v>
      </c>
      <c r="C160" s="22">
        <v>0</v>
      </c>
      <c r="I160" s="25">
        <v>25000</v>
      </c>
      <c r="K160" s="25">
        <v>10000</v>
      </c>
    </row>
    <row r="161" spans="2:11" x14ac:dyDescent="0.3">
      <c r="B161" s="7">
        <v>103174.6032</v>
      </c>
      <c r="C161" s="18">
        <v>0</v>
      </c>
      <c r="I161" s="26">
        <v>-5833.3333329999996</v>
      </c>
      <c r="K161" s="26">
        <v>41666.666669999999</v>
      </c>
    </row>
    <row r="162" spans="2:11" x14ac:dyDescent="0.3">
      <c r="B162" s="9">
        <v>18333.333330000001</v>
      </c>
      <c r="C162" s="22">
        <v>1</v>
      </c>
      <c r="I162" s="9">
        <v>-25000</v>
      </c>
      <c r="K162" s="7">
        <v>4000</v>
      </c>
    </row>
    <row r="163" spans="2:11" x14ac:dyDescent="0.3">
      <c r="B163" s="7">
        <v>28000</v>
      </c>
      <c r="C163" s="18">
        <v>1</v>
      </c>
      <c r="I163" s="7">
        <v>25000</v>
      </c>
      <c r="K163" s="7">
        <v>4545.4545449999996</v>
      </c>
    </row>
    <row r="164" spans="2:11" x14ac:dyDescent="0.3">
      <c r="B164" s="9">
        <v>30000</v>
      </c>
      <c r="C164" s="22">
        <v>1</v>
      </c>
      <c r="I164" s="9">
        <v>15066.666670000001</v>
      </c>
      <c r="K164" s="7">
        <v>-3571.4285709999999</v>
      </c>
    </row>
    <row r="165" spans="2:11" x14ac:dyDescent="0.3">
      <c r="B165" s="7">
        <v>21666.666669999999</v>
      </c>
      <c r="C165" s="18">
        <v>1</v>
      </c>
      <c r="I165" s="9">
        <v>50000</v>
      </c>
      <c r="K165" s="7">
        <v>7142.8571430000002</v>
      </c>
    </row>
    <row r="166" spans="2:11" x14ac:dyDescent="0.3">
      <c r="B166" s="9">
        <v>66666.666670000006</v>
      </c>
      <c r="C166" s="22">
        <v>1</v>
      </c>
      <c r="I166" s="9">
        <v>95238.095239999995</v>
      </c>
      <c r="K166" s="9">
        <v>55000</v>
      </c>
    </row>
    <row r="167" spans="2:11" x14ac:dyDescent="0.3">
      <c r="B167" s="7">
        <v>5000</v>
      </c>
      <c r="C167" s="18">
        <v>1</v>
      </c>
      <c r="I167" s="7">
        <v>96774.193549999996</v>
      </c>
      <c r="K167" s="7">
        <v>4000</v>
      </c>
    </row>
    <row r="168" spans="2:11" x14ac:dyDescent="0.3">
      <c r="B168" s="9">
        <v>12727.272730000001</v>
      </c>
      <c r="C168" s="22">
        <v>1</v>
      </c>
      <c r="I168" s="9">
        <v>21538.46154</v>
      </c>
      <c r="K168" s="9">
        <v>13636.36364</v>
      </c>
    </row>
    <row r="169" spans="2:11" x14ac:dyDescent="0.3">
      <c r="B169" s="7">
        <v>22000</v>
      </c>
      <c r="C169" s="18">
        <v>1</v>
      </c>
      <c r="I169" s="9">
        <v>86363.636360000004</v>
      </c>
      <c r="K169" s="7">
        <v>-43478.260869999998</v>
      </c>
    </row>
    <row r="170" spans="2:11" x14ac:dyDescent="0.3">
      <c r="B170" s="9">
        <v>30000</v>
      </c>
      <c r="C170" s="22">
        <v>1</v>
      </c>
      <c r="I170" s="7">
        <v>76923.076920000007</v>
      </c>
      <c r="K170" s="9">
        <v>12500</v>
      </c>
    </row>
    <row r="171" spans="2:11" x14ac:dyDescent="0.3">
      <c r="B171" s="7">
        <v>8571.4285710000004</v>
      </c>
      <c r="C171" s="18">
        <v>1</v>
      </c>
      <c r="I171" s="9">
        <v>150000</v>
      </c>
      <c r="K171" s="7">
        <v>1886.792453</v>
      </c>
    </row>
    <row r="172" spans="2:11" x14ac:dyDescent="0.3">
      <c r="B172" s="9">
        <v>25000</v>
      </c>
      <c r="C172" s="22">
        <v>1</v>
      </c>
      <c r="I172" s="9">
        <v>47761.194029999999</v>
      </c>
      <c r="K172" s="9">
        <v>-30000</v>
      </c>
    </row>
    <row r="173" spans="2:11" x14ac:dyDescent="0.3">
      <c r="B173" s="7">
        <v>12500</v>
      </c>
      <c r="C173" s="18">
        <v>0</v>
      </c>
      <c r="I173" s="25">
        <v>21818.181820000002</v>
      </c>
      <c r="K173" s="26">
        <v>10000</v>
      </c>
    </row>
    <row r="174" spans="2:11" x14ac:dyDescent="0.3">
      <c r="B174" s="9">
        <v>-8333.3333330000005</v>
      </c>
      <c r="C174" s="22">
        <v>1</v>
      </c>
      <c r="I174" s="9">
        <v>7073.954984</v>
      </c>
      <c r="K174" s="9">
        <v>18181.818179999998</v>
      </c>
    </row>
    <row r="175" spans="2:11" x14ac:dyDescent="0.3">
      <c r="B175" s="7">
        <v>47500</v>
      </c>
      <c r="C175" s="18">
        <v>0</v>
      </c>
      <c r="I175" s="25">
        <v>28750</v>
      </c>
      <c r="K175" s="25">
        <v>9375</v>
      </c>
    </row>
    <row r="176" spans="2:11" x14ac:dyDescent="0.3">
      <c r="B176" s="9">
        <v>11666.666670000001</v>
      </c>
      <c r="C176" s="22">
        <v>0</v>
      </c>
      <c r="I176" s="26">
        <v>13500</v>
      </c>
      <c r="K176" s="26">
        <v>5000</v>
      </c>
    </row>
    <row r="177" spans="2:11" x14ac:dyDescent="0.3">
      <c r="B177" s="7">
        <v>150000</v>
      </c>
      <c r="C177" s="18">
        <v>0</v>
      </c>
      <c r="I177" s="25">
        <v>19565.217390000002</v>
      </c>
      <c r="K177" s="26">
        <v>21645.021649999999</v>
      </c>
    </row>
    <row r="178" spans="2:11" x14ac:dyDescent="0.3">
      <c r="B178" s="9">
        <v>8333.3333330000005</v>
      </c>
      <c r="C178" s="22">
        <v>1</v>
      </c>
      <c r="I178" s="7">
        <v>27380.952379999999</v>
      </c>
      <c r="K178" s="7">
        <v>10000</v>
      </c>
    </row>
    <row r="179" spans="2:11" x14ac:dyDescent="0.3">
      <c r="B179" s="7">
        <v>18181.818179999998</v>
      </c>
      <c r="C179" s="18">
        <v>0</v>
      </c>
      <c r="I179" s="26">
        <v>37777.777779999997</v>
      </c>
      <c r="K179" s="26">
        <v>11627.90698</v>
      </c>
    </row>
    <row r="180" spans="2:11" x14ac:dyDescent="0.3">
      <c r="B180" s="9">
        <v>-12195.121950000001</v>
      </c>
      <c r="C180" s="22">
        <v>1</v>
      </c>
      <c r="I180" s="9">
        <v>40909.090909999999</v>
      </c>
      <c r="K180" s="7">
        <v>45454.545449999998</v>
      </c>
    </row>
    <row r="181" spans="2:11" x14ac:dyDescent="0.3">
      <c r="B181" s="7">
        <v>-11111.11111</v>
      </c>
      <c r="C181" s="18">
        <v>1</v>
      </c>
      <c r="I181" s="7">
        <v>7738.0952379999999</v>
      </c>
      <c r="K181" s="9">
        <v>16129.03226</v>
      </c>
    </row>
    <row r="182" spans="2:11" x14ac:dyDescent="0.3">
      <c r="B182" s="9">
        <v>8333.3333330000005</v>
      </c>
      <c r="C182" s="22">
        <v>1</v>
      </c>
      <c r="I182" s="9">
        <v>6082.7250610000001</v>
      </c>
      <c r="K182" s="7">
        <v>11904.7619</v>
      </c>
    </row>
    <row r="183" spans="2:11" x14ac:dyDescent="0.3">
      <c r="B183" s="7">
        <v>0</v>
      </c>
      <c r="C183" s="18">
        <v>1</v>
      </c>
      <c r="I183" s="7">
        <v>4866.1800489999996</v>
      </c>
      <c r="K183" s="9">
        <v>16129.03226</v>
      </c>
    </row>
    <row r="184" spans="2:11" x14ac:dyDescent="0.3">
      <c r="B184" s="9">
        <v>25000</v>
      </c>
      <c r="C184" s="22">
        <v>1</v>
      </c>
      <c r="I184" s="9">
        <v>25487.5</v>
      </c>
      <c r="K184" s="7">
        <v>6666.6666670000004</v>
      </c>
    </row>
    <row r="185" spans="2:11" x14ac:dyDescent="0.3">
      <c r="B185" s="7">
        <v>0</v>
      </c>
      <c r="C185" s="18">
        <v>1</v>
      </c>
      <c r="I185" s="7">
        <v>24867.724869999998</v>
      </c>
      <c r="K185" s="9">
        <v>10000</v>
      </c>
    </row>
    <row r="186" spans="2:11" x14ac:dyDescent="0.3">
      <c r="B186" s="9">
        <v>-6250</v>
      </c>
      <c r="C186" s="22">
        <v>1</v>
      </c>
      <c r="I186" s="9">
        <v>20000</v>
      </c>
      <c r="K186" s="7">
        <v>39682.539680000002</v>
      </c>
    </row>
    <row r="187" spans="2:11" x14ac:dyDescent="0.3">
      <c r="B187" s="7">
        <v>14285.71429</v>
      </c>
      <c r="C187" s="18">
        <v>1</v>
      </c>
      <c r="I187" s="7">
        <v>20338.983049999999</v>
      </c>
      <c r="K187" s="9">
        <v>15151.515149999999</v>
      </c>
    </row>
    <row r="188" spans="2:11" x14ac:dyDescent="0.3">
      <c r="B188" s="9">
        <v>-10000</v>
      </c>
      <c r="C188" s="22">
        <v>0</v>
      </c>
      <c r="I188" s="26">
        <v>133333.3333</v>
      </c>
      <c r="K188" s="25">
        <v>50000</v>
      </c>
    </row>
    <row r="189" spans="2:11" x14ac:dyDescent="0.3">
      <c r="B189" s="7">
        <v>100000</v>
      </c>
      <c r="C189" s="18">
        <v>1</v>
      </c>
      <c r="I189" s="7">
        <v>34000</v>
      </c>
      <c r="K189" s="9">
        <v>6250</v>
      </c>
    </row>
    <row r="190" spans="2:11" x14ac:dyDescent="0.3">
      <c r="B190" s="9">
        <v>80645.161290000004</v>
      </c>
      <c r="C190" s="22">
        <v>1</v>
      </c>
      <c r="I190" s="9">
        <v>43478.260869999998</v>
      </c>
      <c r="K190" s="7">
        <v>16666.666669999999</v>
      </c>
    </row>
    <row r="191" spans="2:11" x14ac:dyDescent="0.3">
      <c r="B191" s="7">
        <v>64516.129029999996</v>
      </c>
      <c r="C191" s="18">
        <v>1</v>
      </c>
      <c r="I191" s="7">
        <v>8333.3333330000005</v>
      </c>
      <c r="K191" s="7">
        <v>9416.1958570000006</v>
      </c>
    </row>
    <row r="192" spans="2:11" x14ac:dyDescent="0.3">
      <c r="B192" s="9">
        <v>60000</v>
      </c>
      <c r="C192" s="22">
        <v>1</v>
      </c>
      <c r="I192" s="9">
        <v>78695.652170000001</v>
      </c>
      <c r="K192" s="9">
        <v>12500</v>
      </c>
    </row>
    <row r="193" spans="2:11" x14ac:dyDescent="0.3">
      <c r="B193" s="7">
        <v>25000</v>
      </c>
      <c r="C193" s="18">
        <v>0</v>
      </c>
      <c r="I193" s="25">
        <v>139705.8824</v>
      </c>
      <c r="K193" s="25">
        <v>8333.3333330000005</v>
      </c>
    </row>
    <row r="194" spans="2:11" x14ac:dyDescent="0.3">
      <c r="B194" s="9">
        <v>0</v>
      </c>
      <c r="C194" s="22">
        <v>1</v>
      </c>
      <c r="I194" s="9">
        <v>41666.666669999999</v>
      </c>
      <c r="K194" s="7">
        <v>6000</v>
      </c>
    </row>
    <row r="195" spans="2:11" x14ac:dyDescent="0.3">
      <c r="B195" s="7">
        <v>-8333.3333330000005</v>
      </c>
      <c r="C195" s="18">
        <v>1</v>
      </c>
      <c r="I195" s="7">
        <v>24545.454549999999</v>
      </c>
      <c r="K195" s="9">
        <v>9803.9215690000001</v>
      </c>
    </row>
    <row r="196" spans="2:11" x14ac:dyDescent="0.3">
      <c r="B196" s="9">
        <v>50000</v>
      </c>
      <c r="C196" s="22">
        <v>1</v>
      </c>
      <c r="I196" s="9">
        <v>33854.166669999999</v>
      </c>
      <c r="K196" s="7">
        <v>6451.6129030000002</v>
      </c>
    </row>
    <row r="197" spans="2:11" x14ac:dyDescent="0.3">
      <c r="B197" s="7">
        <v>0</v>
      </c>
      <c r="C197" s="18">
        <v>1</v>
      </c>
      <c r="I197" s="7">
        <v>44166.666669999999</v>
      </c>
      <c r="K197" s="7">
        <v>4178.2729810000001</v>
      </c>
    </row>
    <row r="198" spans="2:11" x14ac:dyDescent="0.3">
      <c r="B198" s="9">
        <v>0</v>
      </c>
      <c r="C198" s="22">
        <v>1</v>
      </c>
      <c r="I198" s="9">
        <v>50000</v>
      </c>
      <c r="K198" s="9">
        <v>41666.666669999999</v>
      </c>
    </row>
    <row r="199" spans="2:11" x14ac:dyDescent="0.3">
      <c r="B199" s="7">
        <v>25000</v>
      </c>
      <c r="C199" s="18">
        <v>1</v>
      </c>
      <c r="I199" s="9">
        <v>67500</v>
      </c>
      <c r="K199" s="7">
        <v>33333.333330000001</v>
      </c>
    </row>
    <row r="200" spans="2:11" x14ac:dyDescent="0.3">
      <c r="B200" s="9">
        <v>2500</v>
      </c>
      <c r="C200" s="22">
        <v>1</v>
      </c>
      <c r="I200" s="7">
        <v>12000</v>
      </c>
      <c r="K200" s="9">
        <v>22727.272730000001</v>
      </c>
    </row>
    <row r="201" spans="2:11" x14ac:dyDescent="0.3">
      <c r="B201" s="7">
        <v>25000</v>
      </c>
      <c r="C201" s="18">
        <v>1</v>
      </c>
      <c r="I201" s="9">
        <v>117000</v>
      </c>
      <c r="K201" s="7">
        <v>-11904.7619</v>
      </c>
    </row>
    <row r="202" spans="2:11" x14ac:dyDescent="0.3">
      <c r="B202" s="9">
        <v>50000</v>
      </c>
      <c r="C202" s="22">
        <v>0</v>
      </c>
      <c r="I202" s="25">
        <v>24174.047620000001</v>
      </c>
      <c r="K202" s="26">
        <v>41666.666669999999</v>
      </c>
    </row>
    <row r="203" spans="2:11" x14ac:dyDescent="0.3">
      <c r="B203" s="7">
        <v>13986.013989999999</v>
      </c>
      <c r="C203" s="18">
        <v>1</v>
      </c>
      <c r="I203" s="9">
        <v>73130.841119999997</v>
      </c>
      <c r="K203" s="7">
        <v>10869.56522</v>
      </c>
    </row>
    <row r="204" spans="2:11" x14ac:dyDescent="0.3">
      <c r="B204" s="9">
        <v>-12500</v>
      </c>
      <c r="C204" s="22">
        <v>1</v>
      </c>
      <c r="I204" s="7">
        <v>95000</v>
      </c>
      <c r="K204" s="7">
        <v>22727.272730000001</v>
      </c>
    </row>
    <row r="205" spans="2:11" x14ac:dyDescent="0.3">
      <c r="B205" s="7">
        <v>-12500</v>
      </c>
      <c r="C205" s="18">
        <v>1</v>
      </c>
      <c r="I205" s="9">
        <v>20000</v>
      </c>
      <c r="K205" s="7">
        <v>50000</v>
      </c>
    </row>
    <row r="206" spans="2:11" x14ac:dyDescent="0.3">
      <c r="B206" s="9">
        <v>12500</v>
      </c>
      <c r="C206" s="22">
        <v>1</v>
      </c>
      <c r="I206" s="7">
        <v>11090.909089999999</v>
      </c>
      <c r="K206" s="7">
        <v>6993.006993</v>
      </c>
    </row>
    <row r="207" spans="2:11" x14ac:dyDescent="0.3">
      <c r="B207" s="7">
        <v>10000</v>
      </c>
      <c r="C207" s="18">
        <v>1</v>
      </c>
      <c r="I207" s="9">
        <v>63833.333330000001</v>
      </c>
      <c r="K207" s="9">
        <v>4878.0487800000001</v>
      </c>
    </row>
    <row r="208" spans="2:11" x14ac:dyDescent="0.3">
      <c r="B208" s="9">
        <v>50000</v>
      </c>
      <c r="C208" s="22">
        <v>0</v>
      </c>
      <c r="I208" s="25">
        <v>63058.823530000001</v>
      </c>
      <c r="K208" s="25">
        <v>16666.666669999999</v>
      </c>
    </row>
    <row r="209" spans="2:11" x14ac:dyDescent="0.3">
      <c r="B209" s="7">
        <v>14285.71429</v>
      </c>
      <c r="C209" s="18">
        <v>0</v>
      </c>
      <c r="I209" s="26">
        <v>16400</v>
      </c>
      <c r="K209" s="26">
        <v>5952.3809520000004</v>
      </c>
    </row>
    <row r="210" spans="2:11" x14ac:dyDescent="0.3">
      <c r="B210" s="9">
        <v>20000</v>
      </c>
      <c r="C210" s="22">
        <v>0</v>
      </c>
      <c r="I210" s="25">
        <v>-49666.666669999999</v>
      </c>
      <c r="K210" s="25">
        <v>4166.6666670000004</v>
      </c>
    </row>
    <row r="211" spans="2:11" x14ac:dyDescent="0.3">
      <c r="B211" s="7">
        <v>36250</v>
      </c>
      <c r="C211" s="18">
        <v>0</v>
      </c>
      <c r="I211" s="26">
        <v>50909.090909999999</v>
      </c>
      <c r="K211" s="26">
        <v>5970.1492539999999</v>
      </c>
    </row>
    <row r="212" spans="2:11" x14ac:dyDescent="0.3">
      <c r="B212" s="9">
        <v>6000</v>
      </c>
      <c r="C212" s="22">
        <v>1</v>
      </c>
      <c r="I212" s="7">
        <v>69230.769230000005</v>
      </c>
      <c r="K212" s="7">
        <v>40000</v>
      </c>
    </row>
    <row r="213" spans="2:11" x14ac:dyDescent="0.3">
      <c r="B213" s="7">
        <v>2777.7777780000001</v>
      </c>
      <c r="C213" s="18">
        <v>0</v>
      </c>
      <c r="I213" s="26">
        <v>85600</v>
      </c>
      <c r="K213" s="26">
        <v>25000</v>
      </c>
    </row>
    <row r="214" spans="2:11" x14ac:dyDescent="0.3">
      <c r="B214" s="9">
        <v>100000</v>
      </c>
      <c r="C214" s="22">
        <v>0</v>
      </c>
      <c r="I214" s="25">
        <v>100000</v>
      </c>
      <c r="K214" s="25">
        <v>84745.762709999995</v>
      </c>
    </row>
    <row r="215" spans="2:11" x14ac:dyDescent="0.3">
      <c r="B215" s="7">
        <v>8333.3333330000005</v>
      </c>
      <c r="C215" s="18">
        <v>1</v>
      </c>
      <c r="I215" s="9">
        <v>20000</v>
      </c>
      <c r="K215" s="9">
        <v>4000</v>
      </c>
    </row>
    <row r="216" spans="2:11" x14ac:dyDescent="0.3">
      <c r="B216" s="9">
        <v>-10365.853660000001</v>
      </c>
      <c r="C216" s="22">
        <v>1</v>
      </c>
      <c r="I216" s="7">
        <v>48449.541279999998</v>
      </c>
      <c r="K216" s="7">
        <v>-15000</v>
      </c>
    </row>
    <row r="217" spans="2:11" x14ac:dyDescent="0.3">
      <c r="B217" s="7">
        <v>-6172.8395060000003</v>
      </c>
      <c r="C217" s="18">
        <v>1</v>
      </c>
      <c r="I217" s="9">
        <v>84158.415840000001</v>
      </c>
      <c r="K217" s="9">
        <v>9090.9090909999995</v>
      </c>
    </row>
    <row r="218" spans="2:11" x14ac:dyDescent="0.3">
      <c r="B218" s="9">
        <v>4166.6666670000004</v>
      </c>
      <c r="C218" s="22">
        <v>1</v>
      </c>
      <c r="I218" s="7">
        <v>81102.362200000003</v>
      </c>
      <c r="K218" s="7">
        <v>4761.9047620000001</v>
      </c>
    </row>
    <row r="219" spans="2:11" x14ac:dyDescent="0.3">
      <c r="B219" s="7">
        <v>-15625</v>
      </c>
      <c r="C219" s="18">
        <v>0</v>
      </c>
      <c r="I219" s="26">
        <v>115384.6154</v>
      </c>
      <c r="K219" s="26">
        <v>20000</v>
      </c>
    </row>
    <row r="220" spans="2:11" x14ac:dyDescent="0.3">
      <c r="B220" s="9">
        <v>-19450.800920000001</v>
      </c>
      <c r="C220" s="22">
        <v>0</v>
      </c>
      <c r="I220" s="25">
        <v>55000</v>
      </c>
      <c r="K220" s="25">
        <v>50000</v>
      </c>
    </row>
    <row r="221" spans="2:11" x14ac:dyDescent="0.3">
      <c r="B221" s="7">
        <v>-17000</v>
      </c>
      <c r="C221" s="18">
        <v>0</v>
      </c>
      <c r="I221" s="26">
        <v>41500</v>
      </c>
      <c r="K221" s="26">
        <v>12500</v>
      </c>
    </row>
    <row r="222" spans="2:11" x14ac:dyDescent="0.3">
      <c r="B222" s="9">
        <v>16666.666669999999</v>
      </c>
      <c r="C222" s="22">
        <v>1</v>
      </c>
      <c r="I222" s="7">
        <v>40000</v>
      </c>
      <c r="K222" s="7">
        <v>4375</v>
      </c>
    </row>
    <row r="223" spans="2:11" x14ac:dyDescent="0.3">
      <c r="B223" s="7">
        <v>22500</v>
      </c>
      <c r="C223" s="18">
        <v>1</v>
      </c>
      <c r="I223" s="9">
        <v>150000</v>
      </c>
      <c r="K223" s="9">
        <v>20000</v>
      </c>
    </row>
    <row r="224" spans="2:11" x14ac:dyDescent="0.3">
      <c r="B224" s="9">
        <v>31428.57143</v>
      </c>
      <c r="C224" s="22">
        <v>1</v>
      </c>
      <c r="I224" s="7">
        <v>145000</v>
      </c>
      <c r="K224" s="7">
        <v>-13636.36364</v>
      </c>
    </row>
    <row r="225" spans="2:11" x14ac:dyDescent="0.3">
      <c r="B225" s="7">
        <v>20000</v>
      </c>
      <c r="C225" s="18">
        <v>1</v>
      </c>
      <c r="I225" s="9">
        <v>75000</v>
      </c>
      <c r="K225" s="9">
        <v>15625</v>
      </c>
    </row>
    <row r="226" spans="2:11" x14ac:dyDescent="0.3">
      <c r="B226" s="9">
        <v>100000</v>
      </c>
      <c r="C226" s="22">
        <v>1</v>
      </c>
      <c r="I226" s="7">
        <v>75000</v>
      </c>
      <c r="K226" s="7">
        <v>33333.333330000001</v>
      </c>
    </row>
    <row r="227" spans="2:11" x14ac:dyDescent="0.3">
      <c r="B227" s="7">
        <v>64516.129029999996</v>
      </c>
      <c r="C227" s="18">
        <v>0</v>
      </c>
      <c r="I227" s="26">
        <v>119047.61900000001</v>
      </c>
      <c r="K227" s="26">
        <v>33333.333330000001</v>
      </c>
    </row>
    <row r="228" spans="2:11" x14ac:dyDescent="0.3">
      <c r="B228" s="9">
        <v>51666.666669999999</v>
      </c>
      <c r="C228" s="22">
        <v>0</v>
      </c>
      <c r="I228" s="25">
        <v>59090.909090000001</v>
      </c>
      <c r="K228" s="25">
        <v>6666.6666670000004</v>
      </c>
    </row>
    <row r="229" spans="2:11" x14ac:dyDescent="0.3">
      <c r="B229" s="7">
        <v>14000</v>
      </c>
      <c r="C229" s="18">
        <v>1</v>
      </c>
      <c r="I229" s="9">
        <v>86666.666670000006</v>
      </c>
      <c r="K229" s="9">
        <v>50000</v>
      </c>
    </row>
    <row r="230" spans="2:11" x14ac:dyDescent="0.3">
      <c r="B230" s="9">
        <v>10000</v>
      </c>
      <c r="C230" s="22">
        <v>1</v>
      </c>
      <c r="I230" s="7">
        <v>100000</v>
      </c>
      <c r="K230" s="9">
        <v>31250</v>
      </c>
    </row>
    <row r="231" spans="2:11" x14ac:dyDescent="0.3">
      <c r="B231" s="7">
        <v>10000</v>
      </c>
      <c r="C231" s="18">
        <v>1</v>
      </c>
      <c r="I231" s="7">
        <v>98800</v>
      </c>
      <c r="K231" s="7">
        <v>25000</v>
      </c>
    </row>
    <row r="232" spans="2:11" x14ac:dyDescent="0.3">
      <c r="B232" s="9">
        <v>16666.666669999999</v>
      </c>
      <c r="C232" s="22">
        <v>1</v>
      </c>
      <c r="I232" s="9">
        <v>79454.545450000005</v>
      </c>
      <c r="K232" s="9">
        <v>6097.5609759999998</v>
      </c>
    </row>
    <row r="233" spans="2:11" x14ac:dyDescent="0.3">
      <c r="B233" s="7">
        <v>73333.333329999994</v>
      </c>
      <c r="C233" s="18">
        <v>1</v>
      </c>
      <c r="I233" s="9">
        <v>99200</v>
      </c>
      <c r="K233" s="7">
        <v>47619.047619999998</v>
      </c>
    </row>
    <row r="234" spans="2:11" x14ac:dyDescent="0.3">
      <c r="B234" s="9">
        <v>107500</v>
      </c>
      <c r="C234" s="22">
        <v>1</v>
      </c>
      <c r="I234" s="7">
        <v>23529.411759999999</v>
      </c>
      <c r="K234" s="9">
        <v>2400</v>
      </c>
    </row>
    <row r="235" spans="2:11" x14ac:dyDescent="0.3">
      <c r="B235" s="7">
        <v>20000</v>
      </c>
      <c r="C235" s="18">
        <v>0</v>
      </c>
      <c r="I235" s="25">
        <v>10000</v>
      </c>
      <c r="K235" s="26">
        <v>3780.7183359999999</v>
      </c>
    </row>
    <row r="236" spans="2:11" x14ac:dyDescent="0.3">
      <c r="B236" s="9">
        <v>60000</v>
      </c>
      <c r="C236" s="22">
        <v>1</v>
      </c>
      <c r="I236" s="9">
        <v>4347.8260870000004</v>
      </c>
      <c r="K236" s="7">
        <v>6666.6666670000004</v>
      </c>
    </row>
    <row r="237" spans="2:11" x14ac:dyDescent="0.3">
      <c r="B237" s="7">
        <v>80000</v>
      </c>
      <c r="C237" s="18">
        <v>1</v>
      </c>
      <c r="I237" s="7">
        <v>68181.818180000002</v>
      </c>
      <c r="K237" s="9">
        <v>90909.090909999999</v>
      </c>
    </row>
    <row r="238" spans="2:11" x14ac:dyDescent="0.3">
      <c r="B238" s="9">
        <v>60000</v>
      </c>
      <c r="C238" s="22">
        <v>1</v>
      </c>
      <c r="I238" s="9">
        <v>19047.619050000001</v>
      </c>
      <c r="K238" s="7">
        <v>86956.521739999996</v>
      </c>
    </row>
    <row r="239" spans="2:11" x14ac:dyDescent="0.3">
      <c r="B239" s="7">
        <v>120000</v>
      </c>
      <c r="C239" s="18">
        <v>1</v>
      </c>
      <c r="I239" s="7">
        <v>23255.81395</v>
      </c>
      <c r="K239" s="9">
        <v>3000</v>
      </c>
    </row>
    <row r="240" spans="2:11" x14ac:dyDescent="0.3">
      <c r="B240" s="9">
        <v>73333.333329999994</v>
      </c>
      <c r="C240" s="22">
        <v>1</v>
      </c>
      <c r="I240" s="9">
        <v>20930.23256</v>
      </c>
      <c r="K240" s="9">
        <v>9090.9090909999995</v>
      </c>
    </row>
    <row r="241" spans="2:11" x14ac:dyDescent="0.3">
      <c r="B241" s="7">
        <v>48500</v>
      </c>
      <c r="C241" s="18">
        <v>1</v>
      </c>
      <c r="I241" s="7">
        <v>30303.030299999999</v>
      </c>
      <c r="K241" s="7">
        <v>2500</v>
      </c>
    </row>
    <row r="242" spans="2:11" x14ac:dyDescent="0.3">
      <c r="B242" s="9">
        <v>17500</v>
      </c>
      <c r="C242" s="22">
        <v>1</v>
      </c>
      <c r="I242" s="9">
        <v>42173.913039999999</v>
      </c>
      <c r="K242" s="9">
        <v>83333.333329999994</v>
      </c>
    </row>
    <row r="243" spans="2:11" x14ac:dyDescent="0.3">
      <c r="B243" s="7">
        <v>83333.333329999994</v>
      </c>
      <c r="C243" s="18">
        <v>1</v>
      </c>
      <c r="I243" s="7">
        <v>24193.54839</v>
      </c>
      <c r="K243" s="7">
        <v>71428.571429999996</v>
      </c>
    </row>
    <row r="244" spans="2:11" x14ac:dyDescent="0.3">
      <c r="B244" s="9">
        <v>31666.666669999999</v>
      </c>
      <c r="C244" s="22">
        <v>1</v>
      </c>
      <c r="I244" s="9">
        <v>13952.380950000001</v>
      </c>
      <c r="K244" s="9">
        <v>83333.333329999994</v>
      </c>
    </row>
    <row r="245" spans="2:11" x14ac:dyDescent="0.3">
      <c r="B245" s="7">
        <v>41666.666669999999</v>
      </c>
      <c r="C245" s="18">
        <v>1</v>
      </c>
      <c r="I245" s="7">
        <v>5714.2857139999996</v>
      </c>
      <c r="K245" s="7">
        <v>33333.333330000001</v>
      </c>
    </row>
    <row r="246" spans="2:11" x14ac:dyDescent="0.3">
      <c r="B246" s="9">
        <v>75000</v>
      </c>
      <c r="C246" s="22">
        <v>1</v>
      </c>
      <c r="I246" s="7">
        <v>61674.008809999999</v>
      </c>
      <c r="K246" s="9">
        <v>30000</v>
      </c>
    </row>
    <row r="247" spans="2:11" x14ac:dyDescent="0.3">
      <c r="B247" s="7">
        <v>14000</v>
      </c>
      <c r="C247" s="18">
        <v>1</v>
      </c>
      <c r="I247" s="9">
        <v>147058.8235</v>
      </c>
      <c r="K247" s="7">
        <v>27272.727269999999</v>
      </c>
    </row>
    <row r="248" spans="2:11" x14ac:dyDescent="0.3">
      <c r="B248" s="9">
        <v>10000</v>
      </c>
      <c r="C248" s="22">
        <v>1</v>
      </c>
      <c r="I248" s="7">
        <v>62500</v>
      </c>
      <c r="K248" s="9">
        <v>37500</v>
      </c>
    </row>
    <row r="249" spans="2:11" x14ac:dyDescent="0.3">
      <c r="B249" s="7">
        <v>18750</v>
      </c>
      <c r="C249" s="18">
        <v>0</v>
      </c>
      <c r="I249" s="26">
        <v>45454.545449999998</v>
      </c>
      <c r="K249" s="25">
        <v>42553.191489999997</v>
      </c>
    </row>
    <row r="250" spans="2:11" x14ac:dyDescent="0.3">
      <c r="B250" s="9">
        <v>5000</v>
      </c>
      <c r="C250" s="22">
        <v>1</v>
      </c>
      <c r="I250" s="7">
        <v>45454.545449999998</v>
      </c>
      <c r="K250" s="7">
        <v>47505.938240000003</v>
      </c>
    </row>
    <row r="251" spans="2:11" x14ac:dyDescent="0.3">
      <c r="B251" s="7">
        <v>25000</v>
      </c>
      <c r="C251" s="18">
        <v>1</v>
      </c>
      <c r="I251" s="7">
        <v>35652.173909999998</v>
      </c>
      <c r="K251" s="9">
        <v>28571.42857</v>
      </c>
    </row>
    <row r="252" spans="2:11" x14ac:dyDescent="0.3">
      <c r="B252" s="9">
        <v>-5833.3333329999996</v>
      </c>
      <c r="C252" s="22">
        <v>1</v>
      </c>
      <c r="I252" s="9">
        <v>79166.666670000006</v>
      </c>
      <c r="K252" s="9">
        <v>50000</v>
      </c>
    </row>
    <row r="253" spans="2:11" x14ac:dyDescent="0.3">
      <c r="B253" s="7">
        <v>133333.3333</v>
      </c>
      <c r="C253" s="18">
        <v>0</v>
      </c>
      <c r="I253" s="25">
        <v>54266.666669999999</v>
      </c>
      <c r="K253" s="26">
        <v>68181.818180000002</v>
      </c>
    </row>
    <row r="254" spans="2:11" x14ac:dyDescent="0.3">
      <c r="B254" s="9">
        <v>-25000</v>
      </c>
      <c r="C254" s="22">
        <v>1</v>
      </c>
      <c r="I254" s="9">
        <v>5000</v>
      </c>
      <c r="K254" s="7">
        <v>13333.333329999999</v>
      </c>
    </row>
    <row r="255" spans="2:11" x14ac:dyDescent="0.3">
      <c r="B255" s="7">
        <v>25000</v>
      </c>
      <c r="C255" s="18">
        <v>1</v>
      </c>
      <c r="I255" s="7">
        <v>38461.538460000003</v>
      </c>
      <c r="K255" s="9">
        <v>8333.3333330000005</v>
      </c>
    </row>
    <row r="256" spans="2:11" x14ac:dyDescent="0.3">
      <c r="B256" s="9">
        <v>26666.666669999999</v>
      </c>
      <c r="C256" s="22">
        <v>0</v>
      </c>
      <c r="I256" s="26">
        <v>50000</v>
      </c>
      <c r="K256" s="26">
        <v>10000</v>
      </c>
    </row>
    <row r="257" spans="2:11" x14ac:dyDescent="0.3">
      <c r="B257" s="7">
        <v>33333.333330000001</v>
      </c>
      <c r="C257" s="18">
        <v>0</v>
      </c>
      <c r="I257" s="26">
        <v>1250</v>
      </c>
      <c r="K257" s="25">
        <v>60000</v>
      </c>
    </row>
    <row r="258" spans="2:11" x14ac:dyDescent="0.3">
      <c r="B258" s="9">
        <v>15066.666670000001</v>
      </c>
      <c r="C258" s="22">
        <v>1</v>
      </c>
      <c r="I258" s="7">
        <v>21428.57143</v>
      </c>
      <c r="K258" s="9">
        <v>41666.666669999999</v>
      </c>
    </row>
    <row r="259" spans="2:11" x14ac:dyDescent="0.3">
      <c r="B259" s="7">
        <v>66666.666670000006</v>
      </c>
      <c r="C259" s="18">
        <v>0</v>
      </c>
      <c r="I259" s="26">
        <v>14285.71429</v>
      </c>
      <c r="K259" s="25">
        <v>40000</v>
      </c>
    </row>
    <row r="260" spans="2:11" x14ac:dyDescent="0.3">
      <c r="B260" s="9">
        <v>50000</v>
      </c>
      <c r="C260" s="22">
        <v>1</v>
      </c>
      <c r="I260" s="7">
        <v>3809.5238100000001</v>
      </c>
      <c r="K260" s="9">
        <v>9615.3846150000008</v>
      </c>
    </row>
    <row r="261" spans="2:11" x14ac:dyDescent="0.3">
      <c r="B261" s="7">
        <v>20000</v>
      </c>
      <c r="C261" s="18">
        <v>0</v>
      </c>
      <c r="I261" s="25">
        <v>40322.580650000004</v>
      </c>
      <c r="K261" s="25">
        <v>13888.88889</v>
      </c>
    </row>
    <row r="262" spans="2:11" x14ac:dyDescent="0.3">
      <c r="B262" s="9">
        <v>95238.095239999995</v>
      </c>
      <c r="C262" s="22">
        <v>1</v>
      </c>
      <c r="I262" s="9">
        <v>55299.539169999996</v>
      </c>
      <c r="K262" s="9">
        <v>50000</v>
      </c>
    </row>
    <row r="263" spans="2:11" x14ac:dyDescent="0.3">
      <c r="B263" s="7">
        <v>96774.193549999996</v>
      </c>
      <c r="C263" s="18">
        <v>1</v>
      </c>
      <c r="I263" s="7">
        <v>37500</v>
      </c>
      <c r="K263" s="7">
        <v>10000</v>
      </c>
    </row>
    <row r="264" spans="2:11" x14ac:dyDescent="0.3">
      <c r="B264" s="9">
        <v>21538.46154</v>
      </c>
      <c r="C264" s="22">
        <v>1</v>
      </c>
      <c r="I264" s="9">
        <v>30000</v>
      </c>
      <c r="K264" s="9">
        <v>15625</v>
      </c>
    </row>
    <row r="265" spans="2:11" x14ac:dyDescent="0.3">
      <c r="B265" s="7">
        <v>31250</v>
      </c>
      <c r="C265" s="18">
        <v>0</v>
      </c>
      <c r="I265" s="26">
        <v>150000</v>
      </c>
      <c r="K265" s="25">
        <v>7936.5079370000003</v>
      </c>
    </row>
    <row r="266" spans="2:11" x14ac:dyDescent="0.3">
      <c r="B266" s="9">
        <v>30000</v>
      </c>
      <c r="C266" s="22">
        <v>0</v>
      </c>
      <c r="I266" s="25">
        <v>5555.5555560000003</v>
      </c>
      <c r="K266" s="26">
        <v>31250</v>
      </c>
    </row>
    <row r="267" spans="2:11" x14ac:dyDescent="0.3">
      <c r="B267" s="7">
        <v>142857.14290000001</v>
      </c>
      <c r="C267" s="18">
        <v>0</v>
      </c>
      <c r="I267" s="25">
        <v>50000</v>
      </c>
      <c r="K267" s="25">
        <v>50000</v>
      </c>
    </row>
    <row r="268" spans="2:11" x14ac:dyDescent="0.3">
      <c r="B268" s="9">
        <v>86363.636360000004</v>
      </c>
      <c r="C268" s="22">
        <v>1</v>
      </c>
      <c r="I268" s="9">
        <v>100000</v>
      </c>
      <c r="K268" s="9">
        <v>114833.3333</v>
      </c>
    </row>
    <row r="269" spans="2:11" x14ac:dyDescent="0.3">
      <c r="B269" s="7">
        <v>76923.076920000007</v>
      </c>
      <c r="C269" s="18">
        <v>1</v>
      </c>
      <c r="I269" s="7">
        <v>136363.63639999999</v>
      </c>
      <c r="K269" s="7">
        <v>4000</v>
      </c>
    </row>
    <row r="270" spans="2:11" x14ac:dyDescent="0.3">
      <c r="B270" s="9">
        <v>150000</v>
      </c>
      <c r="C270" s="22">
        <v>1</v>
      </c>
      <c r="I270" s="9">
        <v>66666.666670000006</v>
      </c>
      <c r="K270" s="9">
        <v>150000</v>
      </c>
    </row>
    <row r="271" spans="2:11" x14ac:dyDescent="0.3">
      <c r="B271" s="7">
        <v>45454.545449999998</v>
      </c>
      <c r="C271" s="18">
        <v>0</v>
      </c>
      <c r="I271" s="25">
        <v>90909.090909999999</v>
      </c>
      <c r="K271" s="25">
        <v>78125</v>
      </c>
    </row>
    <row r="272" spans="2:11" x14ac:dyDescent="0.3">
      <c r="B272" s="9">
        <v>47761.194029999999</v>
      </c>
      <c r="C272" s="22">
        <v>1</v>
      </c>
      <c r="I272" s="9">
        <v>75000</v>
      </c>
      <c r="K272" s="9">
        <v>-16666.666669999999</v>
      </c>
    </row>
    <row r="273" spans="2:11" x14ac:dyDescent="0.3">
      <c r="B273" s="7">
        <v>21818.181820000002</v>
      </c>
      <c r="C273" s="18">
        <v>1</v>
      </c>
      <c r="I273" s="7">
        <v>150000</v>
      </c>
      <c r="K273" s="7">
        <v>5791.5057919999999</v>
      </c>
    </row>
    <row r="274" spans="2:11" x14ac:dyDescent="0.3">
      <c r="B274" s="9">
        <v>7073.954984</v>
      </c>
      <c r="C274" s="22">
        <v>1</v>
      </c>
      <c r="I274" s="9">
        <v>45454.545449999998</v>
      </c>
      <c r="K274" s="9">
        <v>66666.666670000006</v>
      </c>
    </row>
    <row r="275" spans="2:11" x14ac:dyDescent="0.3">
      <c r="B275" s="7">
        <v>28750</v>
      </c>
      <c r="C275" s="18">
        <v>1</v>
      </c>
      <c r="I275" s="7">
        <v>0</v>
      </c>
      <c r="K275" s="7">
        <v>7923.9302690000004</v>
      </c>
    </row>
    <row r="276" spans="2:11" x14ac:dyDescent="0.3">
      <c r="B276" s="9">
        <v>13500</v>
      </c>
      <c r="C276" s="22">
        <v>1</v>
      </c>
      <c r="I276" s="9">
        <v>22222.22222</v>
      </c>
      <c r="K276" s="7">
        <v>13333.333329999999</v>
      </c>
    </row>
    <row r="277" spans="2:11" x14ac:dyDescent="0.3">
      <c r="B277" s="7">
        <v>19565.217390000002</v>
      </c>
      <c r="C277" s="18">
        <v>1</v>
      </c>
      <c r="I277" s="7">
        <v>83333.333329999994</v>
      </c>
      <c r="K277" s="9">
        <v>10000</v>
      </c>
    </row>
    <row r="278" spans="2:11" x14ac:dyDescent="0.3">
      <c r="B278" s="9">
        <v>20887.5</v>
      </c>
      <c r="C278" s="22">
        <v>0</v>
      </c>
      <c r="I278" s="26">
        <v>86956.521739999996</v>
      </c>
      <c r="K278" s="26">
        <v>10000</v>
      </c>
    </row>
    <row r="279" spans="2:11" x14ac:dyDescent="0.3">
      <c r="B279" s="7">
        <v>27380.952379999999</v>
      </c>
      <c r="C279" s="18">
        <v>1</v>
      </c>
      <c r="I279" s="7">
        <v>20000</v>
      </c>
      <c r="K279" s="7">
        <v>10000</v>
      </c>
    </row>
    <row r="280" spans="2:11" x14ac:dyDescent="0.3">
      <c r="B280" s="9">
        <v>37777.777779999997</v>
      </c>
      <c r="C280" s="22">
        <v>1</v>
      </c>
      <c r="I280" s="7">
        <v>31250</v>
      </c>
      <c r="K280" s="9">
        <v>7500</v>
      </c>
    </row>
    <row r="281" spans="2:11" x14ac:dyDescent="0.3">
      <c r="B281" s="7">
        <v>17000</v>
      </c>
      <c r="C281" s="18">
        <v>0</v>
      </c>
      <c r="I281" s="26">
        <v>66666.666670000006</v>
      </c>
      <c r="K281" s="25">
        <v>13333.333329999999</v>
      </c>
    </row>
    <row r="282" spans="2:11" x14ac:dyDescent="0.3">
      <c r="B282" s="9">
        <v>40909.090909999999</v>
      </c>
      <c r="C282" s="22">
        <v>1</v>
      </c>
      <c r="I282" s="7">
        <v>26000</v>
      </c>
      <c r="K282" s="9">
        <v>23437.5</v>
      </c>
    </row>
    <row r="283" spans="2:11" x14ac:dyDescent="0.3">
      <c r="B283" s="7">
        <v>7738.0952379999999</v>
      </c>
      <c r="C283" s="18">
        <v>1</v>
      </c>
      <c r="I283" s="9">
        <v>35000</v>
      </c>
      <c r="K283" s="9">
        <v>7142.8571430000002</v>
      </c>
    </row>
    <row r="284" spans="2:11" x14ac:dyDescent="0.3">
      <c r="B284" s="9">
        <v>6082.7250610000001</v>
      </c>
      <c r="C284" s="22">
        <v>1</v>
      </c>
      <c r="I284" s="7">
        <v>83333.333329999994</v>
      </c>
      <c r="K284" s="7">
        <v>8333.3333330000005</v>
      </c>
    </row>
    <row r="285" spans="2:11" x14ac:dyDescent="0.3">
      <c r="B285" s="7">
        <v>4866.1800489999996</v>
      </c>
      <c r="C285" s="18">
        <v>1</v>
      </c>
      <c r="I285" s="7">
        <v>40000</v>
      </c>
      <c r="K285" s="9">
        <v>8000</v>
      </c>
    </row>
    <row r="286" spans="2:11" x14ac:dyDescent="0.3">
      <c r="B286" s="9">
        <v>25487.5</v>
      </c>
      <c r="C286" s="22">
        <v>1</v>
      </c>
      <c r="I286" s="9">
        <v>90909.090909999999</v>
      </c>
      <c r="K286" s="7">
        <v>6250</v>
      </c>
    </row>
    <row r="287" spans="2:11" x14ac:dyDescent="0.3">
      <c r="B287" s="7">
        <v>24867.724869999998</v>
      </c>
      <c r="C287" s="18">
        <v>1</v>
      </c>
      <c r="I287" s="7">
        <v>-79646.017699999997</v>
      </c>
      <c r="K287" s="9">
        <v>6666.6666670000004</v>
      </c>
    </row>
    <row r="288" spans="2:11" x14ac:dyDescent="0.3">
      <c r="B288" s="9">
        <v>20000</v>
      </c>
      <c r="C288" s="22">
        <v>1</v>
      </c>
      <c r="I288" s="9">
        <v>28571.42857</v>
      </c>
      <c r="K288" s="7">
        <v>6153.8461539999998</v>
      </c>
    </row>
    <row r="289" spans="2:11" x14ac:dyDescent="0.3">
      <c r="B289" s="7">
        <v>20338.983049999999</v>
      </c>
      <c r="C289" s="18">
        <v>1</v>
      </c>
      <c r="I289" s="7">
        <v>150000</v>
      </c>
      <c r="K289" s="9">
        <v>5000</v>
      </c>
    </row>
    <row r="290" spans="2:11" x14ac:dyDescent="0.3">
      <c r="B290" s="9">
        <v>133333.3333</v>
      </c>
      <c r="C290" s="22">
        <v>1</v>
      </c>
      <c r="I290" s="9">
        <v>75000</v>
      </c>
      <c r="K290" s="9">
        <v>12500</v>
      </c>
    </row>
    <row r="291" spans="2:11" x14ac:dyDescent="0.3">
      <c r="B291" s="7">
        <v>34000</v>
      </c>
      <c r="C291" s="18">
        <v>1</v>
      </c>
      <c r="I291" s="7">
        <v>25000</v>
      </c>
      <c r="K291" s="7">
        <v>8333.3333330000005</v>
      </c>
    </row>
    <row r="292" spans="2:11" x14ac:dyDescent="0.3">
      <c r="B292" s="9">
        <v>43478.260869999998</v>
      </c>
      <c r="C292" s="22">
        <v>1</v>
      </c>
      <c r="I292" s="9">
        <v>-57666.666669999999</v>
      </c>
      <c r="K292" s="9">
        <v>16666.666669999999</v>
      </c>
    </row>
    <row r="293" spans="2:11" x14ac:dyDescent="0.3">
      <c r="B293" s="7">
        <v>8333.3333330000005</v>
      </c>
      <c r="C293" s="18">
        <v>1</v>
      </c>
      <c r="I293" s="7">
        <v>-6666.6666670000004</v>
      </c>
      <c r="K293" s="7">
        <v>12500</v>
      </c>
    </row>
    <row r="294" spans="2:11" x14ac:dyDescent="0.3">
      <c r="B294" s="9">
        <v>78695.652170000001</v>
      </c>
      <c r="C294" s="22">
        <v>1</v>
      </c>
      <c r="I294" s="9">
        <v>133333.3333</v>
      </c>
      <c r="K294" s="9">
        <v>7500</v>
      </c>
    </row>
    <row r="295" spans="2:11" x14ac:dyDescent="0.3">
      <c r="B295" s="7">
        <v>139705.8824</v>
      </c>
      <c r="C295" s="18">
        <v>1</v>
      </c>
      <c r="I295" s="7">
        <v>90909.090909999999</v>
      </c>
      <c r="K295" s="7">
        <v>12000</v>
      </c>
    </row>
    <row r="296" spans="2:11" x14ac:dyDescent="0.3">
      <c r="B296" s="9">
        <v>41666.666669999999</v>
      </c>
      <c r="C296" s="22">
        <v>1</v>
      </c>
      <c r="I296" s="9">
        <v>40000</v>
      </c>
      <c r="K296" s="9">
        <v>12578.61635</v>
      </c>
    </row>
    <row r="297" spans="2:11" x14ac:dyDescent="0.3">
      <c r="B297" s="7">
        <v>24545.454549999999</v>
      </c>
      <c r="C297" s="18">
        <v>1</v>
      </c>
      <c r="I297" s="7">
        <v>32051.282050000002</v>
      </c>
      <c r="K297" s="7">
        <v>10000</v>
      </c>
    </row>
    <row r="298" spans="2:11" x14ac:dyDescent="0.3">
      <c r="B298" s="9">
        <v>33854.166669999999</v>
      </c>
      <c r="C298" s="22">
        <v>1</v>
      </c>
      <c r="I298" s="9">
        <v>48000</v>
      </c>
      <c r="K298" s="9">
        <v>25000</v>
      </c>
    </row>
    <row r="299" spans="2:11" x14ac:dyDescent="0.3">
      <c r="B299" s="7">
        <v>44166.666669999999</v>
      </c>
      <c r="C299" s="18">
        <v>1</v>
      </c>
      <c r="I299" s="7">
        <v>14285.71429</v>
      </c>
      <c r="K299" s="7">
        <v>23809.523809999999</v>
      </c>
    </row>
    <row r="300" spans="2:11" x14ac:dyDescent="0.3">
      <c r="B300" s="9">
        <v>50000</v>
      </c>
      <c r="C300" s="22">
        <v>1</v>
      </c>
      <c r="I300" s="9">
        <v>12903.22581</v>
      </c>
      <c r="K300" s="9">
        <v>9677.419355</v>
      </c>
    </row>
    <row r="301" spans="2:11" x14ac:dyDescent="0.3">
      <c r="B301" s="7">
        <v>16540.75547</v>
      </c>
      <c r="C301" s="18">
        <v>0</v>
      </c>
      <c r="I301" s="26">
        <v>25000</v>
      </c>
      <c r="K301" s="25">
        <v>3750</v>
      </c>
    </row>
    <row r="302" spans="2:11" x14ac:dyDescent="0.3">
      <c r="B302" s="9">
        <v>67500</v>
      </c>
      <c r="C302" s="22">
        <v>1</v>
      </c>
      <c r="I302" s="7">
        <v>80000</v>
      </c>
      <c r="K302" s="9">
        <v>16666.666669999999</v>
      </c>
    </row>
    <row r="303" spans="2:11" x14ac:dyDescent="0.3">
      <c r="B303" s="7">
        <v>12000</v>
      </c>
      <c r="C303" s="18">
        <v>1</v>
      </c>
      <c r="I303" s="9">
        <v>16666.666669999999</v>
      </c>
      <c r="K303" s="7">
        <v>16666.666669999999</v>
      </c>
    </row>
    <row r="304" spans="2:11" x14ac:dyDescent="0.3">
      <c r="B304" s="9">
        <v>117000</v>
      </c>
      <c r="C304" s="22">
        <v>1</v>
      </c>
      <c r="I304" s="7">
        <v>41666.666669999999</v>
      </c>
      <c r="K304" s="7">
        <v>16279.06977</v>
      </c>
    </row>
    <row r="305" spans="2:11" x14ac:dyDescent="0.3">
      <c r="B305" s="7">
        <v>24174.047620000001</v>
      </c>
      <c r="C305" s="18">
        <v>1</v>
      </c>
      <c r="I305" s="9">
        <v>11111.11111</v>
      </c>
      <c r="K305" s="9">
        <v>24000</v>
      </c>
    </row>
    <row r="306" spans="2:11" x14ac:dyDescent="0.3">
      <c r="B306" s="9">
        <v>73130.841119999997</v>
      </c>
      <c r="C306" s="22">
        <v>1</v>
      </c>
      <c r="I306" s="7">
        <v>16666.666669999999</v>
      </c>
      <c r="K306" s="7">
        <v>2500</v>
      </c>
    </row>
    <row r="307" spans="2:11" x14ac:dyDescent="0.3">
      <c r="B307" s="7">
        <v>95000</v>
      </c>
      <c r="C307" s="18">
        <v>1</v>
      </c>
      <c r="I307" s="9">
        <v>50000</v>
      </c>
      <c r="K307" s="9">
        <v>5000</v>
      </c>
    </row>
    <row r="308" spans="2:11" x14ac:dyDescent="0.3">
      <c r="B308" s="9">
        <v>20000</v>
      </c>
      <c r="C308" s="22">
        <v>1</v>
      </c>
      <c r="I308" s="7">
        <v>60000</v>
      </c>
      <c r="K308" s="7">
        <v>16666.666669999999</v>
      </c>
    </row>
    <row r="309" spans="2:11" x14ac:dyDescent="0.3">
      <c r="B309" s="7">
        <v>11090.909089999999</v>
      </c>
      <c r="C309" s="18">
        <v>1</v>
      </c>
      <c r="I309" s="9">
        <v>16666.666669999999</v>
      </c>
      <c r="K309" s="9">
        <v>-6666.6666670000004</v>
      </c>
    </row>
    <row r="310" spans="2:11" x14ac:dyDescent="0.3">
      <c r="B310" s="9">
        <v>63833.333330000001</v>
      </c>
      <c r="C310" s="22">
        <v>1</v>
      </c>
      <c r="I310" s="9">
        <v>61538.461539999997</v>
      </c>
      <c r="K310" s="9">
        <v>30000</v>
      </c>
    </row>
    <row r="311" spans="2:11" x14ac:dyDescent="0.3">
      <c r="B311" s="7">
        <v>63058.823530000001</v>
      </c>
      <c r="C311" s="18">
        <v>1</v>
      </c>
      <c r="I311" s="9">
        <v>18000</v>
      </c>
      <c r="K311" s="7">
        <v>31818.181820000002</v>
      </c>
    </row>
    <row r="312" spans="2:11" x14ac:dyDescent="0.3">
      <c r="B312" s="9">
        <v>16400</v>
      </c>
      <c r="C312" s="22">
        <v>1</v>
      </c>
      <c r="I312" s="7">
        <v>16666.666669999999</v>
      </c>
      <c r="K312" s="7">
        <v>92307.692309999999</v>
      </c>
    </row>
    <row r="313" spans="2:11" x14ac:dyDescent="0.3">
      <c r="B313" s="7">
        <v>-49666.666669999999</v>
      </c>
      <c r="C313" s="18">
        <v>1</v>
      </c>
      <c r="I313" s="9">
        <v>50000</v>
      </c>
      <c r="K313" s="9">
        <v>10000</v>
      </c>
    </row>
    <row r="314" spans="2:11" x14ac:dyDescent="0.3">
      <c r="B314" s="9">
        <v>50909.090909999999</v>
      </c>
      <c r="C314" s="22">
        <v>1</v>
      </c>
      <c r="I314" s="7">
        <v>8333.3333330000005</v>
      </c>
      <c r="K314" s="7">
        <v>7500</v>
      </c>
    </row>
    <row r="315" spans="2:11" x14ac:dyDescent="0.3">
      <c r="B315" s="7">
        <v>69230.769230000005</v>
      </c>
      <c r="C315" s="18">
        <v>1</v>
      </c>
      <c r="I315" s="9">
        <v>-41666.666669999999</v>
      </c>
      <c r="K315" s="7">
        <v>50000</v>
      </c>
    </row>
    <row r="316" spans="2:11" x14ac:dyDescent="0.3">
      <c r="B316" s="9">
        <v>85600</v>
      </c>
      <c r="C316" s="22">
        <v>1</v>
      </c>
      <c r="I316" s="7">
        <v>100000</v>
      </c>
      <c r="K316" s="7">
        <v>6000</v>
      </c>
    </row>
    <row r="317" spans="2:11" x14ac:dyDescent="0.3">
      <c r="B317" s="7">
        <v>100000</v>
      </c>
      <c r="C317" s="18">
        <v>1</v>
      </c>
      <c r="I317" s="9">
        <v>-45454.545449999998</v>
      </c>
      <c r="K317" s="9">
        <v>100000</v>
      </c>
    </row>
    <row r="318" spans="2:11" x14ac:dyDescent="0.3">
      <c r="B318" s="9">
        <v>20000</v>
      </c>
      <c r="C318" s="22">
        <v>1</v>
      </c>
      <c r="I318" s="9">
        <v>8333.3333330000005</v>
      </c>
      <c r="K318" s="9">
        <v>5000</v>
      </c>
    </row>
    <row r="319" spans="2:11" x14ac:dyDescent="0.3">
      <c r="B319" s="7">
        <v>48449.541279999998</v>
      </c>
      <c r="C319" s="18">
        <v>1</v>
      </c>
      <c r="I319" s="7">
        <v>0</v>
      </c>
      <c r="K319" s="9">
        <v>10000</v>
      </c>
    </row>
    <row r="320" spans="2:11" x14ac:dyDescent="0.3">
      <c r="B320" s="9">
        <v>84158.415840000001</v>
      </c>
      <c r="C320" s="22">
        <v>1</v>
      </c>
      <c r="I320" s="9">
        <v>75000</v>
      </c>
      <c r="K320" s="7">
        <v>15625</v>
      </c>
    </row>
    <row r="321" spans="2:11" x14ac:dyDescent="0.3">
      <c r="B321" s="7">
        <v>81102.362200000003</v>
      </c>
      <c r="C321" s="18">
        <v>1</v>
      </c>
      <c r="I321" s="7">
        <v>20000</v>
      </c>
      <c r="K321" s="9">
        <v>-20000</v>
      </c>
    </row>
    <row r="322" spans="2:11" x14ac:dyDescent="0.3">
      <c r="B322" s="9">
        <v>115384.6154</v>
      </c>
      <c r="C322" s="22">
        <v>1</v>
      </c>
      <c r="I322" s="9">
        <v>95238.095239999995</v>
      </c>
      <c r="K322" s="7">
        <v>5714.2857139999996</v>
      </c>
    </row>
    <row r="323" spans="2:11" x14ac:dyDescent="0.3">
      <c r="B323" s="7">
        <v>55000</v>
      </c>
      <c r="C323" s="18">
        <v>1</v>
      </c>
      <c r="I323" s="7">
        <v>100000</v>
      </c>
      <c r="K323" s="9">
        <v>-23333.333330000001</v>
      </c>
    </row>
    <row r="324" spans="2:11" x14ac:dyDescent="0.3">
      <c r="B324" s="9">
        <v>41500</v>
      </c>
      <c r="C324" s="22">
        <v>1</v>
      </c>
      <c r="I324" s="9">
        <v>-59333.333330000001</v>
      </c>
      <c r="K324" s="7">
        <v>32154.340840000001</v>
      </c>
    </row>
    <row r="325" spans="2:11" x14ac:dyDescent="0.3">
      <c r="B325" s="7">
        <v>40000</v>
      </c>
      <c r="C325" s="18">
        <v>1</v>
      </c>
      <c r="I325" s="7">
        <v>8333.3333330000005</v>
      </c>
      <c r="K325" s="9">
        <v>2857.1428569999998</v>
      </c>
    </row>
    <row r="326" spans="2:11" x14ac:dyDescent="0.3">
      <c r="B326" s="9">
        <v>150000</v>
      </c>
      <c r="C326" s="22">
        <v>1</v>
      </c>
      <c r="I326" s="9">
        <v>-2500</v>
      </c>
      <c r="K326" s="7">
        <v>5000</v>
      </c>
    </row>
    <row r="327" spans="2:11" x14ac:dyDescent="0.3">
      <c r="B327" s="7">
        <v>145000</v>
      </c>
      <c r="C327" s="18">
        <v>1</v>
      </c>
      <c r="I327" s="7">
        <v>-33333.333330000001</v>
      </c>
      <c r="K327" s="9">
        <v>3333.333333</v>
      </c>
    </row>
    <row r="328" spans="2:11" x14ac:dyDescent="0.3">
      <c r="B328" s="9">
        <v>75000</v>
      </c>
      <c r="C328" s="22">
        <v>1</v>
      </c>
      <c r="I328" s="9">
        <v>100000</v>
      </c>
      <c r="K328" s="9">
        <v>4761.9047620000001</v>
      </c>
    </row>
    <row r="329" spans="2:11" x14ac:dyDescent="0.3">
      <c r="B329" s="7">
        <v>90909.090909999999</v>
      </c>
      <c r="C329" s="18">
        <v>0</v>
      </c>
      <c r="I329" s="25">
        <v>40000</v>
      </c>
      <c r="K329" s="25">
        <v>3750</v>
      </c>
    </row>
    <row r="330" spans="2:11" x14ac:dyDescent="0.3">
      <c r="B330" s="9">
        <v>13043.47826</v>
      </c>
      <c r="C330" s="22">
        <v>0</v>
      </c>
      <c r="I330" s="26">
        <v>20000</v>
      </c>
      <c r="K330" s="26">
        <v>25694.444439999999</v>
      </c>
    </row>
    <row r="331" spans="2:11" x14ac:dyDescent="0.3">
      <c r="B331" s="7">
        <v>75000</v>
      </c>
      <c r="C331" s="18">
        <v>1</v>
      </c>
      <c r="I331" s="9">
        <v>75000</v>
      </c>
      <c r="K331" s="7">
        <v>6666.6666670000004</v>
      </c>
    </row>
    <row r="332" spans="2:11" x14ac:dyDescent="0.3">
      <c r="B332" s="9">
        <v>119047.61900000001</v>
      </c>
      <c r="C332" s="22">
        <v>1</v>
      </c>
      <c r="I332" s="7">
        <v>16666.666669999999</v>
      </c>
      <c r="K332" s="9">
        <v>44052.863440000001</v>
      </c>
    </row>
    <row r="333" spans="2:11" x14ac:dyDescent="0.3">
      <c r="B333" s="7">
        <v>59090.909090000001</v>
      </c>
      <c r="C333" s="18">
        <v>1</v>
      </c>
      <c r="I333" s="9">
        <v>-9615.3846150000008</v>
      </c>
      <c r="K333" s="7">
        <v>1666.666667</v>
      </c>
    </row>
    <row r="334" spans="2:11" x14ac:dyDescent="0.3">
      <c r="B334" s="9">
        <v>86666.666670000006</v>
      </c>
      <c r="C334" s="22">
        <v>1</v>
      </c>
      <c r="I334" s="7">
        <v>12500</v>
      </c>
      <c r="K334" s="9">
        <v>38834.951459999997</v>
      </c>
    </row>
    <row r="335" spans="2:11" x14ac:dyDescent="0.3">
      <c r="B335" s="7">
        <v>100000</v>
      </c>
      <c r="C335" s="18">
        <v>1</v>
      </c>
      <c r="I335" s="9">
        <v>15000</v>
      </c>
      <c r="K335" s="9">
        <v>3787.878788</v>
      </c>
    </row>
    <row r="336" spans="2:11" x14ac:dyDescent="0.3">
      <c r="B336" s="9">
        <v>31250</v>
      </c>
      <c r="C336" s="22">
        <v>0</v>
      </c>
      <c r="I336" s="25">
        <v>71428.571429999996</v>
      </c>
      <c r="K336" s="25">
        <v>100000</v>
      </c>
    </row>
    <row r="337" spans="2:11" x14ac:dyDescent="0.3">
      <c r="B337" s="7">
        <v>98800</v>
      </c>
      <c r="C337" s="18">
        <v>1</v>
      </c>
      <c r="I337" s="9">
        <v>0</v>
      </c>
      <c r="K337" s="9">
        <v>2307.6923080000001</v>
      </c>
    </row>
    <row r="338" spans="2:11" x14ac:dyDescent="0.3">
      <c r="B338" s="9">
        <v>79454.545450000005</v>
      </c>
      <c r="C338" s="22">
        <v>1</v>
      </c>
      <c r="I338" s="7">
        <v>60000</v>
      </c>
      <c r="K338" s="9">
        <v>150000</v>
      </c>
    </row>
    <row r="339" spans="2:11" x14ac:dyDescent="0.3">
      <c r="B339" s="7">
        <v>50000</v>
      </c>
      <c r="C339" s="18">
        <v>0</v>
      </c>
      <c r="I339" s="26">
        <v>108333.3333</v>
      </c>
      <c r="K339" s="25">
        <v>33333.333330000001</v>
      </c>
    </row>
    <row r="340" spans="2:11" x14ac:dyDescent="0.3">
      <c r="B340" s="9">
        <v>16279.06977</v>
      </c>
      <c r="C340" s="22">
        <v>0</v>
      </c>
      <c r="I340" s="25">
        <v>0</v>
      </c>
      <c r="K340" s="26">
        <v>6250</v>
      </c>
    </row>
    <row r="341" spans="2:11" x14ac:dyDescent="0.3">
      <c r="B341" s="7">
        <v>83333.333329999994</v>
      </c>
      <c r="C341" s="18">
        <v>0</v>
      </c>
      <c r="I341" s="26">
        <v>20000</v>
      </c>
      <c r="K341" s="25">
        <v>5000</v>
      </c>
    </row>
    <row r="342" spans="2:11" x14ac:dyDescent="0.3">
      <c r="B342" s="9">
        <v>99200</v>
      </c>
      <c r="C342" s="22">
        <v>1</v>
      </c>
      <c r="I342" s="7">
        <v>50000</v>
      </c>
      <c r="K342" s="7">
        <v>12500</v>
      </c>
    </row>
    <row r="343" spans="2:11" x14ac:dyDescent="0.3">
      <c r="B343" s="7">
        <v>23529.411759999999</v>
      </c>
      <c r="C343" s="18">
        <v>1</v>
      </c>
      <c r="I343" s="9">
        <v>40000</v>
      </c>
      <c r="K343" s="9">
        <v>18571.42857</v>
      </c>
    </row>
    <row r="344" spans="2:11" x14ac:dyDescent="0.3">
      <c r="B344" s="9">
        <v>50000</v>
      </c>
      <c r="C344" s="22">
        <v>0</v>
      </c>
      <c r="I344" s="25">
        <v>83333.333329999994</v>
      </c>
      <c r="K344" s="25">
        <v>6038.6473429999996</v>
      </c>
    </row>
    <row r="345" spans="2:11" x14ac:dyDescent="0.3">
      <c r="B345" s="7">
        <v>10000</v>
      </c>
      <c r="C345" s="18">
        <v>1</v>
      </c>
      <c r="I345" s="9">
        <v>20000</v>
      </c>
      <c r="K345" s="9">
        <v>12500</v>
      </c>
    </row>
    <row r="346" spans="2:11" x14ac:dyDescent="0.3">
      <c r="B346" s="9">
        <v>4347.8260870000004</v>
      </c>
      <c r="C346" s="22">
        <v>1</v>
      </c>
      <c r="I346" s="7">
        <v>3278.688525</v>
      </c>
      <c r="K346" s="7">
        <v>45454.545449999998</v>
      </c>
    </row>
    <row r="347" spans="2:11" x14ac:dyDescent="0.3">
      <c r="B347" s="7">
        <v>50000</v>
      </c>
      <c r="C347" s="18">
        <v>0</v>
      </c>
      <c r="I347" s="26">
        <v>83333.333329999994</v>
      </c>
      <c r="K347" s="26">
        <v>150000</v>
      </c>
    </row>
    <row r="348" spans="2:11" x14ac:dyDescent="0.3">
      <c r="B348" s="9">
        <v>87500</v>
      </c>
      <c r="C348" s="22">
        <v>0</v>
      </c>
      <c r="I348" s="25">
        <v>16666.666669999999</v>
      </c>
      <c r="K348" s="25">
        <v>10000</v>
      </c>
    </row>
    <row r="349" spans="2:11" x14ac:dyDescent="0.3">
      <c r="B349" s="7">
        <v>68181.818180000002</v>
      </c>
      <c r="C349" s="18">
        <v>1</v>
      </c>
      <c r="I349" s="9">
        <v>66666.666670000006</v>
      </c>
      <c r="K349" s="9">
        <v>12500</v>
      </c>
    </row>
    <row r="350" spans="2:11" x14ac:dyDescent="0.3">
      <c r="B350" s="9">
        <v>19047.619050000001</v>
      </c>
      <c r="C350" s="22">
        <v>1</v>
      </c>
      <c r="I350" s="7">
        <v>31250</v>
      </c>
      <c r="K350" s="7">
        <v>150000</v>
      </c>
    </row>
    <row r="351" spans="2:11" x14ac:dyDescent="0.3">
      <c r="B351" s="7">
        <v>104545.45450000001</v>
      </c>
      <c r="C351" s="18">
        <v>0</v>
      </c>
      <c r="I351" s="26">
        <v>97087.378639999995</v>
      </c>
      <c r="K351" s="26">
        <v>90909.090909999999</v>
      </c>
    </row>
    <row r="352" spans="2:11" x14ac:dyDescent="0.3">
      <c r="B352" s="9">
        <v>50000</v>
      </c>
      <c r="C352" s="22">
        <v>0</v>
      </c>
      <c r="I352" s="25">
        <v>30000</v>
      </c>
      <c r="K352" s="25">
        <v>100000</v>
      </c>
    </row>
    <row r="353" spans="2:11" x14ac:dyDescent="0.3">
      <c r="B353" s="7">
        <v>23255.81395</v>
      </c>
      <c r="C353" s="18">
        <v>1</v>
      </c>
      <c r="I353" s="9">
        <v>38000</v>
      </c>
      <c r="K353" s="9">
        <v>90909.090909999999</v>
      </c>
    </row>
    <row r="354" spans="2:11" x14ac:dyDescent="0.3">
      <c r="B354" s="9">
        <v>20930.23256</v>
      </c>
      <c r="C354" s="22">
        <v>1</v>
      </c>
      <c r="I354" s="7">
        <v>150000</v>
      </c>
      <c r="K354" s="7">
        <v>40000</v>
      </c>
    </row>
    <row r="355" spans="2:11" x14ac:dyDescent="0.3">
      <c r="B355" s="7">
        <v>30303.030299999999</v>
      </c>
      <c r="C355" s="18">
        <v>1</v>
      </c>
      <c r="I355" s="9">
        <v>93750</v>
      </c>
      <c r="K355" s="9">
        <v>150000</v>
      </c>
    </row>
    <row r="356" spans="2:11" x14ac:dyDescent="0.3">
      <c r="B356" s="9">
        <v>42173.913039999999</v>
      </c>
      <c r="C356" s="22">
        <v>1</v>
      </c>
      <c r="I356" s="7">
        <v>150000</v>
      </c>
      <c r="K356" s="9">
        <v>87719.298250000007</v>
      </c>
    </row>
    <row r="357" spans="2:11" x14ac:dyDescent="0.3">
      <c r="B357" s="7">
        <v>24193.54839</v>
      </c>
      <c r="C357" s="18">
        <v>1</v>
      </c>
      <c r="I357" s="9">
        <v>40000</v>
      </c>
      <c r="K357" s="7">
        <v>75000</v>
      </c>
    </row>
    <row r="358" spans="2:11" x14ac:dyDescent="0.3">
      <c r="B358" s="9">
        <v>13952.380950000001</v>
      </c>
      <c r="C358" s="22">
        <v>1</v>
      </c>
      <c r="I358" s="7">
        <v>0</v>
      </c>
      <c r="K358" s="9">
        <v>0</v>
      </c>
    </row>
    <row r="359" spans="2:11" x14ac:dyDescent="0.3">
      <c r="B359" s="7">
        <v>5714.2857139999996</v>
      </c>
      <c r="C359" s="18">
        <v>1</v>
      </c>
      <c r="I359" s="9">
        <v>93750</v>
      </c>
      <c r="K359" s="9">
        <v>25000</v>
      </c>
    </row>
    <row r="360" spans="2:11" x14ac:dyDescent="0.3">
      <c r="B360" s="9">
        <v>30232.558140000001</v>
      </c>
      <c r="C360" s="22">
        <v>0</v>
      </c>
      <c r="I360" s="25">
        <v>42857.14286</v>
      </c>
      <c r="K360" s="25">
        <v>41666.666669999999</v>
      </c>
    </row>
    <row r="361" spans="2:11" x14ac:dyDescent="0.3">
      <c r="B361" s="7">
        <v>61674.008809999999</v>
      </c>
      <c r="C361" s="18">
        <v>1</v>
      </c>
      <c r="I361" s="7">
        <v>12500</v>
      </c>
      <c r="K361" s="9">
        <v>50000</v>
      </c>
    </row>
    <row r="362" spans="2:11" x14ac:dyDescent="0.3">
      <c r="B362" s="9">
        <v>147058.8235</v>
      </c>
      <c r="C362" s="22">
        <v>1</v>
      </c>
      <c r="I362" s="9">
        <v>40000</v>
      </c>
      <c r="K362" s="7">
        <v>0</v>
      </c>
    </row>
    <row r="363" spans="2:11" x14ac:dyDescent="0.3">
      <c r="B363" s="7">
        <v>62500</v>
      </c>
      <c r="C363" s="18">
        <v>1</v>
      </c>
      <c r="I363" s="7">
        <v>12500</v>
      </c>
      <c r="K363" s="9">
        <v>150000</v>
      </c>
    </row>
    <row r="364" spans="2:11" x14ac:dyDescent="0.3">
      <c r="B364" s="9">
        <v>45454.545449999998</v>
      </c>
      <c r="C364" s="22">
        <v>1</v>
      </c>
      <c r="I364" s="9">
        <v>10000</v>
      </c>
      <c r="K364" s="7">
        <v>100000</v>
      </c>
    </row>
    <row r="365" spans="2:11" x14ac:dyDescent="0.3">
      <c r="B365" s="7">
        <v>45454.545449999998</v>
      </c>
      <c r="C365" s="18">
        <v>1</v>
      </c>
      <c r="I365" s="7">
        <v>40909.090909999999</v>
      </c>
      <c r="K365" s="9">
        <v>25000</v>
      </c>
    </row>
    <row r="366" spans="2:11" x14ac:dyDescent="0.3">
      <c r="B366" s="9">
        <v>38461.538460000003</v>
      </c>
      <c r="C366" s="22">
        <v>0</v>
      </c>
      <c r="I366" s="26">
        <v>2500</v>
      </c>
      <c r="K366" s="25">
        <v>83333.333329999994</v>
      </c>
    </row>
    <row r="367" spans="2:11" x14ac:dyDescent="0.3">
      <c r="B367" s="7">
        <v>35652.173909999998</v>
      </c>
      <c r="C367" s="18">
        <v>1</v>
      </c>
      <c r="I367" s="7">
        <v>-16666.666669999999</v>
      </c>
      <c r="K367" s="9">
        <v>100000</v>
      </c>
    </row>
    <row r="368" spans="2:11" x14ac:dyDescent="0.3">
      <c r="B368" s="9">
        <v>75000</v>
      </c>
      <c r="C368" s="22">
        <v>0</v>
      </c>
      <c r="I368" s="26">
        <v>70000</v>
      </c>
      <c r="K368" s="25">
        <v>66666.666670000006</v>
      </c>
    </row>
    <row r="369" spans="2:11" x14ac:dyDescent="0.3">
      <c r="B369" s="7">
        <v>-15000</v>
      </c>
      <c r="C369" s="18">
        <v>0</v>
      </c>
      <c r="I369" s="25">
        <v>60096.153850000002</v>
      </c>
      <c r="K369" s="26">
        <v>20000</v>
      </c>
    </row>
    <row r="370" spans="2:11" x14ac:dyDescent="0.3">
      <c r="B370" s="9">
        <v>79166.666670000006</v>
      </c>
      <c r="C370" s="22">
        <v>1</v>
      </c>
      <c r="I370" s="9">
        <v>-4166.6666670000004</v>
      </c>
      <c r="K370" s="9">
        <v>63636.363640000003</v>
      </c>
    </row>
    <row r="371" spans="2:11" x14ac:dyDescent="0.3">
      <c r="B371" s="7">
        <v>54266.666669999999</v>
      </c>
      <c r="C371" s="18">
        <v>1</v>
      </c>
      <c r="I371" s="9">
        <v>100000</v>
      </c>
      <c r="K371" s="7">
        <v>125000</v>
      </c>
    </row>
    <row r="372" spans="2:11" x14ac:dyDescent="0.3">
      <c r="B372" s="9">
        <v>35000</v>
      </c>
      <c r="C372" s="22">
        <v>0</v>
      </c>
      <c r="I372" s="25">
        <v>31250</v>
      </c>
      <c r="K372" s="26">
        <v>45365.853660000001</v>
      </c>
    </row>
    <row r="373" spans="2:11" x14ac:dyDescent="0.3">
      <c r="B373" s="7">
        <v>50000</v>
      </c>
      <c r="C373" s="18">
        <v>0</v>
      </c>
      <c r="I373" s="26">
        <v>20000</v>
      </c>
      <c r="K373" s="25">
        <v>73333.333329999994</v>
      </c>
    </row>
    <row r="374" spans="2:11" x14ac:dyDescent="0.3">
      <c r="B374" s="9">
        <v>5000</v>
      </c>
      <c r="C374" s="22">
        <v>1</v>
      </c>
      <c r="I374" s="7">
        <v>90909.090909999999</v>
      </c>
      <c r="K374" s="9">
        <v>66666.666670000006</v>
      </c>
    </row>
    <row r="375" spans="2:11" x14ac:dyDescent="0.3">
      <c r="B375" s="7">
        <v>38461.538460000003</v>
      </c>
      <c r="C375" s="18">
        <v>1</v>
      </c>
      <c r="I375" s="9">
        <v>25000</v>
      </c>
      <c r="K375" s="7">
        <v>47619.047619999998</v>
      </c>
    </row>
    <row r="376" spans="2:11" x14ac:dyDescent="0.3">
      <c r="B376" s="9">
        <v>50000</v>
      </c>
      <c r="C376" s="22">
        <v>1</v>
      </c>
      <c r="I376" s="7">
        <v>40000</v>
      </c>
      <c r="K376" s="9">
        <v>29585.79882</v>
      </c>
    </row>
    <row r="377" spans="2:11" x14ac:dyDescent="0.3">
      <c r="B377" s="7">
        <v>25000</v>
      </c>
      <c r="C377" s="18">
        <v>0</v>
      </c>
      <c r="I377" s="26">
        <v>40000</v>
      </c>
      <c r="K377" s="25">
        <v>50000</v>
      </c>
    </row>
    <row r="378" spans="2:11" x14ac:dyDescent="0.3">
      <c r="B378" s="9">
        <v>45454.545449999998</v>
      </c>
      <c r="C378" s="22">
        <v>0</v>
      </c>
      <c r="I378" s="25">
        <v>32573.2899</v>
      </c>
      <c r="K378" s="26">
        <v>45454.545449999998</v>
      </c>
    </row>
    <row r="379" spans="2:11" x14ac:dyDescent="0.3">
      <c r="B379" s="7">
        <v>25000</v>
      </c>
      <c r="C379" s="18">
        <v>0</v>
      </c>
      <c r="I379" s="25">
        <v>45731.707320000001</v>
      </c>
      <c r="K379" s="25">
        <v>100000</v>
      </c>
    </row>
    <row r="380" spans="2:11" x14ac:dyDescent="0.3">
      <c r="B380" s="9">
        <v>35000</v>
      </c>
      <c r="C380" s="22">
        <v>0</v>
      </c>
      <c r="I380" s="26">
        <v>0</v>
      </c>
      <c r="K380" s="26">
        <v>75000</v>
      </c>
    </row>
    <row r="381" spans="2:11" x14ac:dyDescent="0.3">
      <c r="B381" s="7">
        <v>10000</v>
      </c>
      <c r="C381" s="18">
        <v>0</v>
      </c>
      <c r="I381" s="25">
        <v>5000</v>
      </c>
      <c r="K381" s="25">
        <v>45454.545449999998</v>
      </c>
    </row>
    <row r="382" spans="2:11" x14ac:dyDescent="0.3">
      <c r="B382" s="9">
        <v>10000</v>
      </c>
      <c r="C382" s="22">
        <v>0</v>
      </c>
      <c r="I382" s="26">
        <v>17857.14286</v>
      </c>
      <c r="K382" s="26">
        <v>64516.129029999996</v>
      </c>
    </row>
    <row r="383" spans="2:11" x14ac:dyDescent="0.3">
      <c r="B383" s="7">
        <v>83333.333329999994</v>
      </c>
      <c r="C383" s="18">
        <v>0</v>
      </c>
      <c r="I383" s="25">
        <v>6250</v>
      </c>
      <c r="K383" s="25">
        <v>90909.090909999999</v>
      </c>
    </row>
    <row r="384" spans="2:11" x14ac:dyDescent="0.3">
      <c r="B384" s="9">
        <v>1250</v>
      </c>
      <c r="C384" s="22">
        <v>1</v>
      </c>
      <c r="I384" s="9">
        <v>0</v>
      </c>
      <c r="K384" s="9">
        <v>66666.666670000006</v>
      </c>
    </row>
    <row r="385" spans="2:11" x14ac:dyDescent="0.3">
      <c r="B385" s="7">
        <v>21428.57143</v>
      </c>
      <c r="C385" s="18">
        <v>1</v>
      </c>
      <c r="I385" s="7">
        <v>20000</v>
      </c>
      <c r="K385" s="7">
        <v>10000</v>
      </c>
    </row>
    <row r="386" spans="2:11" x14ac:dyDescent="0.3">
      <c r="B386" s="9">
        <v>14285.71429</v>
      </c>
      <c r="C386" s="22">
        <v>1</v>
      </c>
      <c r="I386" s="7">
        <v>3759.3984959999998</v>
      </c>
      <c r="K386" s="9">
        <v>83333.333329999994</v>
      </c>
    </row>
    <row r="387" spans="2:11" x14ac:dyDescent="0.3">
      <c r="B387" s="7">
        <v>3809.5238100000001</v>
      </c>
      <c r="C387" s="18">
        <v>1</v>
      </c>
      <c r="I387" s="9">
        <v>-40000</v>
      </c>
      <c r="K387" s="7">
        <v>15000</v>
      </c>
    </row>
    <row r="388" spans="2:11" x14ac:dyDescent="0.3">
      <c r="B388" s="9">
        <v>25000</v>
      </c>
      <c r="C388" s="22">
        <v>0</v>
      </c>
      <c r="I388" s="25">
        <v>4545.4545449999996</v>
      </c>
      <c r="K388" s="26">
        <v>83333.333329999994</v>
      </c>
    </row>
    <row r="389" spans="2:11" x14ac:dyDescent="0.3">
      <c r="B389" s="7">
        <v>40322.580650000004</v>
      </c>
      <c r="C389" s="18">
        <v>1</v>
      </c>
      <c r="I389" s="9">
        <v>5000</v>
      </c>
      <c r="K389" s="7">
        <v>90909.090909999999</v>
      </c>
    </row>
    <row r="390" spans="2:11" x14ac:dyDescent="0.3">
      <c r="B390" s="9">
        <v>55299.539169999996</v>
      </c>
      <c r="C390" s="22">
        <v>1</v>
      </c>
      <c r="I390" s="9">
        <v>20000</v>
      </c>
      <c r="K390" s="9">
        <v>100000</v>
      </c>
    </row>
    <row r="391" spans="2:11" x14ac:dyDescent="0.3">
      <c r="B391" s="7">
        <v>37500</v>
      </c>
      <c r="C391" s="18">
        <v>1</v>
      </c>
      <c r="I391" s="7">
        <v>18181.818179999998</v>
      </c>
      <c r="K391" s="7">
        <v>100000</v>
      </c>
    </row>
    <row r="392" spans="2:11" x14ac:dyDescent="0.3">
      <c r="B392" s="9">
        <v>37500</v>
      </c>
      <c r="C392" s="22">
        <v>0</v>
      </c>
      <c r="I392" s="26">
        <v>4545.4545449999996</v>
      </c>
      <c r="K392" s="26">
        <v>153846.1538</v>
      </c>
    </row>
    <row r="393" spans="2:11" x14ac:dyDescent="0.3">
      <c r="B393" s="7">
        <v>40000</v>
      </c>
      <c r="C393" s="18">
        <v>0</v>
      </c>
      <c r="I393" s="26">
        <v>23364.485980000001</v>
      </c>
      <c r="K393" s="25">
        <v>83333.333329999994</v>
      </c>
    </row>
    <row r="394" spans="2:11" x14ac:dyDescent="0.3">
      <c r="B394" s="9">
        <v>30000</v>
      </c>
      <c r="C394" s="22">
        <v>1</v>
      </c>
      <c r="I394" s="7">
        <v>6887.052342</v>
      </c>
      <c r="K394" s="9">
        <v>111111.11109999999</v>
      </c>
    </row>
    <row r="395" spans="2:11" x14ac:dyDescent="0.3">
      <c r="B395" s="7">
        <v>25000</v>
      </c>
      <c r="C395" s="18">
        <v>0</v>
      </c>
      <c r="I395" s="26">
        <v>5000</v>
      </c>
      <c r="K395" s="25">
        <v>50000</v>
      </c>
    </row>
    <row r="396" spans="2:11" x14ac:dyDescent="0.3">
      <c r="B396" s="9">
        <v>4545.4545449999996</v>
      </c>
      <c r="C396" s="22">
        <v>0</v>
      </c>
      <c r="I396" s="26">
        <v>-9523.8095240000002</v>
      </c>
      <c r="K396" s="26">
        <v>136363.63639999999</v>
      </c>
    </row>
    <row r="397" spans="2:11" x14ac:dyDescent="0.3">
      <c r="B397" s="7">
        <v>0</v>
      </c>
      <c r="C397" s="18">
        <v>0</v>
      </c>
      <c r="I397" s="26">
        <v>1875</v>
      </c>
      <c r="K397" s="25">
        <v>6000</v>
      </c>
    </row>
    <row r="398" spans="2:11" x14ac:dyDescent="0.3">
      <c r="B398" s="9">
        <v>150000</v>
      </c>
      <c r="C398" s="22">
        <v>1</v>
      </c>
      <c r="I398" s="7">
        <v>11363.63636</v>
      </c>
      <c r="K398" s="9">
        <v>66666.666670000006</v>
      </c>
    </row>
    <row r="399" spans="2:11" x14ac:dyDescent="0.3">
      <c r="B399" s="7">
        <v>5555.5555560000003</v>
      </c>
      <c r="C399" s="18">
        <v>1</v>
      </c>
      <c r="I399" s="9">
        <v>10000</v>
      </c>
      <c r="K399" s="7">
        <v>100000</v>
      </c>
    </row>
    <row r="400" spans="2:11" x14ac:dyDescent="0.3">
      <c r="B400" s="9">
        <v>40000</v>
      </c>
      <c r="C400" s="22">
        <v>0</v>
      </c>
      <c r="I400" s="25">
        <v>11904.7619</v>
      </c>
      <c r="K400" s="25">
        <v>6250</v>
      </c>
    </row>
    <row r="401" spans="2:11" x14ac:dyDescent="0.3">
      <c r="B401" s="7">
        <v>66666.666670000006</v>
      </c>
      <c r="C401" s="18">
        <v>0</v>
      </c>
      <c r="I401" s="26">
        <v>-4166.6666670000004</v>
      </c>
      <c r="K401" s="26">
        <v>136363.63639999999</v>
      </c>
    </row>
    <row r="402" spans="2:11" x14ac:dyDescent="0.3">
      <c r="B402" s="9">
        <v>10000</v>
      </c>
      <c r="C402" s="22">
        <v>0</v>
      </c>
      <c r="I402" s="25">
        <v>-3333.333333</v>
      </c>
      <c r="K402" s="26">
        <v>150000</v>
      </c>
    </row>
    <row r="403" spans="2:11" x14ac:dyDescent="0.3">
      <c r="B403" s="7">
        <v>25000</v>
      </c>
      <c r="C403" s="18">
        <v>0</v>
      </c>
      <c r="I403" s="26">
        <v>-3478.2608700000001</v>
      </c>
      <c r="K403" s="25">
        <v>40000</v>
      </c>
    </row>
    <row r="404" spans="2:11" x14ac:dyDescent="0.3">
      <c r="B404" s="9">
        <v>116666.6667</v>
      </c>
      <c r="C404" s="22">
        <v>0</v>
      </c>
      <c r="I404" s="25">
        <v>0</v>
      </c>
      <c r="K404" s="26">
        <v>7500</v>
      </c>
    </row>
    <row r="405" spans="2:11" x14ac:dyDescent="0.3">
      <c r="B405" s="7">
        <v>50000</v>
      </c>
      <c r="C405" s="18">
        <v>1</v>
      </c>
      <c r="I405" s="7">
        <v>4285.7142860000004</v>
      </c>
      <c r="K405" s="7">
        <v>18750</v>
      </c>
    </row>
    <row r="406" spans="2:11" x14ac:dyDescent="0.3">
      <c r="B406" s="9">
        <v>100000</v>
      </c>
      <c r="C406" s="22">
        <v>1</v>
      </c>
      <c r="I406" s="9">
        <v>-25000</v>
      </c>
      <c r="K406" s="9">
        <v>0</v>
      </c>
    </row>
    <row r="407" spans="2:11" x14ac:dyDescent="0.3">
      <c r="B407" s="7">
        <v>136363.63639999999</v>
      </c>
      <c r="C407" s="18">
        <v>1</v>
      </c>
      <c r="I407" s="7">
        <v>6818.181818</v>
      </c>
      <c r="K407" s="7">
        <v>35000</v>
      </c>
    </row>
    <row r="408" spans="2:11" x14ac:dyDescent="0.3">
      <c r="B408" s="9">
        <v>66666.666670000006</v>
      </c>
      <c r="C408" s="22">
        <v>1</v>
      </c>
      <c r="I408" s="9">
        <v>4716.9811319999999</v>
      </c>
      <c r="K408" s="9">
        <v>5000</v>
      </c>
    </row>
    <row r="409" spans="2:11" x14ac:dyDescent="0.3">
      <c r="B409" s="7">
        <v>90909.090909999999</v>
      </c>
      <c r="C409" s="18">
        <v>1</v>
      </c>
      <c r="I409" s="7">
        <v>31818.181820000002</v>
      </c>
      <c r="K409" s="7">
        <v>47826.086960000001</v>
      </c>
    </row>
    <row r="410" spans="2:11" x14ac:dyDescent="0.3">
      <c r="B410" s="9">
        <v>75000</v>
      </c>
      <c r="C410" s="22">
        <v>1</v>
      </c>
      <c r="I410" s="7">
        <v>45454.545449999998</v>
      </c>
      <c r="K410" s="9">
        <v>5000</v>
      </c>
    </row>
    <row r="411" spans="2:11" x14ac:dyDescent="0.3">
      <c r="B411" s="7">
        <v>150000</v>
      </c>
      <c r="C411" s="18">
        <v>1</v>
      </c>
      <c r="I411" s="7">
        <v>36496.350359999997</v>
      </c>
      <c r="K411" s="7">
        <v>29761.904760000001</v>
      </c>
    </row>
    <row r="412" spans="2:11" x14ac:dyDescent="0.3">
      <c r="B412" s="9">
        <v>45454.545449999998</v>
      </c>
      <c r="C412" s="22">
        <v>1</v>
      </c>
      <c r="I412" s="9">
        <v>5000</v>
      </c>
      <c r="K412" s="7">
        <v>7500</v>
      </c>
    </row>
    <row r="413" spans="2:11" x14ac:dyDescent="0.3">
      <c r="B413" s="7">
        <v>0</v>
      </c>
      <c r="C413" s="18">
        <v>1</v>
      </c>
      <c r="I413" s="9">
        <v>38461.538460000003</v>
      </c>
      <c r="K413" s="9">
        <v>9090.9090909999995</v>
      </c>
    </row>
    <row r="414" spans="2:11" x14ac:dyDescent="0.3">
      <c r="B414" s="9">
        <v>22222.22222</v>
      </c>
      <c r="C414" s="22">
        <v>1</v>
      </c>
      <c r="I414" s="7">
        <v>15000</v>
      </c>
      <c r="K414" s="7">
        <v>41666.666669999999</v>
      </c>
    </row>
    <row r="415" spans="2:11" x14ac:dyDescent="0.3">
      <c r="B415" s="7">
        <v>83333.333329999994</v>
      </c>
      <c r="C415" s="18">
        <v>1</v>
      </c>
      <c r="I415" s="9">
        <v>16129.03226</v>
      </c>
      <c r="K415" s="7">
        <v>5000</v>
      </c>
    </row>
    <row r="416" spans="2:11" x14ac:dyDescent="0.3">
      <c r="B416" s="9">
        <v>86956.521739999996</v>
      </c>
      <c r="C416" s="22">
        <v>1</v>
      </c>
      <c r="I416" s="9">
        <v>9118.5410329999995</v>
      </c>
      <c r="K416" s="9">
        <v>48387.096769999996</v>
      </c>
    </row>
    <row r="417" spans="2:11" x14ac:dyDescent="0.3">
      <c r="B417" s="7">
        <v>20000</v>
      </c>
      <c r="C417" s="18">
        <v>1</v>
      </c>
      <c r="I417" s="9">
        <v>12500</v>
      </c>
      <c r="K417" s="7">
        <v>3797.4683540000001</v>
      </c>
    </row>
    <row r="418" spans="2:11" x14ac:dyDescent="0.3">
      <c r="B418" s="9">
        <v>153846.1538</v>
      </c>
      <c r="C418" s="22">
        <v>0</v>
      </c>
      <c r="I418" s="25">
        <v>83333.333329999994</v>
      </c>
      <c r="K418" s="26">
        <v>10000</v>
      </c>
    </row>
    <row r="419" spans="2:11" x14ac:dyDescent="0.3">
      <c r="B419" s="7">
        <v>31250</v>
      </c>
      <c r="C419" s="18">
        <v>1</v>
      </c>
      <c r="I419" s="9">
        <v>6250</v>
      </c>
      <c r="K419" s="7">
        <v>16666.666669999999</v>
      </c>
    </row>
    <row r="420" spans="2:11" x14ac:dyDescent="0.3">
      <c r="B420" s="9">
        <v>66666.666670000006</v>
      </c>
      <c r="C420" s="22">
        <v>1</v>
      </c>
      <c r="I420" s="9">
        <v>15625</v>
      </c>
      <c r="K420" s="9">
        <v>30000</v>
      </c>
    </row>
    <row r="421" spans="2:11" x14ac:dyDescent="0.3">
      <c r="B421" s="7">
        <v>26000</v>
      </c>
      <c r="C421" s="18">
        <v>1</v>
      </c>
      <c r="I421" s="7">
        <v>6666.6666670000004</v>
      </c>
      <c r="K421" s="7">
        <v>150000</v>
      </c>
    </row>
    <row r="422" spans="2:11" x14ac:dyDescent="0.3">
      <c r="B422" s="9">
        <v>35000</v>
      </c>
      <c r="C422" s="22">
        <v>1</v>
      </c>
      <c r="I422" s="9">
        <v>14285.71429</v>
      </c>
      <c r="K422" s="9">
        <v>125000</v>
      </c>
    </row>
    <row r="423" spans="2:11" x14ac:dyDescent="0.3">
      <c r="B423" s="7">
        <v>83333.333329999994</v>
      </c>
      <c r="C423" s="18">
        <v>1</v>
      </c>
      <c r="I423" s="9">
        <v>20000</v>
      </c>
      <c r="K423" s="7">
        <v>150000</v>
      </c>
    </row>
    <row r="424" spans="2:11" x14ac:dyDescent="0.3">
      <c r="B424" s="9">
        <v>-24600</v>
      </c>
      <c r="C424" s="22">
        <v>0</v>
      </c>
      <c r="I424" s="25">
        <v>30000</v>
      </c>
      <c r="K424" s="26">
        <v>47318.611989999998</v>
      </c>
    </row>
    <row r="425" spans="2:11" x14ac:dyDescent="0.3">
      <c r="B425" s="7">
        <v>40000</v>
      </c>
      <c r="C425" s="18">
        <v>1</v>
      </c>
      <c r="I425" s="9">
        <v>5714.2857139999996</v>
      </c>
      <c r="K425" s="7">
        <v>125000</v>
      </c>
    </row>
    <row r="426" spans="2:11" x14ac:dyDescent="0.3">
      <c r="B426" s="9">
        <v>90909.090909999999</v>
      </c>
      <c r="C426" s="22">
        <v>1</v>
      </c>
      <c r="I426" s="9">
        <v>12121.21212</v>
      </c>
      <c r="K426" s="9">
        <v>150000</v>
      </c>
    </row>
    <row r="427" spans="2:11" x14ac:dyDescent="0.3">
      <c r="B427" s="7">
        <v>-79646.017699999997</v>
      </c>
      <c r="C427" s="18">
        <v>1</v>
      </c>
      <c r="I427" s="7">
        <v>10000</v>
      </c>
      <c r="K427" s="7">
        <v>0</v>
      </c>
    </row>
    <row r="428" spans="2:11" x14ac:dyDescent="0.3">
      <c r="B428" s="9">
        <v>28571.42857</v>
      </c>
      <c r="C428" s="22">
        <v>1</v>
      </c>
      <c r="I428" s="9">
        <v>8333.3333330000005</v>
      </c>
      <c r="K428" s="7">
        <v>150000</v>
      </c>
    </row>
    <row r="429" spans="2:11" x14ac:dyDescent="0.3">
      <c r="B429" s="7">
        <v>150000</v>
      </c>
      <c r="C429" s="18">
        <v>1</v>
      </c>
      <c r="I429" s="7">
        <v>12500</v>
      </c>
      <c r="K429" s="9">
        <v>150000</v>
      </c>
    </row>
    <row r="430" spans="2:11" x14ac:dyDescent="0.3">
      <c r="B430" s="9">
        <v>75000</v>
      </c>
      <c r="C430" s="22">
        <v>1</v>
      </c>
      <c r="I430" s="7">
        <v>5000</v>
      </c>
      <c r="K430" s="7">
        <v>125000</v>
      </c>
    </row>
    <row r="431" spans="2:11" x14ac:dyDescent="0.3">
      <c r="B431" s="7">
        <v>25000</v>
      </c>
      <c r="C431" s="18">
        <v>1</v>
      </c>
      <c r="I431" s="9">
        <v>21551.724139999998</v>
      </c>
      <c r="K431" s="9">
        <v>150000</v>
      </c>
    </row>
    <row r="432" spans="2:11" x14ac:dyDescent="0.3">
      <c r="B432" s="9">
        <v>-57666.666669999999</v>
      </c>
      <c r="C432" s="22">
        <v>1</v>
      </c>
      <c r="I432" s="7">
        <v>41666.666669999999</v>
      </c>
      <c r="K432" s="7">
        <v>150000</v>
      </c>
    </row>
    <row r="433" spans="2:11" x14ac:dyDescent="0.3">
      <c r="B433" s="7">
        <v>-6666.6666670000004</v>
      </c>
      <c r="C433" s="18">
        <v>1</v>
      </c>
      <c r="I433" s="7">
        <v>80000</v>
      </c>
      <c r="K433" s="9">
        <v>-25000</v>
      </c>
    </row>
    <row r="434" spans="2:11" x14ac:dyDescent="0.3">
      <c r="B434" s="9">
        <v>133333.3333</v>
      </c>
      <c r="C434" s="22">
        <v>1</v>
      </c>
      <c r="I434" s="9">
        <v>10000</v>
      </c>
      <c r="K434" s="7">
        <v>150000</v>
      </c>
    </row>
    <row r="435" spans="2:11" x14ac:dyDescent="0.3">
      <c r="B435" s="7">
        <v>90909.090909999999</v>
      </c>
      <c r="C435" s="18">
        <v>1</v>
      </c>
      <c r="I435" s="7">
        <v>5000</v>
      </c>
      <c r="K435" s="9">
        <v>-20833.333330000001</v>
      </c>
    </row>
    <row r="436" spans="2:11" x14ac:dyDescent="0.3">
      <c r="B436" s="9">
        <v>40000</v>
      </c>
      <c r="C436" s="22">
        <v>1</v>
      </c>
      <c r="I436" s="7">
        <v>5000</v>
      </c>
      <c r="K436" s="7">
        <v>150000</v>
      </c>
    </row>
    <row r="437" spans="2:11" x14ac:dyDescent="0.3">
      <c r="B437" s="7">
        <v>32051.282050000002</v>
      </c>
      <c r="C437" s="18">
        <v>1</v>
      </c>
      <c r="I437" s="9">
        <v>25000</v>
      </c>
      <c r="K437" s="9">
        <v>125000</v>
      </c>
    </row>
    <row r="438" spans="2:11" x14ac:dyDescent="0.3">
      <c r="B438" s="9">
        <v>48000</v>
      </c>
      <c r="C438" s="22">
        <v>1</v>
      </c>
      <c r="I438" s="7">
        <v>50000</v>
      </c>
      <c r="K438" s="7">
        <v>50000</v>
      </c>
    </row>
    <row r="439" spans="2:11" x14ac:dyDescent="0.3">
      <c r="B439" s="7">
        <v>14285.71429</v>
      </c>
      <c r="C439" s="18">
        <v>1</v>
      </c>
      <c r="I439" s="7">
        <v>10000</v>
      </c>
      <c r="K439" s="9">
        <v>150000</v>
      </c>
    </row>
    <row r="440" spans="2:11" x14ac:dyDescent="0.3">
      <c r="B440" s="9">
        <v>12903.22581</v>
      </c>
      <c r="C440" s="22">
        <v>1</v>
      </c>
      <c r="I440" s="9">
        <v>38461.538460000003</v>
      </c>
      <c r="K440" s="7">
        <v>50000</v>
      </c>
    </row>
    <row r="441" spans="2:11" x14ac:dyDescent="0.3">
      <c r="B441" s="7">
        <v>24390.243900000001</v>
      </c>
      <c r="C441" s="18">
        <v>0</v>
      </c>
      <c r="I441" s="25">
        <v>33333.333330000001</v>
      </c>
      <c r="K441" s="26">
        <v>75000</v>
      </c>
    </row>
    <row r="442" spans="2:11" x14ac:dyDescent="0.3">
      <c r="B442" s="9">
        <v>25000</v>
      </c>
      <c r="C442" s="22">
        <v>1</v>
      </c>
      <c r="I442" s="9">
        <v>68181.818180000002</v>
      </c>
      <c r="K442" s="7">
        <v>150000</v>
      </c>
    </row>
    <row r="443" spans="2:11" x14ac:dyDescent="0.3">
      <c r="B443" s="7">
        <v>80000</v>
      </c>
      <c r="C443" s="18">
        <v>1</v>
      </c>
      <c r="I443" s="9">
        <v>10000</v>
      </c>
      <c r="K443" s="9">
        <v>75000</v>
      </c>
    </row>
    <row r="444" spans="2:11" x14ac:dyDescent="0.3">
      <c r="B444" s="9">
        <v>16666.666669999999</v>
      </c>
      <c r="C444" s="22">
        <v>1</v>
      </c>
      <c r="I444" s="7">
        <v>25000</v>
      </c>
      <c r="K444" s="7">
        <v>150000</v>
      </c>
    </row>
    <row r="445" spans="2:11" x14ac:dyDescent="0.3">
      <c r="B445" s="7">
        <v>41666.666669999999</v>
      </c>
      <c r="C445" s="18">
        <v>1</v>
      </c>
      <c r="I445" s="7">
        <v>29411.764709999999</v>
      </c>
      <c r="K445" s="9">
        <v>125000</v>
      </c>
    </row>
    <row r="446" spans="2:11" x14ac:dyDescent="0.3">
      <c r="B446" s="9">
        <v>11111.11111</v>
      </c>
      <c r="C446" s="22">
        <v>1</v>
      </c>
      <c r="I446" s="7">
        <v>18181.818179999998</v>
      </c>
      <c r="K446" s="7">
        <v>150000</v>
      </c>
    </row>
    <row r="447" spans="2:11" x14ac:dyDescent="0.3">
      <c r="B447" s="7">
        <v>16666.666669999999</v>
      </c>
      <c r="C447" s="18">
        <v>1</v>
      </c>
      <c r="I447" s="9">
        <v>17241.37931</v>
      </c>
      <c r="K447" s="9">
        <v>125000</v>
      </c>
    </row>
    <row r="448" spans="2:11" x14ac:dyDescent="0.3">
      <c r="B448" s="9">
        <v>50000</v>
      </c>
      <c r="C448" s="22">
        <v>1</v>
      </c>
      <c r="I448" s="7">
        <v>5000</v>
      </c>
      <c r="K448" s="7">
        <v>50000</v>
      </c>
    </row>
    <row r="449" spans="2:11" x14ac:dyDescent="0.3">
      <c r="B449" s="7">
        <v>60000</v>
      </c>
      <c r="C449" s="18">
        <v>1</v>
      </c>
      <c r="I449" s="7">
        <v>13333.333329999999</v>
      </c>
      <c r="K449" s="9">
        <v>18000</v>
      </c>
    </row>
    <row r="450" spans="2:11" x14ac:dyDescent="0.3">
      <c r="B450" s="9">
        <v>16666.666669999999</v>
      </c>
      <c r="C450" s="22">
        <v>1</v>
      </c>
      <c r="I450" s="7">
        <v>20000</v>
      </c>
      <c r="K450" s="7">
        <v>38793.103450000002</v>
      </c>
    </row>
    <row r="451" spans="2:11" x14ac:dyDescent="0.3">
      <c r="B451" s="7">
        <v>15384.615379999999</v>
      </c>
      <c r="C451" s="18">
        <v>0</v>
      </c>
      <c r="I451" s="26">
        <v>11666.666670000001</v>
      </c>
      <c r="K451" s="26">
        <v>121621.6216</v>
      </c>
    </row>
    <row r="452" spans="2:11" x14ac:dyDescent="0.3">
      <c r="B452" s="9">
        <v>61538.461539999997</v>
      </c>
      <c r="C452" s="22">
        <v>1</v>
      </c>
      <c r="I452" s="7">
        <v>30000</v>
      </c>
      <c r="K452" s="7">
        <v>3750</v>
      </c>
    </row>
    <row r="453" spans="2:11" x14ac:dyDescent="0.3">
      <c r="B453" s="7">
        <v>57142.85714</v>
      </c>
      <c r="C453" s="18">
        <v>0</v>
      </c>
      <c r="I453" s="26">
        <v>10000</v>
      </c>
      <c r="K453" s="26">
        <v>22500</v>
      </c>
    </row>
    <row r="454" spans="2:11" x14ac:dyDescent="0.3">
      <c r="B454" s="9">
        <v>18000</v>
      </c>
      <c r="C454" s="22">
        <v>1</v>
      </c>
      <c r="I454" s="7">
        <v>9685.2300240000004</v>
      </c>
      <c r="K454" s="7">
        <v>20930.23256</v>
      </c>
    </row>
    <row r="455" spans="2:11" x14ac:dyDescent="0.3">
      <c r="B455" s="7">
        <v>16666.666669999999</v>
      </c>
      <c r="C455" s="18">
        <v>1</v>
      </c>
      <c r="I455" s="9">
        <v>136363.63639999999</v>
      </c>
      <c r="K455" s="9">
        <v>37500</v>
      </c>
    </row>
    <row r="456" spans="2:11" x14ac:dyDescent="0.3">
      <c r="B456" s="9">
        <v>50000</v>
      </c>
      <c r="C456" s="22">
        <v>1</v>
      </c>
      <c r="I456" s="7">
        <v>18264.840179999999</v>
      </c>
      <c r="K456" s="7">
        <v>93846.153850000002</v>
      </c>
    </row>
    <row r="457" spans="2:11" x14ac:dyDescent="0.3">
      <c r="B457" s="7">
        <v>8333.3333330000005</v>
      </c>
      <c r="C457" s="18">
        <v>1</v>
      </c>
      <c r="I457" s="9">
        <v>16666.666669999999</v>
      </c>
      <c r="K457" s="9">
        <v>-3289.473684</v>
      </c>
    </row>
    <row r="458" spans="2:11" x14ac:dyDescent="0.3">
      <c r="B458" s="9">
        <v>-41666.666669999999</v>
      </c>
      <c r="C458" s="22">
        <v>1</v>
      </c>
      <c r="I458" s="7">
        <v>9090.9090909999995</v>
      </c>
      <c r="K458" s="7">
        <v>-4926.1083740000004</v>
      </c>
    </row>
    <row r="459" spans="2:11" x14ac:dyDescent="0.3">
      <c r="B459" s="7">
        <v>100000</v>
      </c>
      <c r="C459" s="18">
        <v>1</v>
      </c>
      <c r="I459" s="9">
        <v>75000</v>
      </c>
      <c r="K459" s="9">
        <v>9090.9090909999995</v>
      </c>
    </row>
    <row r="460" spans="2:11" x14ac:dyDescent="0.3">
      <c r="B460" s="9">
        <v>-45454.545449999998</v>
      </c>
      <c r="C460" s="22">
        <v>1</v>
      </c>
      <c r="I460" s="7">
        <v>25000</v>
      </c>
      <c r="K460" s="7">
        <v>-4761.9047620000001</v>
      </c>
    </row>
    <row r="461" spans="2:11" x14ac:dyDescent="0.3">
      <c r="B461" s="7">
        <v>45454.545449999998</v>
      </c>
      <c r="C461" s="18">
        <v>0</v>
      </c>
      <c r="I461" s="26">
        <v>10000</v>
      </c>
      <c r="K461" s="26">
        <v>16666.666669999999</v>
      </c>
    </row>
    <row r="462" spans="2:11" x14ac:dyDescent="0.3">
      <c r="B462" s="9">
        <v>8333.3333330000005</v>
      </c>
      <c r="C462" s="22">
        <v>1</v>
      </c>
      <c r="I462" s="7">
        <v>13333.333329999999</v>
      </c>
      <c r="K462" s="7">
        <v>1492.537313</v>
      </c>
    </row>
    <row r="463" spans="2:11" x14ac:dyDescent="0.3">
      <c r="B463" s="7">
        <v>0</v>
      </c>
      <c r="C463" s="18">
        <v>1</v>
      </c>
      <c r="I463" s="9">
        <v>10000</v>
      </c>
      <c r="K463" s="9">
        <v>2314.8148150000002</v>
      </c>
    </row>
    <row r="464" spans="2:11" x14ac:dyDescent="0.3">
      <c r="B464" s="9">
        <v>75000</v>
      </c>
      <c r="C464" s="22">
        <v>1</v>
      </c>
      <c r="I464" s="7">
        <v>72508.5</v>
      </c>
      <c r="K464" s="7">
        <v>-2314.8148150000002</v>
      </c>
    </row>
    <row r="465" spans="2:11" x14ac:dyDescent="0.3">
      <c r="B465" s="7">
        <v>20000</v>
      </c>
      <c r="C465" s="18">
        <v>1</v>
      </c>
      <c r="I465" s="9">
        <v>8000</v>
      </c>
      <c r="K465" s="9">
        <v>-16129.03226</v>
      </c>
    </row>
    <row r="466" spans="2:11" x14ac:dyDescent="0.3">
      <c r="B466" s="9">
        <v>95238.095239999995</v>
      </c>
      <c r="C466" s="22">
        <v>1</v>
      </c>
      <c r="I466" s="7">
        <v>3333.333333</v>
      </c>
      <c r="K466" s="7">
        <v>18181.818179999998</v>
      </c>
    </row>
    <row r="467" spans="2:11" x14ac:dyDescent="0.3">
      <c r="B467" s="7">
        <v>100000</v>
      </c>
      <c r="C467" s="18">
        <v>1</v>
      </c>
      <c r="I467" s="9">
        <v>10000</v>
      </c>
      <c r="K467" s="9">
        <v>16666.666669999999</v>
      </c>
    </row>
    <row r="468" spans="2:11" x14ac:dyDescent="0.3">
      <c r="B468" s="9">
        <v>-59333.333330000001</v>
      </c>
      <c r="C468" s="22">
        <v>1</v>
      </c>
      <c r="I468" s="7">
        <v>13043.47826</v>
      </c>
      <c r="K468" s="7">
        <v>150000</v>
      </c>
    </row>
    <row r="469" spans="2:11" x14ac:dyDescent="0.3">
      <c r="B469" s="7">
        <v>8333.3333330000005</v>
      </c>
      <c r="C469" s="18">
        <v>1</v>
      </c>
      <c r="I469" s="9">
        <v>6666.6666670000004</v>
      </c>
      <c r="K469" s="9">
        <v>58333.333330000001</v>
      </c>
    </row>
    <row r="470" spans="2:11" x14ac:dyDescent="0.3">
      <c r="B470" s="9">
        <v>-2500</v>
      </c>
      <c r="C470" s="22">
        <v>1</v>
      </c>
      <c r="I470" s="7">
        <v>10000</v>
      </c>
      <c r="K470" s="7">
        <v>25000</v>
      </c>
    </row>
    <row r="471" spans="2:11" x14ac:dyDescent="0.3">
      <c r="B471" s="7">
        <v>-33333.333330000001</v>
      </c>
      <c r="C471" s="18">
        <v>1</v>
      </c>
      <c r="I471" s="9">
        <v>16666.666669999999</v>
      </c>
      <c r="K471" s="9">
        <v>100000</v>
      </c>
    </row>
    <row r="472" spans="2:11" x14ac:dyDescent="0.3">
      <c r="B472" s="9">
        <v>100000</v>
      </c>
      <c r="C472" s="22">
        <v>1</v>
      </c>
      <c r="I472" s="7">
        <v>4545.4545449999996</v>
      </c>
      <c r="K472" s="7">
        <v>100000</v>
      </c>
    </row>
    <row r="473" spans="2:11" x14ac:dyDescent="0.3">
      <c r="B473" s="7">
        <v>40000</v>
      </c>
      <c r="C473" s="18">
        <v>1</v>
      </c>
      <c r="I473" s="9">
        <v>10000</v>
      </c>
      <c r="K473" s="9">
        <v>100000</v>
      </c>
    </row>
    <row r="474" spans="2:11" x14ac:dyDescent="0.3">
      <c r="B474" s="9">
        <v>20000</v>
      </c>
      <c r="C474" s="22">
        <v>1</v>
      </c>
      <c r="I474" s="7">
        <v>5000</v>
      </c>
      <c r="K474" s="7">
        <v>150000</v>
      </c>
    </row>
    <row r="475" spans="2:11" x14ac:dyDescent="0.3">
      <c r="B475" s="7">
        <v>83333.333329999994</v>
      </c>
      <c r="C475" s="18">
        <v>0</v>
      </c>
      <c r="I475" s="26">
        <v>10000</v>
      </c>
      <c r="K475" s="26">
        <v>23809.523809999999</v>
      </c>
    </row>
    <row r="476" spans="2:11" x14ac:dyDescent="0.3">
      <c r="B476" s="9">
        <v>75000</v>
      </c>
      <c r="C476" s="22">
        <v>1</v>
      </c>
      <c r="I476" s="7">
        <v>7547.1698109999998</v>
      </c>
      <c r="K476" s="7">
        <v>83333.333329999994</v>
      </c>
    </row>
    <row r="477" spans="2:11" x14ac:dyDescent="0.3">
      <c r="B477" s="7">
        <v>16666.666669999999</v>
      </c>
      <c r="C477" s="18">
        <v>1</v>
      </c>
      <c r="I477" s="9">
        <v>5000</v>
      </c>
      <c r="K477" s="9">
        <v>140000</v>
      </c>
    </row>
    <row r="478" spans="2:11" x14ac:dyDescent="0.3">
      <c r="B478" s="9">
        <v>-9615.3846150000008</v>
      </c>
      <c r="C478" s="22">
        <v>1</v>
      </c>
      <c r="I478" s="7">
        <v>28000</v>
      </c>
      <c r="K478" s="7">
        <v>150000</v>
      </c>
    </row>
    <row r="479" spans="2:11" x14ac:dyDescent="0.3">
      <c r="B479" s="7">
        <v>12500</v>
      </c>
      <c r="C479" s="18">
        <v>1</v>
      </c>
      <c r="I479" s="9">
        <v>4000</v>
      </c>
      <c r="K479" s="9">
        <v>150000</v>
      </c>
    </row>
    <row r="480" spans="2:11" x14ac:dyDescent="0.3">
      <c r="B480" s="9">
        <v>15000</v>
      </c>
      <c r="C480" s="22">
        <v>1</v>
      </c>
      <c r="I480" s="9">
        <v>33333.333330000001</v>
      </c>
      <c r="K480" s="7">
        <v>150000</v>
      </c>
    </row>
    <row r="481" spans="2:11" x14ac:dyDescent="0.3">
      <c r="B481" s="7">
        <v>71428.571429999996</v>
      </c>
      <c r="C481" s="18">
        <v>1</v>
      </c>
      <c r="I481" s="7">
        <v>25000</v>
      </c>
      <c r="K481" s="9">
        <v>125000</v>
      </c>
    </row>
    <row r="482" spans="2:11" x14ac:dyDescent="0.3">
      <c r="B482" s="9">
        <v>0</v>
      </c>
      <c r="C482" s="22">
        <v>1</v>
      </c>
      <c r="I482" s="7">
        <v>4166.6666670000004</v>
      </c>
      <c r="K482" s="7">
        <v>-31250</v>
      </c>
    </row>
    <row r="483" spans="2:11" x14ac:dyDescent="0.3">
      <c r="B483" s="7">
        <v>60000</v>
      </c>
      <c r="C483" s="18">
        <v>1</v>
      </c>
      <c r="I483" s="9">
        <v>21413.333330000001</v>
      </c>
      <c r="K483" s="9">
        <v>125000</v>
      </c>
    </row>
    <row r="484" spans="2:11" x14ac:dyDescent="0.3">
      <c r="B484" s="9">
        <v>108333.3333</v>
      </c>
      <c r="C484" s="22">
        <v>1</v>
      </c>
      <c r="I484" s="7">
        <v>36885.245900000002</v>
      </c>
      <c r="K484" s="7">
        <v>0</v>
      </c>
    </row>
    <row r="485" spans="2:11" x14ac:dyDescent="0.3">
      <c r="B485" s="7">
        <v>0</v>
      </c>
      <c r="C485" s="18">
        <v>1</v>
      </c>
      <c r="I485" s="9">
        <v>5000</v>
      </c>
      <c r="K485" s="9">
        <v>-4166.6666670000004</v>
      </c>
    </row>
    <row r="486" spans="2:11" x14ac:dyDescent="0.3">
      <c r="B486" s="9">
        <v>20000</v>
      </c>
      <c r="C486" s="22">
        <v>1</v>
      </c>
      <c r="I486" s="7">
        <v>5000</v>
      </c>
      <c r="K486" s="9">
        <v>15000</v>
      </c>
    </row>
    <row r="487" spans="2:11" x14ac:dyDescent="0.3">
      <c r="B487" s="7">
        <v>50000</v>
      </c>
      <c r="C487" s="18">
        <v>1</v>
      </c>
      <c r="I487" s="9">
        <v>6666.6666670000004</v>
      </c>
      <c r="K487" s="7">
        <v>75000</v>
      </c>
    </row>
    <row r="488" spans="2:11" x14ac:dyDescent="0.3">
      <c r="B488" s="9">
        <v>40000</v>
      </c>
      <c r="C488" s="22">
        <v>1</v>
      </c>
      <c r="I488" s="7">
        <v>83333.333329999994</v>
      </c>
      <c r="K488" s="9">
        <v>-12500</v>
      </c>
    </row>
    <row r="489" spans="2:11" x14ac:dyDescent="0.3">
      <c r="B489" s="7">
        <v>83333.333329999994</v>
      </c>
      <c r="C489" s="18">
        <v>1</v>
      </c>
      <c r="I489" s="9">
        <v>113636.3636</v>
      </c>
      <c r="K489" s="9">
        <v>-5000</v>
      </c>
    </row>
    <row r="490" spans="2:11" x14ac:dyDescent="0.3">
      <c r="B490" s="9">
        <v>20000</v>
      </c>
      <c r="C490" s="22">
        <v>1</v>
      </c>
      <c r="I490" s="7">
        <v>100000</v>
      </c>
      <c r="K490" s="7">
        <v>-5000</v>
      </c>
    </row>
    <row r="491" spans="2:11" x14ac:dyDescent="0.3">
      <c r="B491" s="7">
        <v>3278.688525</v>
      </c>
      <c r="C491" s="18">
        <v>1</v>
      </c>
      <c r="I491" s="9">
        <v>125000</v>
      </c>
      <c r="K491" s="9">
        <v>-62500</v>
      </c>
    </row>
    <row r="492" spans="2:11" x14ac:dyDescent="0.3">
      <c r="B492" s="9">
        <v>83333.333329999994</v>
      </c>
      <c r="C492" s="22">
        <v>1</v>
      </c>
      <c r="I492" s="7">
        <v>5607.4766360000003</v>
      </c>
      <c r="K492" s="7">
        <v>4761.9047620000001</v>
      </c>
    </row>
    <row r="493" spans="2:11" x14ac:dyDescent="0.3">
      <c r="B493" s="7">
        <v>16666.666669999999</v>
      </c>
      <c r="C493" s="18">
        <v>1</v>
      </c>
      <c r="I493" s="9">
        <v>-2000</v>
      </c>
      <c r="K493" s="9">
        <v>-8064.5161289999996</v>
      </c>
    </row>
    <row r="494" spans="2:11" x14ac:dyDescent="0.3">
      <c r="B494" s="9">
        <v>66666.666670000006</v>
      </c>
      <c r="C494" s="22">
        <v>1</v>
      </c>
      <c r="I494" s="9">
        <v>4761.9047620000001</v>
      </c>
      <c r="K494" s="7">
        <v>8333.3333330000005</v>
      </c>
    </row>
    <row r="495" spans="2:11" x14ac:dyDescent="0.3">
      <c r="B495" s="7">
        <v>31250</v>
      </c>
      <c r="C495" s="18">
        <v>1</v>
      </c>
      <c r="I495" s="9">
        <v>12500</v>
      </c>
      <c r="K495" s="9">
        <v>-6521.7391299999999</v>
      </c>
    </row>
    <row r="496" spans="2:11" x14ac:dyDescent="0.3">
      <c r="B496" s="9">
        <v>97087.378639999995</v>
      </c>
      <c r="C496" s="22">
        <v>1</v>
      </c>
      <c r="I496" s="7">
        <v>6000</v>
      </c>
      <c r="K496" s="9">
        <v>66666.666670000006</v>
      </c>
    </row>
    <row r="497" spans="2:11" x14ac:dyDescent="0.3">
      <c r="B497" s="7">
        <v>30000</v>
      </c>
      <c r="C497" s="18">
        <v>1</v>
      </c>
      <c r="I497" s="9">
        <v>20000</v>
      </c>
      <c r="K497" s="7">
        <v>4000</v>
      </c>
    </row>
    <row r="498" spans="2:11" x14ac:dyDescent="0.3">
      <c r="B498" s="9">
        <v>38000</v>
      </c>
      <c r="C498" s="22">
        <v>1</v>
      </c>
      <c r="I498" s="7">
        <v>12605.042020000001</v>
      </c>
      <c r="K498" s="9">
        <v>-11904.7619</v>
      </c>
    </row>
    <row r="499" spans="2:11" x14ac:dyDescent="0.3">
      <c r="B499" s="7">
        <v>150000</v>
      </c>
      <c r="C499" s="18">
        <v>1</v>
      </c>
      <c r="I499" s="9">
        <v>16666.666669999999</v>
      </c>
      <c r="K499" s="7">
        <v>33333.333330000001</v>
      </c>
    </row>
    <row r="500" spans="2:11" x14ac:dyDescent="0.3">
      <c r="B500" s="9">
        <v>93750</v>
      </c>
      <c r="C500" s="22">
        <v>1</v>
      </c>
      <c r="I500" s="7">
        <v>8695.6521740000007</v>
      </c>
      <c r="K500" s="9">
        <v>10000</v>
      </c>
    </row>
    <row r="501" spans="2:11" x14ac:dyDescent="0.3">
      <c r="B501" s="7">
        <v>150000</v>
      </c>
      <c r="C501" s="18">
        <v>1</v>
      </c>
      <c r="I501" s="9">
        <v>83333.333329999994</v>
      </c>
      <c r="K501" s="9">
        <v>100000</v>
      </c>
    </row>
    <row r="502" spans="2:11" x14ac:dyDescent="0.3">
      <c r="B502" s="9">
        <v>40000</v>
      </c>
      <c r="C502" s="22">
        <v>1</v>
      </c>
      <c r="I502" s="7">
        <v>100000</v>
      </c>
      <c r="K502" s="7">
        <v>50000</v>
      </c>
    </row>
    <row r="503" spans="2:11" x14ac:dyDescent="0.3">
      <c r="B503" s="7">
        <v>0</v>
      </c>
      <c r="C503" s="18">
        <v>1</v>
      </c>
      <c r="I503" s="9">
        <v>10000</v>
      </c>
      <c r="K503" s="9">
        <v>66666.666670000006</v>
      </c>
    </row>
    <row r="504" spans="2:11" x14ac:dyDescent="0.3">
      <c r="B504" s="9">
        <v>93750</v>
      </c>
      <c r="C504" s="22">
        <v>1</v>
      </c>
      <c r="I504" s="7">
        <v>83333.333329999994</v>
      </c>
      <c r="K504" s="9">
        <v>136363.63639999999</v>
      </c>
    </row>
    <row r="505" spans="2:11" x14ac:dyDescent="0.3">
      <c r="B505" s="7">
        <v>42857.14286</v>
      </c>
      <c r="C505" s="18">
        <v>1</v>
      </c>
      <c r="I505" s="9">
        <v>100000</v>
      </c>
      <c r="K505" s="7">
        <v>100000</v>
      </c>
    </row>
    <row r="506" spans="2:11" x14ac:dyDescent="0.3">
      <c r="B506" s="9">
        <v>5000</v>
      </c>
      <c r="C506" s="22">
        <v>0</v>
      </c>
      <c r="I506" s="25">
        <v>100000</v>
      </c>
      <c r="K506" s="26">
        <v>136363.63639999999</v>
      </c>
    </row>
    <row r="507" spans="2:11" x14ac:dyDescent="0.3">
      <c r="B507" s="7">
        <v>12500</v>
      </c>
      <c r="C507" s="18">
        <v>1</v>
      </c>
      <c r="I507" s="9">
        <v>5000</v>
      </c>
      <c r="K507" s="7">
        <v>100000</v>
      </c>
    </row>
    <row r="508" spans="2:11" x14ac:dyDescent="0.3">
      <c r="B508" s="9">
        <v>40000</v>
      </c>
      <c r="C508" s="22">
        <v>1</v>
      </c>
      <c r="I508" s="7">
        <v>9500</v>
      </c>
      <c r="K508" s="9">
        <v>25000</v>
      </c>
    </row>
    <row r="509" spans="2:11" x14ac:dyDescent="0.3">
      <c r="B509" s="7">
        <v>12500</v>
      </c>
      <c r="C509" s="18">
        <v>1</v>
      </c>
      <c r="I509" s="7">
        <v>16666.666669999999</v>
      </c>
      <c r="K509" s="7">
        <v>83333.333329999994</v>
      </c>
    </row>
    <row r="510" spans="2:11" x14ac:dyDescent="0.3">
      <c r="B510" s="9">
        <v>10000</v>
      </c>
      <c r="C510" s="22">
        <v>1</v>
      </c>
      <c r="I510" s="9">
        <v>9302.3255809999991</v>
      </c>
      <c r="K510" s="9">
        <v>36904.761899999998</v>
      </c>
    </row>
    <row r="511" spans="2:11" x14ac:dyDescent="0.3">
      <c r="B511" s="7">
        <v>40909.090909999999</v>
      </c>
      <c r="C511" s="18">
        <v>1</v>
      </c>
      <c r="I511" s="7">
        <v>20454.545450000001</v>
      </c>
      <c r="K511" s="7">
        <v>100000</v>
      </c>
    </row>
    <row r="512" spans="2:11" x14ac:dyDescent="0.3">
      <c r="B512" s="9">
        <v>2500</v>
      </c>
      <c r="C512" s="22">
        <v>1</v>
      </c>
      <c r="I512" s="9">
        <v>2500</v>
      </c>
      <c r="K512" s="9">
        <v>40000</v>
      </c>
    </row>
    <row r="513" spans="2:11" x14ac:dyDescent="0.3">
      <c r="B513" s="7">
        <v>-16666.666669999999</v>
      </c>
      <c r="C513" s="18">
        <v>1</v>
      </c>
      <c r="I513" s="7">
        <v>2500</v>
      </c>
      <c r="K513" s="7">
        <v>75000</v>
      </c>
    </row>
    <row r="514" spans="2:11" x14ac:dyDescent="0.3">
      <c r="B514" s="9">
        <v>70000</v>
      </c>
      <c r="C514" s="22">
        <v>1</v>
      </c>
      <c r="I514" s="9">
        <v>-6349.206349</v>
      </c>
      <c r="K514" s="9">
        <v>70093.457939999993</v>
      </c>
    </row>
    <row r="515" spans="2:11" x14ac:dyDescent="0.3">
      <c r="B515" s="7">
        <v>60096.153850000002</v>
      </c>
      <c r="C515" s="18">
        <v>1</v>
      </c>
      <c r="I515" s="7">
        <v>30000</v>
      </c>
      <c r="K515" s="7">
        <v>15000</v>
      </c>
    </row>
    <row r="516" spans="2:11" x14ac:dyDescent="0.3">
      <c r="B516" s="9">
        <v>-4166.6666670000004</v>
      </c>
      <c r="C516" s="22">
        <v>1</v>
      </c>
      <c r="I516" s="7">
        <v>4739.3364929999998</v>
      </c>
      <c r="K516" s="9">
        <v>83333.333329999994</v>
      </c>
    </row>
    <row r="517" spans="2:11" x14ac:dyDescent="0.3">
      <c r="B517" s="7">
        <v>75000</v>
      </c>
      <c r="C517" s="18">
        <v>0</v>
      </c>
      <c r="I517" s="26">
        <v>9302.3255809999991</v>
      </c>
      <c r="K517" s="25">
        <v>50000</v>
      </c>
    </row>
    <row r="518" spans="2:11" x14ac:dyDescent="0.3">
      <c r="B518" s="9">
        <v>100000</v>
      </c>
      <c r="C518" s="22">
        <v>1</v>
      </c>
      <c r="I518" s="9">
        <v>12000</v>
      </c>
      <c r="K518" s="9">
        <v>50000</v>
      </c>
    </row>
    <row r="519" spans="2:11" x14ac:dyDescent="0.3">
      <c r="B519" s="7">
        <v>31250</v>
      </c>
      <c r="C519" s="18">
        <v>1</v>
      </c>
      <c r="I519" s="7">
        <v>6666.6666670000004</v>
      </c>
      <c r="K519" s="7">
        <v>150000</v>
      </c>
    </row>
    <row r="520" spans="2:11" x14ac:dyDescent="0.3">
      <c r="B520" s="9">
        <v>20000</v>
      </c>
      <c r="C520" s="22">
        <v>1</v>
      </c>
      <c r="I520" s="7">
        <v>5000</v>
      </c>
      <c r="K520" s="9">
        <v>100000</v>
      </c>
    </row>
    <row r="521" spans="2:11" x14ac:dyDescent="0.3">
      <c r="B521" s="7">
        <v>90909.090909999999</v>
      </c>
      <c r="C521" s="18">
        <v>1</v>
      </c>
      <c r="I521" s="7">
        <v>4000</v>
      </c>
      <c r="K521" s="7">
        <v>100000</v>
      </c>
    </row>
    <row r="522" spans="2:11" x14ac:dyDescent="0.3">
      <c r="B522" s="9">
        <v>25000</v>
      </c>
      <c r="C522" s="22">
        <v>1</v>
      </c>
      <c r="I522" s="9">
        <v>100000</v>
      </c>
      <c r="K522" s="9">
        <v>68493.150680000006</v>
      </c>
    </row>
    <row r="523" spans="2:11" x14ac:dyDescent="0.3">
      <c r="B523" s="7">
        <v>40000</v>
      </c>
      <c r="C523" s="18">
        <v>1</v>
      </c>
      <c r="I523" s="7">
        <v>99264.705879999994</v>
      </c>
      <c r="K523" s="7">
        <v>100000</v>
      </c>
    </row>
    <row r="524" spans="2:11" x14ac:dyDescent="0.3">
      <c r="B524" s="9">
        <v>40000</v>
      </c>
      <c r="C524" s="22">
        <v>1</v>
      </c>
      <c r="I524" s="7">
        <v>3387.0967740000001</v>
      </c>
      <c r="K524" s="9">
        <v>136363.63639999999</v>
      </c>
    </row>
    <row r="525" spans="2:11" x14ac:dyDescent="0.3">
      <c r="B525" s="7">
        <v>32573.2899</v>
      </c>
      <c r="C525" s="18">
        <v>1</v>
      </c>
      <c r="I525" s="9">
        <v>6250</v>
      </c>
      <c r="K525" s="9">
        <v>3750</v>
      </c>
    </row>
    <row r="526" spans="2:11" x14ac:dyDescent="0.3">
      <c r="B526" s="9">
        <v>100000</v>
      </c>
      <c r="C526" s="22">
        <v>0</v>
      </c>
      <c r="I526" s="25">
        <v>40000</v>
      </c>
      <c r="K526" s="25">
        <v>25000</v>
      </c>
    </row>
    <row r="527" spans="2:11" x14ac:dyDescent="0.3">
      <c r="B527" s="7">
        <v>45731.707320000001</v>
      </c>
      <c r="C527" s="18">
        <v>1</v>
      </c>
      <c r="I527" s="9">
        <v>31250</v>
      </c>
      <c r="K527" s="9">
        <v>7500</v>
      </c>
    </row>
    <row r="528" spans="2:11" x14ac:dyDescent="0.3">
      <c r="B528" s="9">
        <v>0</v>
      </c>
      <c r="C528" s="22">
        <v>1</v>
      </c>
      <c r="I528" s="7">
        <v>150000</v>
      </c>
      <c r="K528" s="7">
        <v>15000</v>
      </c>
    </row>
    <row r="529" spans="2:9" x14ac:dyDescent="0.3">
      <c r="B529" s="7">
        <v>5000</v>
      </c>
      <c r="C529" s="18">
        <v>1</v>
      </c>
      <c r="I529" s="9">
        <v>75000</v>
      </c>
    </row>
    <row r="530" spans="2:9" x14ac:dyDescent="0.3">
      <c r="B530" s="9">
        <v>17857.14286</v>
      </c>
      <c r="C530" s="22">
        <v>1</v>
      </c>
      <c r="I530" s="7">
        <v>155000</v>
      </c>
    </row>
    <row r="531" spans="2:9" x14ac:dyDescent="0.3">
      <c r="B531" s="7">
        <v>6250</v>
      </c>
      <c r="C531" s="18">
        <v>1</v>
      </c>
      <c r="I531" s="9">
        <v>87719.298250000007</v>
      </c>
    </row>
    <row r="532" spans="2:9" x14ac:dyDescent="0.3">
      <c r="B532" s="9">
        <v>25000</v>
      </c>
      <c r="C532" s="22">
        <v>0</v>
      </c>
      <c r="I532" s="25">
        <v>50000</v>
      </c>
    </row>
    <row r="533" spans="2:9" x14ac:dyDescent="0.3">
      <c r="B533" s="7">
        <v>1000</v>
      </c>
      <c r="C533" s="18">
        <v>0</v>
      </c>
      <c r="I533" s="26">
        <v>118181.81819999999</v>
      </c>
    </row>
    <row r="534" spans="2:9" x14ac:dyDescent="0.3">
      <c r="B534" s="9">
        <v>16666.666669999999</v>
      </c>
      <c r="C534" s="22">
        <v>0</v>
      </c>
      <c r="I534" s="25">
        <v>60000</v>
      </c>
    </row>
    <row r="535" spans="2:9" x14ac:dyDescent="0.3">
      <c r="B535" s="7">
        <v>2500</v>
      </c>
      <c r="C535" s="18">
        <v>0</v>
      </c>
      <c r="I535" s="26">
        <v>63025.210079999997</v>
      </c>
    </row>
    <row r="536" spans="2:9" x14ac:dyDescent="0.3">
      <c r="B536" s="9">
        <v>5000</v>
      </c>
      <c r="C536" s="22">
        <v>0</v>
      </c>
      <c r="I536" s="25">
        <v>31250</v>
      </c>
    </row>
    <row r="537" spans="2:9" x14ac:dyDescent="0.3">
      <c r="B537" s="7">
        <v>6000</v>
      </c>
      <c r="C537" s="18">
        <v>0</v>
      </c>
      <c r="I537" s="25">
        <v>0</v>
      </c>
    </row>
    <row r="538" spans="2:9" x14ac:dyDescent="0.3">
      <c r="B538" s="9">
        <v>5000</v>
      </c>
      <c r="C538" s="22">
        <v>0</v>
      </c>
      <c r="I538" s="25">
        <v>37590.909090000001</v>
      </c>
    </row>
    <row r="539" spans="2:9" x14ac:dyDescent="0.3">
      <c r="B539" s="7">
        <v>10000</v>
      </c>
      <c r="C539" s="18">
        <v>0</v>
      </c>
      <c r="I539" s="26">
        <v>-62500</v>
      </c>
    </row>
    <row r="540" spans="2:9" x14ac:dyDescent="0.3">
      <c r="B540" s="9">
        <v>0</v>
      </c>
      <c r="C540" s="22">
        <v>1</v>
      </c>
      <c r="I540" s="7">
        <v>100000</v>
      </c>
    </row>
    <row r="541" spans="2:9" x14ac:dyDescent="0.3">
      <c r="B541" s="7">
        <v>20000</v>
      </c>
      <c r="C541" s="18">
        <v>1</v>
      </c>
      <c r="I541" s="9">
        <v>114000</v>
      </c>
    </row>
    <row r="542" spans="2:9" x14ac:dyDescent="0.3">
      <c r="B542" s="9">
        <v>41666.666669999999</v>
      </c>
      <c r="C542" s="22">
        <v>0</v>
      </c>
      <c r="I542" s="25">
        <v>150000</v>
      </c>
    </row>
    <row r="543" spans="2:9" x14ac:dyDescent="0.3">
      <c r="B543" s="7">
        <v>3759.3984959999998</v>
      </c>
      <c r="C543" s="18">
        <v>1</v>
      </c>
      <c r="I543" s="9">
        <v>83333.333329999994</v>
      </c>
    </row>
    <row r="544" spans="2:9" x14ac:dyDescent="0.3">
      <c r="B544" s="9">
        <v>-40000</v>
      </c>
      <c r="C544" s="22">
        <v>1</v>
      </c>
      <c r="I544" s="7">
        <v>46875</v>
      </c>
    </row>
    <row r="545" spans="2:9" x14ac:dyDescent="0.3">
      <c r="B545" s="7">
        <v>4545.4545449999996</v>
      </c>
      <c r="C545" s="18">
        <v>1</v>
      </c>
      <c r="I545" s="9">
        <v>6250</v>
      </c>
    </row>
    <row r="546" spans="2:9" x14ac:dyDescent="0.3">
      <c r="B546" s="9">
        <v>5000</v>
      </c>
      <c r="C546" s="22">
        <v>1</v>
      </c>
      <c r="I546" s="7">
        <v>6250</v>
      </c>
    </row>
    <row r="547" spans="2:9" x14ac:dyDescent="0.3">
      <c r="B547" s="7">
        <v>4000</v>
      </c>
      <c r="C547" s="18">
        <v>0</v>
      </c>
      <c r="I547" s="26">
        <v>4285.7142860000004</v>
      </c>
    </row>
    <row r="548" spans="2:9" x14ac:dyDescent="0.3">
      <c r="B548" s="9">
        <v>20000</v>
      </c>
      <c r="C548" s="22">
        <v>1</v>
      </c>
      <c r="I548" s="7">
        <v>9708.7378640000006</v>
      </c>
    </row>
    <row r="549" spans="2:9" x14ac:dyDescent="0.3">
      <c r="B549" s="7">
        <v>18181.818179999998</v>
      </c>
      <c r="C549" s="18">
        <v>1</v>
      </c>
      <c r="I549" s="9">
        <v>6000</v>
      </c>
    </row>
    <row r="550" spans="2:9" x14ac:dyDescent="0.3">
      <c r="B550" s="9">
        <v>4545.4545449999996</v>
      </c>
      <c r="C550" s="22">
        <v>1</v>
      </c>
      <c r="I550" s="7">
        <v>7075.4716980000003</v>
      </c>
    </row>
    <row r="551" spans="2:9" x14ac:dyDescent="0.3">
      <c r="B551" s="7">
        <v>4545.4545449999996</v>
      </c>
      <c r="C551" s="18">
        <v>0</v>
      </c>
      <c r="I551" s="26">
        <v>3333.333333</v>
      </c>
    </row>
    <row r="552" spans="2:9" x14ac:dyDescent="0.3">
      <c r="B552" s="9">
        <v>23364.485980000001</v>
      </c>
      <c r="C552" s="22">
        <v>1</v>
      </c>
      <c r="I552" s="7">
        <v>5882.3529410000001</v>
      </c>
    </row>
    <row r="553" spans="2:9" x14ac:dyDescent="0.3">
      <c r="B553" s="7">
        <v>6887.052342</v>
      </c>
      <c r="C553" s="18">
        <v>1</v>
      </c>
      <c r="I553" s="9">
        <v>4201.6806720000004</v>
      </c>
    </row>
    <row r="554" spans="2:9" x14ac:dyDescent="0.3">
      <c r="B554" s="9">
        <v>5000</v>
      </c>
      <c r="C554" s="22">
        <v>1</v>
      </c>
      <c r="I554" s="7">
        <v>25000</v>
      </c>
    </row>
    <row r="555" spans="2:9" x14ac:dyDescent="0.3">
      <c r="B555" s="7">
        <v>-3571.4285709999999</v>
      </c>
      <c r="C555" s="18">
        <v>0</v>
      </c>
      <c r="I555" s="26">
        <v>7500</v>
      </c>
    </row>
    <row r="556" spans="2:9" x14ac:dyDescent="0.3">
      <c r="B556" s="9">
        <v>-9523.8095240000002</v>
      </c>
      <c r="C556" s="22">
        <v>1</v>
      </c>
      <c r="I556" s="9">
        <v>155172.41380000001</v>
      </c>
    </row>
    <row r="557" spans="2:9" x14ac:dyDescent="0.3">
      <c r="B557" s="7">
        <v>7142.8571430000002</v>
      </c>
      <c r="C557" s="18">
        <v>0</v>
      </c>
      <c r="I557" s="26">
        <v>15000</v>
      </c>
    </row>
    <row r="558" spans="2:9" x14ac:dyDescent="0.3">
      <c r="B558" s="9">
        <v>1875</v>
      </c>
      <c r="C558" s="22">
        <v>1</v>
      </c>
      <c r="I558" s="7">
        <v>13636.36364</v>
      </c>
    </row>
    <row r="559" spans="2:9" x14ac:dyDescent="0.3">
      <c r="B559" s="7">
        <v>11363.63636</v>
      </c>
      <c r="C559" s="18">
        <v>1</v>
      </c>
      <c r="I559" s="9">
        <v>16666.666669999999</v>
      </c>
    </row>
    <row r="560" spans="2:9" x14ac:dyDescent="0.3">
      <c r="B560" s="9">
        <v>55000</v>
      </c>
      <c r="C560" s="22">
        <v>0</v>
      </c>
      <c r="I560" s="25">
        <v>5882.3529410000001</v>
      </c>
    </row>
    <row r="561" spans="2:9" x14ac:dyDescent="0.3">
      <c r="B561" s="7">
        <v>4000</v>
      </c>
      <c r="C561" s="18">
        <v>0</v>
      </c>
      <c r="I561" s="26">
        <v>2500</v>
      </c>
    </row>
    <row r="562" spans="2:9" x14ac:dyDescent="0.3">
      <c r="B562" s="9">
        <v>10000</v>
      </c>
      <c r="C562" s="22">
        <v>1</v>
      </c>
      <c r="I562" s="7">
        <v>12500</v>
      </c>
    </row>
    <row r="563" spans="2:9" x14ac:dyDescent="0.3">
      <c r="B563" s="7">
        <v>11904.7619</v>
      </c>
      <c r="C563" s="18">
        <v>1</v>
      </c>
      <c r="I563" s="9">
        <v>143884.8921</v>
      </c>
    </row>
    <row r="564" spans="2:9" x14ac:dyDescent="0.3">
      <c r="B564" s="9">
        <v>-4166.6666670000004</v>
      </c>
      <c r="C564" s="22">
        <v>1</v>
      </c>
      <c r="I564" s="7">
        <v>40909.090909999999</v>
      </c>
    </row>
    <row r="565" spans="2:9" x14ac:dyDescent="0.3">
      <c r="B565" s="7">
        <v>-3333.333333</v>
      </c>
      <c r="C565" s="18">
        <v>1</v>
      </c>
      <c r="I565" s="9">
        <v>42307.692309999999</v>
      </c>
    </row>
    <row r="566" spans="2:9" x14ac:dyDescent="0.3">
      <c r="B566" s="9">
        <v>-3478.2608700000001</v>
      </c>
      <c r="C566" s="22">
        <v>1</v>
      </c>
      <c r="I566" s="7">
        <v>18333.333330000001</v>
      </c>
    </row>
    <row r="567" spans="2:9" x14ac:dyDescent="0.3">
      <c r="B567" s="7">
        <v>0</v>
      </c>
      <c r="C567" s="18">
        <v>1</v>
      </c>
      <c r="I567" s="9">
        <v>125000</v>
      </c>
    </row>
    <row r="568" spans="2:9" x14ac:dyDescent="0.3">
      <c r="B568" s="9">
        <v>13636.36364</v>
      </c>
      <c r="C568" s="22">
        <v>0</v>
      </c>
      <c r="I568" s="25">
        <v>35714.285709999996</v>
      </c>
    </row>
    <row r="569" spans="2:9" x14ac:dyDescent="0.3">
      <c r="B569" s="7">
        <v>4285.7142860000004</v>
      </c>
      <c r="C569" s="18">
        <v>1</v>
      </c>
      <c r="I569" s="7">
        <v>-5000</v>
      </c>
    </row>
    <row r="570" spans="2:9" x14ac:dyDescent="0.3">
      <c r="B570" s="9">
        <v>-25000</v>
      </c>
      <c r="C570" s="22">
        <v>1</v>
      </c>
      <c r="I570" s="7">
        <v>66666.666670000006</v>
      </c>
    </row>
    <row r="571" spans="2:9" x14ac:dyDescent="0.3">
      <c r="B571" s="7">
        <v>6818.181818</v>
      </c>
      <c r="C571" s="18">
        <v>1</v>
      </c>
      <c r="I571" s="7">
        <v>34615.384619999997</v>
      </c>
    </row>
    <row r="572" spans="2:9" x14ac:dyDescent="0.3">
      <c r="B572" s="9">
        <v>4716.9811319999999</v>
      </c>
      <c r="C572" s="22">
        <v>1</v>
      </c>
      <c r="I572" s="7">
        <v>82857.142860000007</v>
      </c>
    </row>
    <row r="573" spans="2:9" x14ac:dyDescent="0.3">
      <c r="B573" s="7">
        <v>-43478.260869999998</v>
      </c>
      <c r="C573" s="18">
        <v>0</v>
      </c>
      <c r="I573" s="26">
        <v>145000</v>
      </c>
    </row>
    <row r="574" spans="2:9" x14ac:dyDescent="0.3">
      <c r="B574" s="9">
        <v>12500</v>
      </c>
      <c r="C574" s="22">
        <v>0</v>
      </c>
      <c r="I574" s="25">
        <v>100000</v>
      </c>
    </row>
    <row r="575" spans="2:9" x14ac:dyDescent="0.3">
      <c r="B575" s="7">
        <v>1886.792453</v>
      </c>
      <c r="C575" s="18">
        <v>0</v>
      </c>
      <c r="I575" s="25">
        <v>-5714.2857139999996</v>
      </c>
    </row>
    <row r="576" spans="2:9" x14ac:dyDescent="0.3">
      <c r="B576" s="9">
        <v>-30000</v>
      </c>
      <c r="C576" s="22">
        <v>0</v>
      </c>
      <c r="I576" s="26">
        <v>111111.11109999999</v>
      </c>
    </row>
    <row r="577" spans="2:11" x14ac:dyDescent="0.3">
      <c r="B577" s="7">
        <v>31818.181820000002</v>
      </c>
      <c r="C577" s="18">
        <v>1</v>
      </c>
      <c r="I577" s="7">
        <v>95000</v>
      </c>
    </row>
    <row r="578" spans="2:11" x14ac:dyDescent="0.3">
      <c r="B578" s="9">
        <v>10000</v>
      </c>
      <c r="C578" s="22">
        <v>0</v>
      </c>
      <c r="I578" s="26">
        <v>100000</v>
      </c>
    </row>
    <row r="579" spans="2:11" x14ac:dyDescent="0.3">
      <c r="B579" s="7">
        <v>45454.545449999998</v>
      </c>
      <c r="C579" s="18">
        <v>1</v>
      </c>
      <c r="I579" s="7">
        <v>5000</v>
      </c>
    </row>
    <row r="580" spans="2:11" x14ac:dyDescent="0.3">
      <c r="B580" s="9">
        <v>18181.818179999998</v>
      </c>
      <c r="C580" s="22">
        <v>0</v>
      </c>
      <c r="I580" s="26">
        <v>-40000</v>
      </c>
    </row>
    <row r="581" spans="2:11" x14ac:dyDescent="0.3">
      <c r="B581" s="7">
        <v>9375</v>
      </c>
      <c r="C581" s="18">
        <v>0</v>
      </c>
      <c r="I581" s="25">
        <v>30000</v>
      </c>
    </row>
    <row r="582" spans="2:11" x14ac:dyDescent="0.3">
      <c r="B582" s="9">
        <v>5000</v>
      </c>
      <c r="C582" s="22">
        <v>0</v>
      </c>
    </row>
    <row r="583" spans="2:11" x14ac:dyDescent="0.3">
      <c r="B583" s="7">
        <v>36496.350359999997</v>
      </c>
      <c r="C583" s="18">
        <v>1</v>
      </c>
      <c r="H583" t="s">
        <v>85</v>
      </c>
      <c r="I583">
        <f>SMALL(I4:I581,1)</f>
        <v>-79646.017699999997</v>
      </c>
      <c r="K583">
        <f>SMALL(K4:K528,1)</f>
        <v>-62500</v>
      </c>
    </row>
    <row r="584" spans="2:11" x14ac:dyDescent="0.3">
      <c r="B584" s="9">
        <v>21645.021649999999</v>
      </c>
      <c r="C584" s="22">
        <v>0</v>
      </c>
    </row>
    <row r="585" spans="2:11" x14ac:dyDescent="0.3">
      <c r="B585" s="7">
        <v>10000</v>
      </c>
      <c r="C585" s="18">
        <v>0</v>
      </c>
      <c r="H585" t="s">
        <v>86</v>
      </c>
      <c r="I585">
        <f>LARGE(I4:I581,1)</f>
        <v>155172.41380000001</v>
      </c>
      <c r="K585">
        <f>LARGE(K4:K528,1)</f>
        <v>153846.1538</v>
      </c>
    </row>
    <row r="586" spans="2:11" x14ac:dyDescent="0.3">
      <c r="B586" s="9">
        <v>11627.90698</v>
      </c>
      <c r="C586" s="22">
        <v>0</v>
      </c>
    </row>
    <row r="587" spans="2:11" x14ac:dyDescent="0.3">
      <c r="B587" s="7">
        <v>45454.545449999998</v>
      </c>
      <c r="C587" s="18">
        <v>0</v>
      </c>
    </row>
    <row r="588" spans="2:11" x14ac:dyDescent="0.3">
      <c r="B588" s="9">
        <v>16129.03226</v>
      </c>
      <c r="C588" s="22">
        <v>0</v>
      </c>
    </row>
    <row r="589" spans="2:11" x14ac:dyDescent="0.3">
      <c r="B589" s="7">
        <v>11904.7619</v>
      </c>
      <c r="C589" s="18">
        <v>0</v>
      </c>
    </row>
    <row r="590" spans="2:11" x14ac:dyDescent="0.3">
      <c r="B590" s="9">
        <v>16129.03226</v>
      </c>
      <c r="C590" s="22">
        <v>0</v>
      </c>
    </row>
    <row r="591" spans="2:11" x14ac:dyDescent="0.3">
      <c r="B591" s="7">
        <v>6666.6666670000004</v>
      </c>
      <c r="C591" s="18">
        <v>0</v>
      </c>
    </row>
    <row r="592" spans="2:11" x14ac:dyDescent="0.3">
      <c r="B592" s="9">
        <v>10000</v>
      </c>
      <c r="C592" s="22">
        <v>0</v>
      </c>
    </row>
    <row r="593" spans="2:3" x14ac:dyDescent="0.3">
      <c r="B593" s="7">
        <v>39682.539680000002</v>
      </c>
      <c r="C593" s="18">
        <v>0</v>
      </c>
    </row>
    <row r="594" spans="2:3" x14ac:dyDescent="0.3">
      <c r="B594" s="9">
        <v>15151.515149999999</v>
      </c>
      <c r="C594" s="22">
        <v>0</v>
      </c>
    </row>
    <row r="595" spans="2:3" x14ac:dyDescent="0.3">
      <c r="B595" s="7">
        <v>50000</v>
      </c>
      <c r="C595" s="18">
        <v>0</v>
      </c>
    </row>
    <row r="596" spans="2:3" x14ac:dyDescent="0.3">
      <c r="B596" s="9">
        <v>6250</v>
      </c>
      <c r="C596" s="22">
        <v>0</v>
      </c>
    </row>
    <row r="597" spans="2:3" x14ac:dyDescent="0.3">
      <c r="B597" s="7">
        <v>16666.666669999999</v>
      </c>
      <c r="C597" s="18">
        <v>0</v>
      </c>
    </row>
    <row r="598" spans="2:3" x14ac:dyDescent="0.3">
      <c r="B598" s="9">
        <v>5000</v>
      </c>
      <c r="C598" s="22">
        <v>1</v>
      </c>
    </row>
    <row r="599" spans="2:3" x14ac:dyDescent="0.3">
      <c r="B599" s="7">
        <v>9416.1958570000006</v>
      </c>
      <c r="C599" s="18">
        <v>0</v>
      </c>
    </row>
    <row r="600" spans="2:3" x14ac:dyDescent="0.3">
      <c r="B600" s="9">
        <v>12500</v>
      </c>
      <c r="C600" s="22">
        <v>0</v>
      </c>
    </row>
    <row r="601" spans="2:3" x14ac:dyDescent="0.3">
      <c r="B601" s="7">
        <v>8333.3333330000005</v>
      </c>
      <c r="C601" s="18">
        <v>0</v>
      </c>
    </row>
    <row r="602" spans="2:3" x14ac:dyDescent="0.3">
      <c r="B602" s="9">
        <v>38461.538460000003</v>
      </c>
      <c r="C602" s="22">
        <v>1</v>
      </c>
    </row>
    <row r="603" spans="2:3" x14ac:dyDescent="0.3">
      <c r="B603" s="7">
        <v>15000</v>
      </c>
      <c r="C603" s="18">
        <v>1</v>
      </c>
    </row>
    <row r="604" spans="2:3" x14ac:dyDescent="0.3">
      <c r="B604" s="9">
        <v>16129.03226</v>
      </c>
      <c r="C604" s="22">
        <v>1</v>
      </c>
    </row>
    <row r="605" spans="2:3" x14ac:dyDescent="0.3">
      <c r="B605" s="7">
        <v>6000</v>
      </c>
      <c r="C605" s="18">
        <v>0</v>
      </c>
    </row>
    <row r="606" spans="2:3" x14ac:dyDescent="0.3">
      <c r="B606" s="9">
        <v>9803.9215690000001</v>
      </c>
      <c r="C606" s="22">
        <v>0</v>
      </c>
    </row>
    <row r="607" spans="2:3" x14ac:dyDescent="0.3">
      <c r="B607" s="7">
        <v>6451.6129030000002</v>
      </c>
      <c r="C607" s="18">
        <v>0</v>
      </c>
    </row>
    <row r="608" spans="2:3" x14ac:dyDescent="0.3">
      <c r="B608" s="9">
        <v>9118.5410329999995</v>
      </c>
      <c r="C608" s="22">
        <v>1</v>
      </c>
    </row>
    <row r="609" spans="2:3" x14ac:dyDescent="0.3">
      <c r="B609" s="7">
        <v>4178.2729810000001</v>
      </c>
      <c r="C609" s="18">
        <v>0</v>
      </c>
    </row>
    <row r="610" spans="2:3" x14ac:dyDescent="0.3">
      <c r="B610" s="9">
        <v>12500</v>
      </c>
      <c r="C610" s="22">
        <v>1</v>
      </c>
    </row>
    <row r="611" spans="2:3" x14ac:dyDescent="0.3">
      <c r="B611" s="7">
        <v>83333.333329999994</v>
      </c>
      <c r="C611" s="18">
        <v>1</v>
      </c>
    </row>
    <row r="612" spans="2:3" x14ac:dyDescent="0.3">
      <c r="B612" s="9">
        <v>41666.666669999999</v>
      </c>
      <c r="C612" s="22">
        <v>0</v>
      </c>
    </row>
    <row r="613" spans="2:3" x14ac:dyDescent="0.3">
      <c r="B613" s="7">
        <v>33333.333330000001</v>
      </c>
      <c r="C613" s="18">
        <v>0</v>
      </c>
    </row>
    <row r="614" spans="2:3" x14ac:dyDescent="0.3">
      <c r="B614" s="9">
        <v>22727.272730000001</v>
      </c>
      <c r="C614" s="22">
        <v>0</v>
      </c>
    </row>
    <row r="615" spans="2:3" x14ac:dyDescent="0.3">
      <c r="B615" s="7">
        <v>-11904.7619</v>
      </c>
      <c r="C615" s="18">
        <v>0</v>
      </c>
    </row>
    <row r="616" spans="2:3" x14ac:dyDescent="0.3">
      <c r="B616" s="9">
        <v>41666.666669999999</v>
      </c>
      <c r="C616" s="22">
        <v>0</v>
      </c>
    </row>
    <row r="617" spans="2:3" x14ac:dyDescent="0.3">
      <c r="B617" s="7">
        <v>10869.56522</v>
      </c>
      <c r="C617" s="18">
        <v>0</v>
      </c>
    </row>
    <row r="618" spans="2:3" x14ac:dyDescent="0.3">
      <c r="B618" s="9">
        <v>6250</v>
      </c>
      <c r="C618" s="22">
        <v>1</v>
      </c>
    </row>
    <row r="619" spans="2:3" x14ac:dyDescent="0.3">
      <c r="B619" s="7">
        <v>22727.272730000001</v>
      </c>
      <c r="C619" s="18">
        <v>0</v>
      </c>
    </row>
    <row r="620" spans="2:3" x14ac:dyDescent="0.3">
      <c r="B620" s="9">
        <v>15625</v>
      </c>
      <c r="C620" s="22">
        <v>1</v>
      </c>
    </row>
    <row r="621" spans="2:3" x14ac:dyDescent="0.3">
      <c r="B621" s="7">
        <v>6666.6666670000004</v>
      </c>
      <c r="C621" s="18">
        <v>1</v>
      </c>
    </row>
    <row r="622" spans="2:3" x14ac:dyDescent="0.3">
      <c r="B622" s="9">
        <v>14285.71429</v>
      </c>
      <c r="C622" s="22">
        <v>1</v>
      </c>
    </row>
    <row r="623" spans="2:3" x14ac:dyDescent="0.3">
      <c r="B623" s="7">
        <v>50000</v>
      </c>
      <c r="C623" s="18">
        <v>0</v>
      </c>
    </row>
    <row r="624" spans="2:3" x14ac:dyDescent="0.3">
      <c r="B624" s="9">
        <v>20000</v>
      </c>
      <c r="C624" s="22">
        <v>1</v>
      </c>
    </row>
    <row r="625" spans="2:3" x14ac:dyDescent="0.3">
      <c r="B625" s="7">
        <v>6993.006993</v>
      </c>
      <c r="C625" s="18">
        <v>0</v>
      </c>
    </row>
    <row r="626" spans="2:3" x14ac:dyDescent="0.3">
      <c r="B626" s="9">
        <v>4878.0487800000001</v>
      </c>
      <c r="C626" s="22">
        <v>0</v>
      </c>
    </row>
    <row r="627" spans="2:3" x14ac:dyDescent="0.3">
      <c r="B627" s="7">
        <v>16666.666669999999</v>
      </c>
      <c r="C627" s="18">
        <v>0</v>
      </c>
    </row>
    <row r="628" spans="2:3" x14ac:dyDescent="0.3">
      <c r="B628" s="9">
        <v>5952.3809520000004</v>
      </c>
      <c r="C628" s="22">
        <v>0</v>
      </c>
    </row>
    <row r="629" spans="2:3" x14ac:dyDescent="0.3">
      <c r="B629" s="7">
        <v>4166.6666670000004</v>
      </c>
      <c r="C629" s="18">
        <v>0</v>
      </c>
    </row>
    <row r="630" spans="2:3" x14ac:dyDescent="0.3">
      <c r="B630" s="9">
        <v>5970.1492539999999</v>
      </c>
      <c r="C630" s="22">
        <v>0</v>
      </c>
    </row>
    <row r="631" spans="2:3" x14ac:dyDescent="0.3">
      <c r="B631" s="7">
        <v>40000</v>
      </c>
      <c r="C631" s="18">
        <v>0</v>
      </c>
    </row>
    <row r="632" spans="2:3" x14ac:dyDescent="0.3">
      <c r="B632" s="9">
        <v>25000</v>
      </c>
      <c r="C632" s="22">
        <v>0</v>
      </c>
    </row>
    <row r="633" spans="2:3" x14ac:dyDescent="0.3">
      <c r="B633" s="7">
        <v>30000</v>
      </c>
      <c r="C633" s="18">
        <v>1</v>
      </c>
    </row>
    <row r="634" spans="2:3" x14ac:dyDescent="0.3">
      <c r="B634" s="9">
        <v>5714.2857139999996</v>
      </c>
      <c r="C634" s="22">
        <v>1</v>
      </c>
    </row>
    <row r="635" spans="2:3" x14ac:dyDescent="0.3">
      <c r="B635" s="7">
        <v>84745.762709999995</v>
      </c>
      <c r="C635" s="18">
        <v>0</v>
      </c>
    </row>
    <row r="636" spans="2:3" x14ac:dyDescent="0.3">
      <c r="B636" s="9">
        <v>12121.21212</v>
      </c>
      <c r="C636" s="22">
        <v>1</v>
      </c>
    </row>
    <row r="637" spans="2:3" x14ac:dyDescent="0.3">
      <c r="B637" s="7">
        <v>10000</v>
      </c>
      <c r="C637" s="18">
        <v>1</v>
      </c>
    </row>
    <row r="638" spans="2:3" x14ac:dyDescent="0.3">
      <c r="B638" s="9">
        <v>4000</v>
      </c>
      <c r="C638" s="22">
        <v>0</v>
      </c>
    </row>
    <row r="639" spans="2:3" x14ac:dyDescent="0.3">
      <c r="B639" s="7">
        <v>-15000</v>
      </c>
      <c r="C639" s="18">
        <v>0</v>
      </c>
    </row>
    <row r="640" spans="2:3" x14ac:dyDescent="0.3">
      <c r="B640" s="9">
        <v>9090.9090909999995</v>
      </c>
      <c r="C640" s="22">
        <v>0</v>
      </c>
    </row>
    <row r="641" spans="2:3" x14ac:dyDescent="0.3">
      <c r="B641" s="7">
        <v>4761.9047620000001</v>
      </c>
      <c r="C641" s="18">
        <v>0</v>
      </c>
    </row>
    <row r="642" spans="2:3" x14ac:dyDescent="0.3">
      <c r="B642" s="9">
        <v>20000</v>
      </c>
      <c r="C642" s="22">
        <v>0</v>
      </c>
    </row>
    <row r="643" spans="2:3" x14ac:dyDescent="0.3">
      <c r="B643" s="7">
        <v>50000</v>
      </c>
      <c r="C643" s="18">
        <v>0</v>
      </c>
    </row>
    <row r="644" spans="2:3" x14ac:dyDescent="0.3">
      <c r="B644" s="9">
        <v>12500</v>
      </c>
      <c r="C644" s="22">
        <v>0</v>
      </c>
    </row>
    <row r="645" spans="2:3" x14ac:dyDescent="0.3">
      <c r="B645" s="7">
        <v>4375</v>
      </c>
      <c r="C645" s="18">
        <v>0</v>
      </c>
    </row>
    <row r="646" spans="2:3" x14ac:dyDescent="0.3">
      <c r="B646" s="9">
        <v>20000</v>
      </c>
      <c r="C646" s="22">
        <v>0</v>
      </c>
    </row>
    <row r="647" spans="2:3" x14ac:dyDescent="0.3">
      <c r="B647" s="7">
        <v>-13636.36364</v>
      </c>
      <c r="C647" s="18">
        <v>0</v>
      </c>
    </row>
    <row r="648" spans="2:3" x14ac:dyDescent="0.3">
      <c r="B648" s="9">
        <v>15625</v>
      </c>
      <c r="C648" s="22">
        <v>0</v>
      </c>
    </row>
    <row r="649" spans="2:3" x14ac:dyDescent="0.3">
      <c r="B649" s="7">
        <v>33333.333330000001</v>
      </c>
      <c r="C649" s="18">
        <v>0</v>
      </c>
    </row>
    <row r="650" spans="2:3" x14ac:dyDescent="0.3">
      <c r="B650" s="9">
        <v>8333.3333330000005</v>
      </c>
      <c r="C650" s="22">
        <v>1</v>
      </c>
    </row>
    <row r="651" spans="2:3" x14ac:dyDescent="0.3">
      <c r="B651" s="7">
        <v>12500</v>
      </c>
      <c r="C651" s="18">
        <v>1</v>
      </c>
    </row>
    <row r="652" spans="2:3" x14ac:dyDescent="0.3">
      <c r="B652" s="9">
        <v>33333.333330000001</v>
      </c>
      <c r="C652" s="22">
        <v>0</v>
      </c>
    </row>
    <row r="653" spans="2:3" x14ac:dyDescent="0.3">
      <c r="B653" s="7">
        <v>6666.6666670000004</v>
      </c>
      <c r="C653" s="18">
        <v>0</v>
      </c>
    </row>
    <row r="654" spans="2:3" x14ac:dyDescent="0.3">
      <c r="B654" s="9">
        <v>50000</v>
      </c>
      <c r="C654" s="22">
        <v>0</v>
      </c>
    </row>
    <row r="655" spans="2:3" x14ac:dyDescent="0.3">
      <c r="B655" s="7">
        <v>5000</v>
      </c>
      <c r="C655" s="18">
        <v>1</v>
      </c>
    </row>
    <row r="656" spans="2:3" x14ac:dyDescent="0.3">
      <c r="B656" s="9">
        <v>31250</v>
      </c>
      <c r="C656" s="22">
        <v>0</v>
      </c>
    </row>
    <row r="657" spans="2:3" x14ac:dyDescent="0.3">
      <c r="B657" s="7">
        <v>25000</v>
      </c>
      <c r="C657" s="18">
        <v>0</v>
      </c>
    </row>
    <row r="658" spans="2:3" x14ac:dyDescent="0.3">
      <c r="B658" s="9">
        <v>21551.724139999998</v>
      </c>
      <c r="C658" s="22">
        <v>1</v>
      </c>
    </row>
    <row r="659" spans="2:3" x14ac:dyDescent="0.3">
      <c r="B659" s="7">
        <v>41666.666669999999</v>
      </c>
      <c r="C659" s="18">
        <v>1</v>
      </c>
    </row>
    <row r="660" spans="2:3" x14ac:dyDescent="0.3">
      <c r="B660" s="9">
        <v>6097.5609759999998</v>
      </c>
      <c r="C660" s="22">
        <v>0</v>
      </c>
    </row>
    <row r="661" spans="2:3" x14ac:dyDescent="0.3">
      <c r="B661" s="7">
        <v>47619.047619999998</v>
      </c>
      <c r="C661" s="18">
        <v>0</v>
      </c>
    </row>
    <row r="662" spans="2:3" x14ac:dyDescent="0.3">
      <c r="B662" s="9">
        <v>2400</v>
      </c>
      <c r="C662" s="22">
        <v>0</v>
      </c>
    </row>
    <row r="663" spans="2:3" x14ac:dyDescent="0.3">
      <c r="B663" s="7">
        <v>80000</v>
      </c>
      <c r="C663" s="18">
        <v>1</v>
      </c>
    </row>
    <row r="664" spans="2:3" x14ac:dyDescent="0.3">
      <c r="B664" s="9">
        <v>10000</v>
      </c>
      <c r="C664" s="22">
        <v>1</v>
      </c>
    </row>
    <row r="665" spans="2:3" x14ac:dyDescent="0.3">
      <c r="B665" s="7">
        <v>5000</v>
      </c>
      <c r="C665" s="18">
        <v>1</v>
      </c>
    </row>
    <row r="666" spans="2:3" x14ac:dyDescent="0.3">
      <c r="B666" s="9">
        <v>3780.7183359999999</v>
      </c>
      <c r="C666" s="22">
        <v>0</v>
      </c>
    </row>
    <row r="667" spans="2:3" x14ac:dyDescent="0.3">
      <c r="B667" s="7">
        <v>6666.6666670000004</v>
      </c>
      <c r="C667" s="18">
        <v>0</v>
      </c>
    </row>
    <row r="668" spans="2:3" x14ac:dyDescent="0.3">
      <c r="B668" s="9">
        <v>90909.090909999999</v>
      </c>
      <c r="C668" s="22">
        <v>0</v>
      </c>
    </row>
    <row r="669" spans="2:3" x14ac:dyDescent="0.3">
      <c r="B669" s="7">
        <v>86956.521739999996</v>
      </c>
      <c r="C669" s="18">
        <v>0</v>
      </c>
    </row>
    <row r="670" spans="2:3" x14ac:dyDescent="0.3">
      <c r="B670" s="9">
        <v>3000</v>
      </c>
      <c r="C670" s="22">
        <v>0</v>
      </c>
    </row>
    <row r="671" spans="2:3" x14ac:dyDescent="0.3">
      <c r="B671" s="7">
        <v>5000</v>
      </c>
      <c r="C671" s="18">
        <v>1</v>
      </c>
    </row>
    <row r="672" spans="2:3" x14ac:dyDescent="0.3">
      <c r="B672" s="9">
        <v>9090.9090909999995</v>
      </c>
      <c r="C672" s="22">
        <v>0</v>
      </c>
    </row>
    <row r="673" spans="2:3" x14ac:dyDescent="0.3">
      <c r="B673" s="7">
        <v>2500</v>
      </c>
      <c r="C673" s="18">
        <v>0</v>
      </c>
    </row>
    <row r="674" spans="2:3" x14ac:dyDescent="0.3">
      <c r="B674" s="9">
        <v>25000</v>
      </c>
      <c r="C674" s="22">
        <v>1</v>
      </c>
    </row>
    <row r="675" spans="2:3" x14ac:dyDescent="0.3">
      <c r="B675" s="7">
        <v>50000</v>
      </c>
      <c r="C675" s="18">
        <v>1</v>
      </c>
    </row>
    <row r="676" spans="2:3" x14ac:dyDescent="0.3">
      <c r="B676" s="9">
        <v>83333.333329999994</v>
      </c>
      <c r="C676" s="22">
        <v>0</v>
      </c>
    </row>
    <row r="677" spans="2:3" x14ac:dyDescent="0.3">
      <c r="B677" s="7">
        <v>71428.571429999996</v>
      </c>
      <c r="C677" s="18">
        <v>0</v>
      </c>
    </row>
    <row r="678" spans="2:3" x14ac:dyDescent="0.3">
      <c r="B678" s="9">
        <v>83333.333329999994</v>
      </c>
      <c r="C678" s="22">
        <v>0</v>
      </c>
    </row>
    <row r="679" spans="2:3" x14ac:dyDescent="0.3">
      <c r="B679" s="7">
        <v>33333.333330000001</v>
      </c>
      <c r="C679" s="18">
        <v>0</v>
      </c>
    </row>
    <row r="680" spans="2:3" x14ac:dyDescent="0.3">
      <c r="B680" s="9">
        <v>30000</v>
      </c>
      <c r="C680" s="22">
        <v>0</v>
      </c>
    </row>
    <row r="681" spans="2:3" x14ac:dyDescent="0.3">
      <c r="B681" s="7">
        <v>27272.727269999999</v>
      </c>
      <c r="C681" s="18">
        <v>0</v>
      </c>
    </row>
    <row r="682" spans="2:3" x14ac:dyDescent="0.3">
      <c r="B682" s="9">
        <v>37500</v>
      </c>
      <c r="C682" s="22">
        <v>0</v>
      </c>
    </row>
    <row r="683" spans="2:3" x14ac:dyDescent="0.3">
      <c r="B683" s="7">
        <v>10000</v>
      </c>
      <c r="C683" s="18">
        <v>1</v>
      </c>
    </row>
    <row r="684" spans="2:3" x14ac:dyDescent="0.3">
      <c r="B684" s="9">
        <v>38461.538460000003</v>
      </c>
      <c r="C684" s="22">
        <v>1</v>
      </c>
    </row>
    <row r="685" spans="2:3" x14ac:dyDescent="0.3">
      <c r="B685" s="7">
        <v>33333.333330000001</v>
      </c>
      <c r="C685" s="18">
        <v>1</v>
      </c>
    </row>
    <row r="686" spans="2:3" x14ac:dyDescent="0.3">
      <c r="B686" s="9">
        <v>68181.818180000002</v>
      </c>
      <c r="C686" s="22">
        <v>1</v>
      </c>
    </row>
    <row r="687" spans="2:3" x14ac:dyDescent="0.3">
      <c r="B687" s="7">
        <v>42553.191489999997</v>
      </c>
      <c r="C687" s="18">
        <v>0</v>
      </c>
    </row>
    <row r="688" spans="2:3" x14ac:dyDescent="0.3">
      <c r="B688" s="9">
        <v>10000</v>
      </c>
      <c r="C688" s="22">
        <v>1</v>
      </c>
    </row>
    <row r="689" spans="2:3" x14ac:dyDescent="0.3">
      <c r="B689" s="7">
        <v>47505.938240000003</v>
      </c>
      <c r="C689" s="18">
        <v>0</v>
      </c>
    </row>
    <row r="690" spans="2:3" x14ac:dyDescent="0.3">
      <c r="B690" s="9">
        <v>28571.42857</v>
      </c>
      <c r="C690" s="22">
        <v>0</v>
      </c>
    </row>
    <row r="691" spans="2:3" x14ac:dyDescent="0.3">
      <c r="B691" s="7">
        <v>25000</v>
      </c>
      <c r="C691" s="18">
        <v>1</v>
      </c>
    </row>
    <row r="692" spans="2:3" x14ac:dyDescent="0.3">
      <c r="B692" s="9">
        <v>50000</v>
      </c>
      <c r="C692" s="22">
        <v>0</v>
      </c>
    </row>
    <row r="693" spans="2:3" x14ac:dyDescent="0.3">
      <c r="B693" s="7">
        <v>29411.764709999999</v>
      </c>
      <c r="C693" s="18">
        <v>1</v>
      </c>
    </row>
    <row r="694" spans="2:3" x14ac:dyDescent="0.3">
      <c r="B694" s="9">
        <v>68181.818180000002</v>
      </c>
      <c r="C694" s="22">
        <v>0</v>
      </c>
    </row>
    <row r="695" spans="2:3" x14ac:dyDescent="0.3">
      <c r="B695" s="7">
        <v>13333.333329999999</v>
      </c>
      <c r="C695" s="18">
        <v>0</v>
      </c>
    </row>
    <row r="696" spans="2:3" x14ac:dyDescent="0.3">
      <c r="B696" s="9">
        <v>8333.3333330000005</v>
      </c>
      <c r="C696" s="22">
        <v>0</v>
      </c>
    </row>
    <row r="697" spans="2:3" x14ac:dyDescent="0.3">
      <c r="B697" s="7">
        <v>18181.818179999998</v>
      </c>
      <c r="C697" s="18">
        <v>1</v>
      </c>
    </row>
    <row r="698" spans="2:3" x14ac:dyDescent="0.3">
      <c r="B698" s="9">
        <v>10000</v>
      </c>
      <c r="C698" s="22">
        <v>0</v>
      </c>
    </row>
    <row r="699" spans="2:3" x14ac:dyDescent="0.3">
      <c r="B699" s="7">
        <v>60000</v>
      </c>
      <c r="C699" s="18">
        <v>0</v>
      </c>
    </row>
    <row r="700" spans="2:3" x14ac:dyDescent="0.3">
      <c r="B700" s="9">
        <v>41666.666669999999</v>
      </c>
      <c r="C700" s="22">
        <v>0</v>
      </c>
    </row>
    <row r="701" spans="2:3" x14ac:dyDescent="0.3">
      <c r="B701" s="7">
        <v>40000</v>
      </c>
      <c r="C701" s="18">
        <v>0</v>
      </c>
    </row>
    <row r="702" spans="2:3" x14ac:dyDescent="0.3">
      <c r="B702" s="9">
        <v>9615.3846150000008</v>
      </c>
      <c r="C702" s="22">
        <v>0</v>
      </c>
    </row>
    <row r="703" spans="2:3" x14ac:dyDescent="0.3">
      <c r="B703" s="7">
        <v>13888.88889</v>
      </c>
      <c r="C703" s="18">
        <v>0</v>
      </c>
    </row>
    <row r="704" spans="2:3" x14ac:dyDescent="0.3">
      <c r="B704" s="9">
        <v>50000</v>
      </c>
      <c r="C704" s="22">
        <v>0</v>
      </c>
    </row>
    <row r="705" spans="2:3" x14ac:dyDescent="0.3">
      <c r="B705" s="7">
        <v>10000</v>
      </c>
      <c r="C705" s="18">
        <v>0</v>
      </c>
    </row>
    <row r="706" spans="2:3" x14ac:dyDescent="0.3">
      <c r="B706" s="9">
        <v>15625</v>
      </c>
      <c r="C706" s="22">
        <v>0</v>
      </c>
    </row>
    <row r="707" spans="2:3" x14ac:dyDescent="0.3">
      <c r="B707" s="7">
        <v>7936.5079370000003</v>
      </c>
      <c r="C707" s="18">
        <v>0</v>
      </c>
    </row>
    <row r="708" spans="2:3" x14ac:dyDescent="0.3">
      <c r="B708" s="9">
        <v>31250</v>
      </c>
      <c r="C708" s="22">
        <v>0</v>
      </c>
    </row>
    <row r="709" spans="2:3" x14ac:dyDescent="0.3">
      <c r="B709" s="7">
        <v>50000</v>
      </c>
      <c r="C709" s="18">
        <v>0</v>
      </c>
    </row>
    <row r="710" spans="2:3" x14ac:dyDescent="0.3">
      <c r="B710" s="9">
        <v>114833.3333</v>
      </c>
      <c r="C710" s="22">
        <v>0</v>
      </c>
    </row>
    <row r="711" spans="2:3" x14ac:dyDescent="0.3">
      <c r="B711" s="7">
        <v>4000</v>
      </c>
      <c r="C711" s="18">
        <v>0</v>
      </c>
    </row>
    <row r="712" spans="2:3" x14ac:dyDescent="0.3">
      <c r="B712" s="9">
        <v>150000</v>
      </c>
      <c r="C712" s="22">
        <v>0</v>
      </c>
    </row>
    <row r="713" spans="2:3" x14ac:dyDescent="0.3">
      <c r="B713" s="7">
        <v>78125</v>
      </c>
      <c r="C713" s="18">
        <v>0</v>
      </c>
    </row>
    <row r="714" spans="2:3" x14ac:dyDescent="0.3">
      <c r="B714" s="9">
        <v>-16666.666669999999</v>
      </c>
      <c r="C714" s="22">
        <v>0</v>
      </c>
    </row>
    <row r="715" spans="2:3" x14ac:dyDescent="0.3">
      <c r="B715" s="7">
        <v>5791.5057919999999</v>
      </c>
      <c r="C715" s="18">
        <v>0</v>
      </c>
    </row>
    <row r="716" spans="2:3" x14ac:dyDescent="0.3">
      <c r="B716" s="9">
        <v>66666.666670000006</v>
      </c>
      <c r="C716" s="22">
        <v>0</v>
      </c>
    </row>
    <row r="717" spans="2:3" x14ac:dyDescent="0.3">
      <c r="B717" s="7">
        <v>7923.9302690000004</v>
      </c>
      <c r="C717" s="18">
        <v>0</v>
      </c>
    </row>
    <row r="718" spans="2:3" x14ac:dyDescent="0.3">
      <c r="B718" s="9">
        <v>17241.37931</v>
      </c>
      <c r="C718" s="22">
        <v>1</v>
      </c>
    </row>
    <row r="719" spans="2:3" x14ac:dyDescent="0.3">
      <c r="B719" s="7">
        <v>13333.333329999999</v>
      </c>
      <c r="C719" s="18">
        <v>0</v>
      </c>
    </row>
    <row r="720" spans="2:3" x14ac:dyDescent="0.3">
      <c r="B720" s="9">
        <v>10000</v>
      </c>
      <c r="C720" s="22">
        <v>0</v>
      </c>
    </row>
    <row r="721" spans="2:3" x14ac:dyDescent="0.3">
      <c r="B721" s="7">
        <v>5000</v>
      </c>
      <c r="C721" s="18">
        <v>1</v>
      </c>
    </row>
    <row r="722" spans="2:3" x14ac:dyDescent="0.3">
      <c r="B722" s="9">
        <v>10000</v>
      </c>
      <c r="C722" s="22">
        <v>0</v>
      </c>
    </row>
    <row r="723" spans="2:3" x14ac:dyDescent="0.3">
      <c r="B723" s="7">
        <v>10000</v>
      </c>
      <c r="C723" s="18">
        <v>0</v>
      </c>
    </row>
    <row r="724" spans="2:3" x14ac:dyDescent="0.3">
      <c r="B724" s="9">
        <v>7500</v>
      </c>
      <c r="C724" s="22">
        <v>0</v>
      </c>
    </row>
    <row r="725" spans="2:3" x14ac:dyDescent="0.3">
      <c r="B725" s="7">
        <v>13333.333329999999</v>
      </c>
      <c r="C725" s="18">
        <v>0</v>
      </c>
    </row>
    <row r="726" spans="2:3" x14ac:dyDescent="0.3">
      <c r="B726" s="9">
        <v>23437.5</v>
      </c>
      <c r="C726" s="22">
        <v>0</v>
      </c>
    </row>
    <row r="727" spans="2:3" x14ac:dyDescent="0.3">
      <c r="B727" s="7">
        <v>13333.333329999999</v>
      </c>
      <c r="C727" s="18">
        <v>1</v>
      </c>
    </row>
    <row r="728" spans="2:3" x14ac:dyDescent="0.3">
      <c r="B728" s="9">
        <v>7142.8571430000002</v>
      </c>
      <c r="C728" s="22">
        <v>0</v>
      </c>
    </row>
    <row r="729" spans="2:3" x14ac:dyDescent="0.3">
      <c r="B729" s="7">
        <v>8333.3333330000005</v>
      </c>
      <c r="C729" s="18">
        <v>0</v>
      </c>
    </row>
    <row r="730" spans="2:3" x14ac:dyDescent="0.3">
      <c r="B730" s="9">
        <v>8000</v>
      </c>
      <c r="C730" s="22">
        <v>0</v>
      </c>
    </row>
    <row r="731" spans="2:3" x14ac:dyDescent="0.3">
      <c r="B731" s="7">
        <v>6250</v>
      </c>
      <c r="C731" s="18">
        <v>0</v>
      </c>
    </row>
    <row r="732" spans="2:3" x14ac:dyDescent="0.3">
      <c r="B732" s="9">
        <v>6666.6666670000004</v>
      </c>
      <c r="C732" s="22">
        <v>0</v>
      </c>
    </row>
    <row r="733" spans="2:3" x14ac:dyDescent="0.3">
      <c r="B733" s="7">
        <v>6153.8461539999998</v>
      </c>
      <c r="C733" s="18">
        <v>0</v>
      </c>
    </row>
    <row r="734" spans="2:3" x14ac:dyDescent="0.3">
      <c r="B734" s="9">
        <v>5000</v>
      </c>
      <c r="C734" s="22">
        <v>0</v>
      </c>
    </row>
    <row r="735" spans="2:3" x14ac:dyDescent="0.3">
      <c r="B735" s="7">
        <v>20000</v>
      </c>
      <c r="C735" s="18">
        <v>1</v>
      </c>
    </row>
    <row r="736" spans="2:3" x14ac:dyDescent="0.3">
      <c r="B736" s="9">
        <v>12500</v>
      </c>
      <c r="C736" s="22">
        <v>0</v>
      </c>
    </row>
    <row r="737" spans="2:3" x14ac:dyDescent="0.3">
      <c r="B737" s="7">
        <v>8333.3333330000005</v>
      </c>
      <c r="C737" s="18">
        <v>0</v>
      </c>
    </row>
    <row r="738" spans="2:3" x14ac:dyDescent="0.3">
      <c r="B738" s="9">
        <v>16666.666669999999</v>
      </c>
      <c r="C738" s="22">
        <v>0</v>
      </c>
    </row>
    <row r="739" spans="2:3" x14ac:dyDescent="0.3">
      <c r="B739" s="7">
        <v>12500</v>
      </c>
      <c r="C739" s="18">
        <v>0</v>
      </c>
    </row>
    <row r="740" spans="2:3" x14ac:dyDescent="0.3">
      <c r="B740" s="9">
        <v>7500</v>
      </c>
      <c r="C740" s="22">
        <v>0</v>
      </c>
    </row>
    <row r="741" spans="2:3" x14ac:dyDescent="0.3">
      <c r="B741" s="7">
        <v>12000</v>
      </c>
      <c r="C741" s="18">
        <v>0</v>
      </c>
    </row>
    <row r="742" spans="2:3" x14ac:dyDescent="0.3">
      <c r="B742" s="9">
        <v>12578.61635</v>
      </c>
      <c r="C742" s="22">
        <v>0</v>
      </c>
    </row>
    <row r="743" spans="2:3" x14ac:dyDescent="0.3">
      <c r="B743" s="7">
        <v>10000</v>
      </c>
      <c r="C743" s="18">
        <v>0</v>
      </c>
    </row>
    <row r="744" spans="2:3" x14ac:dyDescent="0.3">
      <c r="B744" s="9">
        <v>25000</v>
      </c>
      <c r="C744" s="22">
        <v>0</v>
      </c>
    </row>
    <row r="745" spans="2:3" x14ac:dyDescent="0.3">
      <c r="B745" s="7">
        <v>23809.523809999999</v>
      </c>
      <c r="C745" s="18">
        <v>0</v>
      </c>
    </row>
    <row r="746" spans="2:3" x14ac:dyDescent="0.3">
      <c r="B746" s="9">
        <v>9677.419355</v>
      </c>
      <c r="C746" s="22">
        <v>0</v>
      </c>
    </row>
    <row r="747" spans="2:3" x14ac:dyDescent="0.3">
      <c r="B747" s="7">
        <v>3750</v>
      </c>
      <c r="C747" s="18">
        <v>0</v>
      </c>
    </row>
    <row r="748" spans="2:3" x14ac:dyDescent="0.3">
      <c r="B748" s="9">
        <v>16666.666669999999</v>
      </c>
      <c r="C748" s="22">
        <v>0</v>
      </c>
    </row>
    <row r="749" spans="2:3" x14ac:dyDescent="0.3">
      <c r="B749" s="7">
        <v>16666.666669999999</v>
      </c>
      <c r="C749" s="18">
        <v>0</v>
      </c>
    </row>
    <row r="750" spans="2:3" x14ac:dyDescent="0.3">
      <c r="B750" s="9">
        <v>11666.666670000001</v>
      </c>
      <c r="C750" s="22">
        <v>1</v>
      </c>
    </row>
    <row r="751" spans="2:3" x14ac:dyDescent="0.3">
      <c r="B751" s="7">
        <v>30000</v>
      </c>
      <c r="C751" s="18">
        <v>1</v>
      </c>
    </row>
    <row r="752" spans="2:3" x14ac:dyDescent="0.3">
      <c r="B752" s="9">
        <v>10000</v>
      </c>
      <c r="C752" s="22">
        <v>1</v>
      </c>
    </row>
    <row r="753" spans="2:3" x14ac:dyDescent="0.3">
      <c r="B753" s="7">
        <v>9685.2300240000004</v>
      </c>
      <c r="C753" s="18">
        <v>1</v>
      </c>
    </row>
    <row r="754" spans="2:3" x14ac:dyDescent="0.3">
      <c r="B754" s="9">
        <v>136363.63639999999</v>
      </c>
      <c r="C754" s="22">
        <v>1</v>
      </c>
    </row>
    <row r="755" spans="2:3" x14ac:dyDescent="0.3">
      <c r="B755" s="7">
        <v>18264.840179999999</v>
      </c>
      <c r="C755" s="18">
        <v>1</v>
      </c>
    </row>
    <row r="756" spans="2:3" x14ac:dyDescent="0.3">
      <c r="B756" s="9">
        <v>16666.666669999999</v>
      </c>
      <c r="C756" s="22">
        <v>1</v>
      </c>
    </row>
    <row r="757" spans="2:3" x14ac:dyDescent="0.3">
      <c r="B757" s="7">
        <v>9090.9090909999995</v>
      </c>
      <c r="C757" s="18">
        <v>1</v>
      </c>
    </row>
    <row r="758" spans="2:3" x14ac:dyDescent="0.3">
      <c r="B758" s="9">
        <v>75000</v>
      </c>
      <c r="C758" s="22">
        <v>1</v>
      </c>
    </row>
    <row r="759" spans="2:3" x14ac:dyDescent="0.3">
      <c r="B759" s="7">
        <v>16279.06977</v>
      </c>
      <c r="C759" s="18">
        <v>0</v>
      </c>
    </row>
    <row r="760" spans="2:3" x14ac:dyDescent="0.3">
      <c r="B760" s="9">
        <v>24000</v>
      </c>
      <c r="C760" s="22">
        <v>0</v>
      </c>
    </row>
    <row r="761" spans="2:3" x14ac:dyDescent="0.3">
      <c r="B761" s="7">
        <v>25000</v>
      </c>
      <c r="C761" s="18">
        <v>1</v>
      </c>
    </row>
    <row r="762" spans="2:3" x14ac:dyDescent="0.3">
      <c r="B762" s="9">
        <v>10000</v>
      </c>
      <c r="C762" s="22">
        <v>1</v>
      </c>
    </row>
    <row r="763" spans="2:3" x14ac:dyDescent="0.3">
      <c r="B763" s="7">
        <v>13333.333329999999</v>
      </c>
      <c r="C763" s="18">
        <v>1</v>
      </c>
    </row>
    <row r="764" spans="2:3" x14ac:dyDescent="0.3">
      <c r="B764" s="9">
        <v>10000</v>
      </c>
      <c r="C764" s="22">
        <v>1</v>
      </c>
    </row>
    <row r="765" spans="2:3" x14ac:dyDescent="0.3">
      <c r="B765" s="7">
        <v>72508.5</v>
      </c>
      <c r="C765" s="18">
        <v>1</v>
      </c>
    </row>
    <row r="766" spans="2:3" x14ac:dyDescent="0.3">
      <c r="B766" s="9">
        <v>8000</v>
      </c>
      <c r="C766" s="22">
        <v>1</v>
      </c>
    </row>
    <row r="767" spans="2:3" x14ac:dyDescent="0.3">
      <c r="B767" s="7">
        <v>3333.333333</v>
      </c>
      <c r="C767" s="18">
        <v>1</v>
      </c>
    </row>
    <row r="768" spans="2:3" x14ac:dyDescent="0.3">
      <c r="B768" s="9">
        <v>10000</v>
      </c>
      <c r="C768" s="22">
        <v>1</v>
      </c>
    </row>
    <row r="769" spans="2:3" x14ac:dyDescent="0.3">
      <c r="B769" s="7">
        <v>13043.47826</v>
      </c>
      <c r="C769" s="18">
        <v>1</v>
      </c>
    </row>
    <row r="770" spans="2:3" x14ac:dyDescent="0.3">
      <c r="B770" s="9">
        <v>6666.6666670000004</v>
      </c>
      <c r="C770" s="22">
        <v>1</v>
      </c>
    </row>
    <row r="771" spans="2:3" x14ac:dyDescent="0.3">
      <c r="B771" s="7">
        <v>10000</v>
      </c>
      <c r="C771" s="18">
        <v>1</v>
      </c>
    </row>
    <row r="772" spans="2:3" x14ac:dyDescent="0.3">
      <c r="B772" s="9">
        <v>16666.666669999999</v>
      </c>
      <c r="C772" s="22">
        <v>1</v>
      </c>
    </row>
    <row r="773" spans="2:3" x14ac:dyDescent="0.3">
      <c r="B773" s="7">
        <v>4545.4545449999996</v>
      </c>
      <c r="C773" s="18">
        <v>1</v>
      </c>
    </row>
    <row r="774" spans="2:3" x14ac:dyDescent="0.3">
      <c r="B774" s="9">
        <v>10000</v>
      </c>
      <c r="C774" s="22">
        <v>1</v>
      </c>
    </row>
    <row r="775" spans="2:3" x14ac:dyDescent="0.3">
      <c r="B775" s="7">
        <v>5000</v>
      </c>
      <c r="C775" s="18">
        <v>1</v>
      </c>
    </row>
    <row r="776" spans="2:3" x14ac:dyDescent="0.3">
      <c r="B776" s="9">
        <v>10000</v>
      </c>
      <c r="C776" s="22">
        <v>1</v>
      </c>
    </row>
    <row r="777" spans="2:3" x14ac:dyDescent="0.3">
      <c r="B777" s="7">
        <v>7547.1698109999998</v>
      </c>
      <c r="C777" s="18">
        <v>1</v>
      </c>
    </row>
    <row r="778" spans="2:3" x14ac:dyDescent="0.3">
      <c r="B778" s="9">
        <v>5000</v>
      </c>
      <c r="C778" s="22">
        <v>1</v>
      </c>
    </row>
    <row r="779" spans="2:3" x14ac:dyDescent="0.3">
      <c r="B779" s="7">
        <v>28000</v>
      </c>
      <c r="C779" s="18">
        <v>1</v>
      </c>
    </row>
    <row r="780" spans="2:3" x14ac:dyDescent="0.3">
      <c r="B780" s="9">
        <v>4000</v>
      </c>
      <c r="C780" s="22">
        <v>1</v>
      </c>
    </row>
    <row r="781" spans="2:3" x14ac:dyDescent="0.3">
      <c r="B781" s="7">
        <v>2500</v>
      </c>
      <c r="C781" s="18">
        <v>0</v>
      </c>
    </row>
    <row r="782" spans="2:3" x14ac:dyDescent="0.3">
      <c r="B782" s="9">
        <v>33333.333330000001</v>
      </c>
      <c r="C782" s="22">
        <v>1</v>
      </c>
    </row>
    <row r="783" spans="2:3" x14ac:dyDescent="0.3">
      <c r="B783" s="7">
        <v>25000</v>
      </c>
      <c r="C783" s="18">
        <v>1</v>
      </c>
    </row>
    <row r="784" spans="2:3" x14ac:dyDescent="0.3">
      <c r="B784" s="9">
        <v>5000</v>
      </c>
      <c r="C784" s="22">
        <v>0</v>
      </c>
    </row>
    <row r="785" spans="2:3" x14ac:dyDescent="0.3">
      <c r="B785" s="7">
        <v>16666.666669999999</v>
      </c>
      <c r="C785" s="18">
        <v>0</v>
      </c>
    </row>
    <row r="786" spans="2:3" x14ac:dyDescent="0.3">
      <c r="B786" s="9">
        <v>-6666.6666670000004</v>
      </c>
      <c r="C786" s="22">
        <v>0</v>
      </c>
    </row>
    <row r="787" spans="2:3" x14ac:dyDescent="0.3">
      <c r="B787" s="7">
        <v>4166.6666670000004</v>
      </c>
      <c r="C787" s="18">
        <v>1</v>
      </c>
    </row>
    <row r="788" spans="2:3" x14ac:dyDescent="0.3">
      <c r="B788" s="9">
        <v>21413.333330000001</v>
      </c>
      <c r="C788" s="22">
        <v>1</v>
      </c>
    </row>
    <row r="789" spans="2:3" x14ac:dyDescent="0.3">
      <c r="B789" s="7">
        <v>36885.245900000002</v>
      </c>
      <c r="C789" s="18">
        <v>1</v>
      </c>
    </row>
    <row r="790" spans="2:3" x14ac:dyDescent="0.3">
      <c r="B790" s="9">
        <v>30000</v>
      </c>
      <c r="C790" s="22">
        <v>0</v>
      </c>
    </row>
    <row r="791" spans="2:3" x14ac:dyDescent="0.3">
      <c r="B791" s="7">
        <v>31818.181820000002</v>
      </c>
      <c r="C791" s="18">
        <v>0</v>
      </c>
    </row>
    <row r="792" spans="2:3" x14ac:dyDescent="0.3">
      <c r="B792" s="9">
        <v>5000</v>
      </c>
      <c r="C792" s="22">
        <v>1</v>
      </c>
    </row>
    <row r="793" spans="2:3" x14ac:dyDescent="0.3">
      <c r="B793" s="7">
        <v>92307.692309999999</v>
      </c>
      <c r="C793" s="18">
        <v>0</v>
      </c>
    </row>
    <row r="794" spans="2:3" x14ac:dyDescent="0.3">
      <c r="B794" s="9">
        <v>10000</v>
      </c>
      <c r="C794" s="22">
        <v>0</v>
      </c>
    </row>
    <row r="795" spans="2:3" x14ac:dyDescent="0.3">
      <c r="B795" s="7">
        <v>5000</v>
      </c>
      <c r="C795" s="18">
        <v>1</v>
      </c>
    </row>
    <row r="796" spans="2:3" x14ac:dyDescent="0.3">
      <c r="B796" s="9">
        <v>6666.6666670000004</v>
      </c>
      <c r="C796" s="22">
        <v>1</v>
      </c>
    </row>
    <row r="797" spans="2:3" x14ac:dyDescent="0.3">
      <c r="B797" s="7">
        <v>83333.333329999994</v>
      </c>
      <c r="C797" s="18">
        <v>1</v>
      </c>
    </row>
    <row r="798" spans="2:3" x14ac:dyDescent="0.3">
      <c r="B798" s="9">
        <v>113636.3636</v>
      </c>
      <c r="C798" s="22">
        <v>1</v>
      </c>
    </row>
    <row r="799" spans="2:3" x14ac:dyDescent="0.3">
      <c r="B799" s="7">
        <v>100000</v>
      </c>
      <c r="C799" s="18">
        <v>1</v>
      </c>
    </row>
    <row r="800" spans="2:3" x14ac:dyDescent="0.3">
      <c r="B800" s="9">
        <v>125000</v>
      </c>
      <c r="C800" s="22">
        <v>1</v>
      </c>
    </row>
    <row r="801" spans="2:3" x14ac:dyDescent="0.3">
      <c r="B801" s="7">
        <v>5607.4766360000003</v>
      </c>
      <c r="C801" s="18">
        <v>1</v>
      </c>
    </row>
    <row r="802" spans="2:3" x14ac:dyDescent="0.3">
      <c r="B802" s="9">
        <v>-2000</v>
      </c>
      <c r="C802" s="22">
        <v>1</v>
      </c>
    </row>
    <row r="803" spans="2:3" x14ac:dyDescent="0.3">
      <c r="B803" s="7">
        <v>7500</v>
      </c>
      <c r="C803" s="18">
        <v>0</v>
      </c>
    </row>
    <row r="804" spans="2:3" x14ac:dyDescent="0.3">
      <c r="B804" s="9">
        <v>4761.9047620000001</v>
      </c>
      <c r="C804" s="22">
        <v>1</v>
      </c>
    </row>
    <row r="805" spans="2:3" x14ac:dyDescent="0.3">
      <c r="B805" s="7">
        <v>50000</v>
      </c>
      <c r="C805" s="18">
        <v>0</v>
      </c>
    </row>
    <row r="806" spans="2:3" x14ac:dyDescent="0.3">
      <c r="B806" s="9">
        <v>12500</v>
      </c>
      <c r="C806" s="22">
        <v>1</v>
      </c>
    </row>
    <row r="807" spans="2:3" x14ac:dyDescent="0.3">
      <c r="B807" s="7">
        <v>6000</v>
      </c>
      <c r="C807" s="18">
        <v>1</v>
      </c>
    </row>
    <row r="808" spans="2:3" x14ac:dyDescent="0.3">
      <c r="B808" s="9">
        <v>20000</v>
      </c>
      <c r="C808" s="22">
        <v>1</v>
      </c>
    </row>
    <row r="809" spans="2:3" x14ac:dyDescent="0.3">
      <c r="B809" s="7">
        <v>6000</v>
      </c>
      <c r="C809" s="18">
        <v>0</v>
      </c>
    </row>
    <row r="810" spans="2:3" x14ac:dyDescent="0.3">
      <c r="B810" s="9">
        <v>100000</v>
      </c>
      <c r="C810" s="22">
        <v>0</v>
      </c>
    </row>
    <row r="811" spans="2:3" x14ac:dyDescent="0.3">
      <c r="B811" s="7">
        <v>12605.042020000001</v>
      </c>
      <c r="C811" s="18">
        <v>1</v>
      </c>
    </row>
    <row r="812" spans="2:3" x14ac:dyDescent="0.3">
      <c r="B812" s="9">
        <v>16666.666669999999</v>
      </c>
      <c r="C812" s="22">
        <v>1</v>
      </c>
    </row>
    <row r="813" spans="2:3" x14ac:dyDescent="0.3">
      <c r="B813" s="7">
        <v>8695.6521740000007</v>
      </c>
      <c r="C813" s="18">
        <v>1</v>
      </c>
    </row>
    <row r="814" spans="2:3" x14ac:dyDescent="0.3">
      <c r="B814" s="9">
        <v>83333.333329999994</v>
      </c>
      <c r="C814" s="22">
        <v>1</v>
      </c>
    </row>
    <row r="815" spans="2:3" x14ac:dyDescent="0.3">
      <c r="B815" s="7">
        <v>100000</v>
      </c>
      <c r="C815" s="18">
        <v>1</v>
      </c>
    </row>
    <row r="816" spans="2:3" x14ac:dyDescent="0.3">
      <c r="B816" s="9">
        <v>10000</v>
      </c>
      <c r="C816" s="22">
        <v>1</v>
      </c>
    </row>
    <row r="817" spans="2:3" x14ac:dyDescent="0.3">
      <c r="B817" s="7">
        <v>83333.333329999994</v>
      </c>
      <c r="C817" s="18">
        <v>1</v>
      </c>
    </row>
    <row r="818" spans="2:3" x14ac:dyDescent="0.3">
      <c r="B818" s="9">
        <v>100000</v>
      </c>
      <c r="C818" s="22">
        <v>1</v>
      </c>
    </row>
    <row r="819" spans="2:3" x14ac:dyDescent="0.3">
      <c r="B819" s="7">
        <v>100000</v>
      </c>
      <c r="C819" s="18">
        <v>1</v>
      </c>
    </row>
    <row r="820" spans="2:3" x14ac:dyDescent="0.3">
      <c r="B820" s="9">
        <v>5000</v>
      </c>
      <c r="C820" s="22">
        <v>1</v>
      </c>
    </row>
    <row r="821" spans="2:3" x14ac:dyDescent="0.3">
      <c r="B821" s="7">
        <v>9500</v>
      </c>
      <c r="C821" s="18">
        <v>1</v>
      </c>
    </row>
    <row r="822" spans="2:3" x14ac:dyDescent="0.3">
      <c r="B822" s="9">
        <v>5000</v>
      </c>
      <c r="C822" s="22">
        <v>0</v>
      </c>
    </row>
    <row r="823" spans="2:3" x14ac:dyDescent="0.3">
      <c r="B823" s="7">
        <v>16666.666669999999</v>
      </c>
      <c r="C823" s="18">
        <v>1</v>
      </c>
    </row>
    <row r="824" spans="2:3" x14ac:dyDescent="0.3">
      <c r="B824" s="9">
        <v>9302.3255809999991</v>
      </c>
      <c r="C824" s="22">
        <v>1</v>
      </c>
    </row>
    <row r="825" spans="2:3" x14ac:dyDescent="0.3">
      <c r="B825" s="7">
        <v>20454.545450000001</v>
      </c>
      <c r="C825" s="18">
        <v>1</v>
      </c>
    </row>
    <row r="826" spans="2:3" x14ac:dyDescent="0.3">
      <c r="B826" s="9">
        <v>10000</v>
      </c>
      <c r="C826" s="22">
        <v>0</v>
      </c>
    </row>
    <row r="827" spans="2:3" x14ac:dyDescent="0.3">
      <c r="B827" s="7">
        <v>15625</v>
      </c>
      <c r="C827" s="18">
        <v>0</v>
      </c>
    </row>
    <row r="828" spans="2:3" x14ac:dyDescent="0.3">
      <c r="B828" s="9">
        <v>2500</v>
      </c>
      <c r="C828" s="22">
        <v>1</v>
      </c>
    </row>
    <row r="829" spans="2:3" x14ac:dyDescent="0.3">
      <c r="B829" s="7">
        <v>2500</v>
      </c>
      <c r="C829" s="18">
        <v>1</v>
      </c>
    </row>
    <row r="830" spans="2:3" x14ac:dyDescent="0.3">
      <c r="B830" s="9">
        <v>-20000</v>
      </c>
      <c r="C830" s="22">
        <v>0</v>
      </c>
    </row>
    <row r="831" spans="2:3" x14ac:dyDescent="0.3">
      <c r="B831" s="7">
        <v>5714.2857139999996</v>
      </c>
      <c r="C831" s="18">
        <v>0</v>
      </c>
    </row>
    <row r="832" spans="2:3" x14ac:dyDescent="0.3">
      <c r="B832" s="9">
        <v>-6349.206349</v>
      </c>
      <c r="C832" s="22">
        <v>1</v>
      </c>
    </row>
    <row r="833" spans="2:3" x14ac:dyDescent="0.3">
      <c r="B833" s="7">
        <v>30000</v>
      </c>
      <c r="C833" s="18">
        <v>1</v>
      </c>
    </row>
    <row r="834" spans="2:3" x14ac:dyDescent="0.3">
      <c r="B834" s="9">
        <v>-23333.333330000001</v>
      </c>
      <c r="C834" s="22">
        <v>0</v>
      </c>
    </row>
    <row r="835" spans="2:3" x14ac:dyDescent="0.3">
      <c r="B835" s="7">
        <v>4739.3364929999998</v>
      </c>
      <c r="C835" s="18">
        <v>1</v>
      </c>
    </row>
    <row r="836" spans="2:3" x14ac:dyDescent="0.3">
      <c r="B836" s="9">
        <v>9302.3255809999991</v>
      </c>
      <c r="C836" s="22">
        <v>1</v>
      </c>
    </row>
    <row r="837" spans="2:3" x14ac:dyDescent="0.3">
      <c r="B837" s="7">
        <v>32154.340840000001</v>
      </c>
      <c r="C837" s="18">
        <v>0</v>
      </c>
    </row>
    <row r="838" spans="2:3" x14ac:dyDescent="0.3">
      <c r="B838" s="9">
        <v>12000</v>
      </c>
      <c r="C838" s="22">
        <v>1</v>
      </c>
    </row>
    <row r="839" spans="2:3" x14ac:dyDescent="0.3">
      <c r="B839" s="7">
        <v>6666.6666670000004</v>
      </c>
      <c r="C839" s="18">
        <v>1</v>
      </c>
    </row>
    <row r="840" spans="2:3" x14ac:dyDescent="0.3">
      <c r="B840" s="9">
        <v>2857.1428569999998</v>
      </c>
      <c r="C840" s="22">
        <v>0</v>
      </c>
    </row>
    <row r="841" spans="2:3" x14ac:dyDescent="0.3">
      <c r="B841" s="7">
        <v>5000</v>
      </c>
      <c r="C841" s="18">
        <v>0</v>
      </c>
    </row>
    <row r="842" spans="2:3" x14ac:dyDescent="0.3">
      <c r="B842" s="9">
        <v>3333.333333</v>
      </c>
      <c r="C842" s="22">
        <v>0</v>
      </c>
    </row>
    <row r="843" spans="2:3" x14ac:dyDescent="0.3">
      <c r="B843" s="7">
        <v>5000</v>
      </c>
      <c r="C843" s="18">
        <v>1</v>
      </c>
    </row>
    <row r="844" spans="2:3" x14ac:dyDescent="0.3">
      <c r="B844" s="9">
        <v>4761.9047620000001</v>
      </c>
      <c r="C844" s="22">
        <v>0</v>
      </c>
    </row>
    <row r="845" spans="2:3" x14ac:dyDescent="0.3">
      <c r="B845" s="7">
        <v>3750</v>
      </c>
      <c r="C845" s="18">
        <v>0</v>
      </c>
    </row>
    <row r="846" spans="2:3" x14ac:dyDescent="0.3">
      <c r="B846" s="9">
        <v>25694.444439999999</v>
      </c>
      <c r="C846" s="22">
        <v>0</v>
      </c>
    </row>
    <row r="847" spans="2:3" x14ac:dyDescent="0.3">
      <c r="B847" s="7">
        <v>6666.6666670000004</v>
      </c>
      <c r="C847" s="18">
        <v>0</v>
      </c>
    </row>
    <row r="848" spans="2:3" x14ac:dyDescent="0.3">
      <c r="B848" s="9">
        <v>44052.863440000001</v>
      </c>
      <c r="C848" s="22">
        <v>0</v>
      </c>
    </row>
    <row r="849" spans="2:3" x14ac:dyDescent="0.3">
      <c r="B849" s="7">
        <v>1666.666667</v>
      </c>
      <c r="C849" s="18">
        <v>0</v>
      </c>
    </row>
    <row r="850" spans="2:3" x14ac:dyDescent="0.3">
      <c r="B850" s="9">
        <v>38834.951459999997</v>
      </c>
      <c r="C850" s="22">
        <v>0</v>
      </c>
    </row>
    <row r="851" spans="2:3" x14ac:dyDescent="0.3">
      <c r="B851" s="7">
        <v>4000</v>
      </c>
      <c r="C851" s="18">
        <v>1</v>
      </c>
    </row>
    <row r="852" spans="2:3" x14ac:dyDescent="0.3">
      <c r="B852" s="9">
        <v>3787.878788</v>
      </c>
      <c r="C852" s="22">
        <v>0</v>
      </c>
    </row>
    <row r="853" spans="2:3" x14ac:dyDescent="0.3">
      <c r="B853" s="7">
        <v>100000</v>
      </c>
      <c r="C853" s="18">
        <v>0</v>
      </c>
    </row>
    <row r="854" spans="2:3" x14ac:dyDescent="0.3">
      <c r="B854" s="9">
        <v>100000</v>
      </c>
      <c r="C854" s="22">
        <v>1</v>
      </c>
    </row>
    <row r="855" spans="2:3" x14ac:dyDescent="0.3">
      <c r="B855" s="7">
        <v>99264.705879999994</v>
      </c>
      <c r="C855" s="18">
        <v>1</v>
      </c>
    </row>
    <row r="856" spans="2:3" x14ac:dyDescent="0.3">
      <c r="B856" s="9">
        <v>2307.6923080000001</v>
      </c>
      <c r="C856" s="22">
        <v>0</v>
      </c>
    </row>
    <row r="857" spans="2:3" x14ac:dyDescent="0.3">
      <c r="B857" s="7">
        <v>3387.0967740000001</v>
      </c>
      <c r="C857" s="18">
        <v>1</v>
      </c>
    </row>
    <row r="858" spans="2:3" x14ac:dyDescent="0.3">
      <c r="B858" s="9">
        <v>150000</v>
      </c>
      <c r="C858" s="22">
        <v>0</v>
      </c>
    </row>
    <row r="859" spans="2:3" x14ac:dyDescent="0.3">
      <c r="B859" s="7">
        <v>33333.333330000001</v>
      </c>
      <c r="C859" s="18">
        <v>0</v>
      </c>
    </row>
    <row r="860" spans="2:3" x14ac:dyDescent="0.3">
      <c r="B860" s="9">
        <v>6250</v>
      </c>
      <c r="C860" s="22">
        <v>1</v>
      </c>
    </row>
    <row r="861" spans="2:3" x14ac:dyDescent="0.3">
      <c r="B861" s="7">
        <v>40000</v>
      </c>
      <c r="C861" s="18">
        <v>1</v>
      </c>
    </row>
    <row r="862" spans="2:3" x14ac:dyDescent="0.3">
      <c r="B862" s="9">
        <v>6250</v>
      </c>
      <c r="C862" s="22">
        <v>0</v>
      </c>
    </row>
    <row r="863" spans="2:3" x14ac:dyDescent="0.3">
      <c r="B863" s="7">
        <v>5000</v>
      </c>
      <c r="C863" s="18">
        <v>0</v>
      </c>
    </row>
    <row r="864" spans="2:3" x14ac:dyDescent="0.3">
      <c r="B864" s="9">
        <v>31250</v>
      </c>
      <c r="C864" s="22">
        <v>1</v>
      </c>
    </row>
    <row r="865" spans="2:3" x14ac:dyDescent="0.3">
      <c r="B865" s="7">
        <v>12500</v>
      </c>
      <c r="C865" s="18">
        <v>0</v>
      </c>
    </row>
    <row r="866" spans="2:3" x14ac:dyDescent="0.3">
      <c r="B866" s="9">
        <v>18571.42857</v>
      </c>
      <c r="C866" s="22">
        <v>0</v>
      </c>
    </row>
    <row r="867" spans="2:3" x14ac:dyDescent="0.3">
      <c r="B867" s="7">
        <v>6038.6473429999996</v>
      </c>
      <c r="C867" s="18">
        <v>0</v>
      </c>
    </row>
    <row r="868" spans="2:3" x14ac:dyDescent="0.3">
      <c r="B868" s="9">
        <v>12500</v>
      </c>
      <c r="C868" s="22">
        <v>0</v>
      </c>
    </row>
    <row r="869" spans="2:3" x14ac:dyDescent="0.3">
      <c r="B869" s="7">
        <v>45454.545449999998</v>
      </c>
      <c r="C869" s="18">
        <v>0</v>
      </c>
    </row>
    <row r="870" spans="2:3" x14ac:dyDescent="0.3">
      <c r="B870" s="9">
        <v>150000</v>
      </c>
      <c r="C870" s="22">
        <v>0</v>
      </c>
    </row>
    <row r="871" spans="2:3" x14ac:dyDescent="0.3">
      <c r="B871" s="7">
        <v>10000</v>
      </c>
      <c r="C871" s="18">
        <v>0</v>
      </c>
    </row>
    <row r="872" spans="2:3" x14ac:dyDescent="0.3">
      <c r="B872" s="9">
        <v>12500</v>
      </c>
      <c r="C872" s="22">
        <v>0</v>
      </c>
    </row>
    <row r="873" spans="2:3" x14ac:dyDescent="0.3">
      <c r="B873" s="7">
        <v>150000</v>
      </c>
      <c r="C873" s="18">
        <v>0</v>
      </c>
    </row>
    <row r="874" spans="2:3" x14ac:dyDescent="0.3">
      <c r="B874" s="9">
        <v>90909.090909999999</v>
      </c>
      <c r="C874" s="22">
        <v>0</v>
      </c>
    </row>
    <row r="875" spans="2:3" x14ac:dyDescent="0.3">
      <c r="B875" s="7">
        <v>150000</v>
      </c>
      <c r="C875" s="18">
        <v>1</v>
      </c>
    </row>
    <row r="876" spans="2:3" x14ac:dyDescent="0.3">
      <c r="B876" s="9">
        <v>75000</v>
      </c>
      <c r="C876" s="22">
        <v>1</v>
      </c>
    </row>
    <row r="877" spans="2:3" x14ac:dyDescent="0.3">
      <c r="B877" s="7">
        <v>155000</v>
      </c>
      <c r="C877" s="18">
        <v>1</v>
      </c>
    </row>
    <row r="878" spans="2:3" x14ac:dyDescent="0.3">
      <c r="B878" s="9">
        <v>87719.298250000007</v>
      </c>
      <c r="C878" s="22">
        <v>1</v>
      </c>
    </row>
    <row r="879" spans="2:3" x14ac:dyDescent="0.3">
      <c r="B879" s="7">
        <v>50000</v>
      </c>
      <c r="C879" s="18">
        <v>1</v>
      </c>
    </row>
    <row r="880" spans="2:3" x14ac:dyDescent="0.3">
      <c r="B880" s="9">
        <v>118181.81819999999</v>
      </c>
      <c r="C880" s="22">
        <v>1</v>
      </c>
    </row>
    <row r="881" spans="2:3" x14ac:dyDescent="0.3">
      <c r="B881" s="7">
        <v>100000</v>
      </c>
      <c r="C881" s="18">
        <v>0</v>
      </c>
    </row>
    <row r="882" spans="2:3" x14ac:dyDescent="0.3">
      <c r="B882" s="9">
        <v>90909.090909999999</v>
      </c>
      <c r="C882" s="22">
        <v>0</v>
      </c>
    </row>
    <row r="883" spans="2:3" x14ac:dyDescent="0.3">
      <c r="B883" s="7">
        <v>40000</v>
      </c>
      <c r="C883" s="18">
        <v>0</v>
      </c>
    </row>
    <row r="884" spans="2:3" x14ac:dyDescent="0.3">
      <c r="B884" s="9">
        <v>150000</v>
      </c>
      <c r="C884" s="22">
        <v>0</v>
      </c>
    </row>
    <row r="885" spans="2:3" x14ac:dyDescent="0.3">
      <c r="B885" s="7">
        <v>60000</v>
      </c>
      <c r="C885" s="18">
        <v>1</v>
      </c>
    </row>
    <row r="886" spans="2:3" x14ac:dyDescent="0.3">
      <c r="B886" s="9">
        <v>63025.210079999997</v>
      </c>
      <c r="C886" s="22">
        <v>1</v>
      </c>
    </row>
    <row r="887" spans="2:3" x14ac:dyDescent="0.3">
      <c r="B887" s="7">
        <v>31250</v>
      </c>
      <c r="C887" s="18">
        <v>1</v>
      </c>
    </row>
    <row r="888" spans="2:3" x14ac:dyDescent="0.3">
      <c r="B888" s="9">
        <v>87719.298250000007</v>
      </c>
      <c r="C888" s="22">
        <v>0</v>
      </c>
    </row>
    <row r="889" spans="2:3" x14ac:dyDescent="0.3">
      <c r="B889" s="7">
        <v>75000</v>
      </c>
      <c r="C889" s="18">
        <v>0</v>
      </c>
    </row>
    <row r="890" spans="2:3" x14ac:dyDescent="0.3">
      <c r="B890" s="9">
        <v>0</v>
      </c>
      <c r="C890" s="22">
        <v>0</v>
      </c>
    </row>
    <row r="891" spans="2:3" x14ac:dyDescent="0.3">
      <c r="B891" s="7">
        <v>0</v>
      </c>
      <c r="C891" s="18">
        <v>1</v>
      </c>
    </row>
    <row r="892" spans="2:3" x14ac:dyDescent="0.3">
      <c r="B892" s="9">
        <v>25000</v>
      </c>
      <c r="C892" s="22">
        <v>0</v>
      </c>
    </row>
    <row r="893" spans="2:3" x14ac:dyDescent="0.3">
      <c r="B893" s="7">
        <v>41666.666669999999</v>
      </c>
      <c r="C893" s="18">
        <v>0</v>
      </c>
    </row>
    <row r="894" spans="2:3" x14ac:dyDescent="0.3">
      <c r="B894" s="9">
        <v>50000</v>
      </c>
      <c r="C894" s="22">
        <v>0</v>
      </c>
    </row>
    <row r="895" spans="2:3" x14ac:dyDescent="0.3">
      <c r="B895" s="7">
        <v>0</v>
      </c>
      <c r="C895" s="18">
        <v>0</v>
      </c>
    </row>
    <row r="896" spans="2:3" x14ac:dyDescent="0.3">
      <c r="B896" s="9">
        <v>150000</v>
      </c>
      <c r="C896" s="22">
        <v>0</v>
      </c>
    </row>
    <row r="897" spans="2:3" x14ac:dyDescent="0.3">
      <c r="B897" s="7">
        <v>100000</v>
      </c>
      <c r="C897" s="18">
        <v>0</v>
      </c>
    </row>
    <row r="898" spans="2:3" x14ac:dyDescent="0.3">
      <c r="B898" s="9">
        <v>25000</v>
      </c>
      <c r="C898" s="22">
        <v>0</v>
      </c>
    </row>
    <row r="899" spans="2:3" x14ac:dyDescent="0.3">
      <c r="B899" s="7">
        <v>83333.333329999994</v>
      </c>
      <c r="C899" s="18">
        <v>0</v>
      </c>
    </row>
    <row r="900" spans="2:3" x14ac:dyDescent="0.3">
      <c r="B900" s="9">
        <v>100000</v>
      </c>
      <c r="C900" s="22">
        <v>0</v>
      </c>
    </row>
    <row r="901" spans="2:3" x14ac:dyDescent="0.3">
      <c r="B901" s="7">
        <v>66666.666670000006</v>
      </c>
      <c r="C901" s="18">
        <v>0</v>
      </c>
    </row>
    <row r="902" spans="2:3" x14ac:dyDescent="0.3">
      <c r="B902" s="9">
        <v>20000</v>
      </c>
      <c r="C902" s="22">
        <v>0</v>
      </c>
    </row>
    <row r="903" spans="2:3" x14ac:dyDescent="0.3">
      <c r="B903" s="7">
        <v>37590.909090000001</v>
      </c>
      <c r="C903" s="18">
        <v>1</v>
      </c>
    </row>
    <row r="904" spans="2:3" x14ac:dyDescent="0.3">
      <c r="B904" s="9">
        <v>-62500</v>
      </c>
      <c r="C904" s="22">
        <v>1</v>
      </c>
    </row>
    <row r="905" spans="2:3" x14ac:dyDescent="0.3">
      <c r="B905" s="7">
        <v>100000</v>
      </c>
      <c r="C905" s="18">
        <v>1</v>
      </c>
    </row>
    <row r="906" spans="2:3" x14ac:dyDescent="0.3">
      <c r="B906" s="9">
        <v>63636.363640000003</v>
      </c>
      <c r="C906" s="22">
        <v>0</v>
      </c>
    </row>
    <row r="907" spans="2:3" x14ac:dyDescent="0.3">
      <c r="B907" s="7">
        <v>125000</v>
      </c>
      <c r="C907" s="18">
        <v>0</v>
      </c>
    </row>
    <row r="908" spans="2:3" x14ac:dyDescent="0.3">
      <c r="B908" s="9">
        <v>45365.853660000001</v>
      </c>
      <c r="C908" s="22">
        <v>0</v>
      </c>
    </row>
    <row r="909" spans="2:3" x14ac:dyDescent="0.3">
      <c r="B909" s="7">
        <v>73333.333329999994</v>
      </c>
      <c r="C909" s="18">
        <v>0</v>
      </c>
    </row>
    <row r="910" spans="2:3" x14ac:dyDescent="0.3">
      <c r="B910" s="9">
        <v>114000</v>
      </c>
      <c r="C910" s="22">
        <v>1</v>
      </c>
    </row>
    <row r="911" spans="2:3" x14ac:dyDescent="0.3">
      <c r="B911" s="7">
        <v>150000</v>
      </c>
      <c r="C911" s="18">
        <v>1</v>
      </c>
    </row>
    <row r="912" spans="2:3" x14ac:dyDescent="0.3">
      <c r="B912" s="9">
        <v>66666.666670000006</v>
      </c>
      <c r="C912" s="22">
        <v>0</v>
      </c>
    </row>
    <row r="913" spans="2:3" x14ac:dyDescent="0.3">
      <c r="B913" s="7">
        <v>47619.047619999998</v>
      </c>
      <c r="C913" s="18">
        <v>0</v>
      </c>
    </row>
    <row r="914" spans="2:3" x14ac:dyDescent="0.3">
      <c r="B914" s="9">
        <v>29585.79882</v>
      </c>
      <c r="C914" s="22">
        <v>0</v>
      </c>
    </row>
    <row r="915" spans="2:3" x14ac:dyDescent="0.3">
      <c r="B915" s="7">
        <v>50000</v>
      </c>
      <c r="C915" s="18">
        <v>0</v>
      </c>
    </row>
    <row r="916" spans="2:3" x14ac:dyDescent="0.3">
      <c r="B916" s="9">
        <v>45454.545449999998</v>
      </c>
      <c r="C916" s="22">
        <v>0</v>
      </c>
    </row>
    <row r="917" spans="2:3" x14ac:dyDescent="0.3">
      <c r="B917" s="7">
        <v>100000</v>
      </c>
      <c r="C917" s="18">
        <v>0</v>
      </c>
    </row>
    <row r="918" spans="2:3" x14ac:dyDescent="0.3">
      <c r="B918" s="9">
        <v>75000</v>
      </c>
      <c r="C918" s="22">
        <v>0</v>
      </c>
    </row>
    <row r="919" spans="2:3" x14ac:dyDescent="0.3">
      <c r="B919" s="7">
        <v>45454.545449999998</v>
      </c>
      <c r="C919" s="18">
        <v>0</v>
      </c>
    </row>
    <row r="920" spans="2:3" x14ac:dyDescent="0.3">
      <c r="B920" s="9">
        <v>64516.129029999996</v>
      </c>
      <c r="C920" s="22">
        <v>0</v>
      </c>
    </row>
    <row r="921" spans="2:3" x14ac:dyDescent="0.3">
      <c r="B921" s="7">
        <v>90909.090909999999</v>
      </c>
      <c r="C921" s="18">
        <v>0</v>
      </c>
    </row>
    <row r="922" spans="2:3" x14ac:dyDescent="0.3">
      <c r="B922" s="9">
        <v>83333.333329999994</v>
      </c>
      <c r="C922" s="22">
        <v>1</v>
      </c>
    </row>
    <row r="923" spans="2:3" x14ac:dyDescent="0.3">
      <c r="B923" s="7">
        <v>46875</v>
      </c>
      <c r="C923" s="18">
        <v>1</v>
      </c>
    </row>
    <row r="924" spans="2:3" x14ac:dyDescent="0.3">
      <c r="B924" s="9">
        <v>66666.666670000006</v>
      </c>
      <c r="C924" s="22">
        <v>0</v>
      </c>
    </row>
    <row r="925" spans="2:3" x14ac:dyDescent="0.3">
      <c r="B925" s="7">
        <v>10000</v>
      </c>
      <c r="C925" s="18">
        <v>0</v>
      </c>
    </row>
    <row r="926" spans="2:3" x14ac:dyDescent="0.3">
      <c r="B926" s="9">
        <v>83333.333329999994</v>
      </c>
      <c r="C926" s="22">
        <v>0</v>
      </c>
    </row>
    <row r="927" spans="2:3" x14ac:dyDescent="0.3">
      <c r="B927" s="7">
        <v>15000</v>
      </c>
      <c r="C927" s="18">
        <v>0</v>
      </c>
    </row>
    <row r="928" spans="2:3" x14ac:dyDescent="0.3">
      <c r="B928" s="9">
        <v>83333.333329999994</v>
      </c>
      <c r="C928" s="22">
        <v>0</v>
      </c>
    </row>
    <row r="929" spans="2:3" x14ac:dyDescent="0.3">
      <c r="B929" s="7">
        <v>90909.090909999999</v>
      </c>
      <c r="C929" s="18">
        <v>0</v>
      </c>
    </row>
    <row r="930" spans="2:3" x14ac:dyDescent="0.3">
      <c r="B930" s="9">
        <v>100000</v>
      </c>
      <c r="C930" s="22">
        <v>0</v>
      </c>
    </row>
    <row r="931" spans="2:3" x14ac:dyDescent="0.3">
      <c r="B931" s="7">
        <v>100000</v>
      </c>
      <c r="C931" s="18">
        <v>0</v>
      </c>
    </row>
    <row r="932" spans="2:3" x14ac:dyDescent="0.3">
      <c r="B932" s="9">
        <v>153846.1538</v>
      </c>
      <c r="C932" s="22">
        <v>0</v>
      </c>
    </row>
    <row r="933" spans="2:3" x14ac:dyDescent="0.3">
      <c r="B933" s="7">
        <v>83333.333329999994</v>
      </c>
      <c r="C933" s="18">
        <v>0</v>
      </c>
    </row>
    <row r="934" spans="2:3" x14ac:dyDescent="0.3">
      <c r="B934" s="9">
        <v>111111.11109999999</v>
      </c>
      <c r="C934" s="22">
        <v>0</v>
      </c>
    </row>
    <row r="935" spans="2:3" x14ac:dyDescent="0.3">
      <c r="B935" s="7">
        <v>50000</v>
      </c>
      <c r="C935" s="18">
        <v>0</v>
      </c>
    </row>
    <row r="936" spans="2:3" x14ac:dyDescent="0.3">
      <c r="B936" s="9">
        <v>136363.63639999999</v>
      </c>
      <c r="C936" s="22">
        <v>0</v>
      </c>
    </row>
    <row r="937" spans="2:3" x14ac:dyDescent="0.3">
      <c r="B937" s="7">
        <v>6000</v>
      </c>
      <c r="C937" s="18">
        <v>0</v>
      </c>
    </row>
    <row r="938" spans="2:3" x14ac:dyDescent="0.3">
      <c r="B938" s="9">
        <v>66666.666670000006</v>
      </c>
      <c r="C938" s="22">
        <v>0</v>
      </c>
    </row>
    <row r="939" spans="2:3" x14ac:dyDescent="0.3">
      <c r="B939" s="7">
        <v>100000</v>
      </c>
      <c r="C939" s="18">
        <v>0</v>
      </c>
    </row>
    <row r="940" spans="2:3" x14ac:dyDescent="0.3">
      <c r="B940" s="9">
        <v>6250</v>
      </c>
      <c r="C940" s="22">
        <v>1</v>
      </c>
    </row>
    <row r="941" spans="2:3" x14ac:dyDescent="0.3">
      <c r="B941" s="7">
        <v>6250</v>
      </c>
      <c r="C941" s="18">
        <v>0</v>
      </c>
    </row>
    <row r="942" spans="2:3" x14ac:dyDescent="0.3">
      <c r="B942" s="9">
        <v>136363.63639999999</v>
      </c>
      <c r="C942" s="22">
        <v>0</v>
      </c>
    </row>
    <row r="943" spans="2:3" x14ac:dyDescent="0.3">
      <c r="B943" s="7">
        <v>6250</v>
      </c>
      <c r="C943" s="18">
        <v>1</v>
      </c>
    </row>
    <row r="944" spans="2:3" x14ac:dyDescent="0.3">
      <c r="B944" s="9">
        <v>150000</v>
      </c>
      <c r="C944" s="22">
        <v>0</v>
      </c>
    </row>
    <row r="945" spans="2:3" x14ac:dyDescent="0.3">
      <c r="B945" s="7">
        <v>40000</v>
      </c>
      <c r="C945" s="18">
        <v>0</v>
      </c>
    </row>
    <row r="946" spans="2:3" x14ac:dyDescent="0.3">
      <c r="B946" s="9">
        <v>7500</v>
      </c>
      <c r="C946" s="22">
        <v>0</v>
      </c>
    </row>
    <row r="947" spans="2:3" x14ac:dyDescent="0.3">
      <c r="B947" s="7">
        <v>18750</v>
      </c>
      <c r="C947" s="18">
        <v>0</v>
      </c>
    </row>
    <row r="948" spans="2:3" x14ac:dyDescent="0.3">
      <c r="B948" s="9">
        <v>0</v>
      </c>
      <c r="C948" s="22">
        <v>0</v>
      </c>
    </row>
    <row r="949" spans="2:3" x14ac:dyDescent="0.3">
      <c r="B949" s="7">
        <v>35000</v>
      </c>
      <c r="C949" s="18">
        <v>0</v>
      </c>
    </row>
    <row r="950" spans="2:3" x14ac:dyDescent="0.3">
      <c r="B950" s="9">
        <v>5000</v>
      </c>
      <c r="C950" s="22">
        <v>0</v>
      </c>
    </row>
    <row r="951" spans="2:3" x14ac:dyDescent="0.3">
      <c r="B951" s="7">
        <v>47826.086960000001</v>
      </c>
      <c r="C951" s="18">
        <v>0</v>
      </c>
    </row>
    <row r="952" spans="2:3" x14ac:dyDescent="0.3">
      <c r="B952" s="9">
        <v>5000</v>
      </c>
      <c r="C952" s="22">
        <v>0</v>
      </c>
    </row>
    <row r="953" spans="2:3" x14ac:dyDescent="0.3">
      <c r="B953" s="7">
        <v>29761.904760000001</v>
      </c>
      <c r="C953" s="18">
        <v>0</v>
      </c>
    </row>
    <row r="954" spans="2:3" x14ac:dyDescent="0.3">
      <c r="B954" s="9">
        <v>4285.7142860000004</v>
      </c>
      <c r="C954" s="22">
        <v>1</v>
      </c>
    </row>
    <row r="955" spans="2:3" x14ac:dyDescent="0.3">
      <c r="B955" s="7">
        <v>9708.7378640000006</v>
      </c>
      <c r="C955" s="18">
        <v>1</v>
      </c>
    </row>
    <row r="956" spans="2:3" x14ac:dyDescent="0.3">
      <c r="B956" s="9">
        <v>6000</v>
      </c>
      <c r="C956" s="22">
        <v>1</v>
      </c>
    </row>
    <row r="957" spans="2:3" x14ac:dyDescent="0.3">
      <c r="B957" s="7">
        <v>7075.4716980000003</v>
      </c>
      <c r="C957" s="18">
        <v>1</v>
      </c>
    </row>
    <row r="958" spans="2:3" x14ac:dyDescent="0.3">
      <c r="B958" s="9">
        <v>3333.333333</v>
      </c>
      <c r="C958" s="22">
        <v>1</v>
      </c>
    </row>
    <row r="959" spans="2:3" x14ac:dyDescent="0.3">
      <c r="B959" s="7">
        <v>5882.3529410000001</v>
      </c>
      <c r="C959" s="18">
        <v>1</v>
      </c>
    </row>
    <row r="960" spans="2:3" x14ac:dyDescent="0.3">
      <c r="B960" s="9">
        <v>4201.6806720000004</v>
      </c>
      <c r="C960" s="22">
        <v>1</v>
      </c>
    </row>
    <row r="961" spans="2:3" x14ac:dyDescent="0.3">
      <c r="B961" s="7">
        <v>7500</v>
      </c>
      <c r="C961" s="18">
        <v>0</v>
      </c>
    </row>
    <row r="962" spans="2:3" x14ac:dyDescent="0.3">
      <c r="B962" s="9">
        <v>9090.9090909999995</v>
      </c>
      <c r="C962" s="22">
        <v>0</v>
      </c>
    </row>
    <row r="963" spans="2:3" x14ac:dyDescent="0.3">
      <c r="B963" s="7">
        <v>25000</v>
      </c>
      <c r="C963" s="18">
        <v>1</v>
      </c>
    </row>
    <row r="964" spans="2:3" x14ac:dyDescent="0.3">
      <c r="B964" s="9">
        <v>7500</v>
      </c>
      <c r="C964" s="22">
        <v>1</v>
      </c>
    </row>
    <row r="965" spans="2:3" x14ac:dyDescent="0.3">
      <c r="B965" s="7">
        <v>41666.666669999999</v>
      </c>
      <c r="C965" s="18">
        <v>0</v>
      </c>
    </row>
    <row r="966" spans="2:3" x14ac:dyDescent="0.3">
      <c r="B966" s="9">
        <v>155172.41380000001</v>
      </c>
      <c r="C966" s="22">
        <v>1</v>
      </c>
    </row>
    <row r="967" spans="2:3" x14ac:dyDescent="0.3">
      <c r="B967" s="7">
        <v>5000</v>
      </c>
      <c r="C967" s="18">
        <v>0</v>
      </c>
    </row>
    <row r="968" spans="2:3" x14ac:dyDescent="0.3">
      <c r="B968" s="9">
        <v>48387.096769999996</v>
      </c>
      <c r="C968" s="22">
        <v>0</v>
      </c>
    </row>
    <row r="969" spans="2:3" x14ac:dyDescent="0.3">
      <c r="B969" s="7">
        <v>3797.4683540000001</v>
      </c>
      <c r="C969" s="18">
        <v>0</v>
      </c>
    </row>
    <row r="970" spans="2:3" x14ac:dyDescent="0.3">
      <c r="B970" s="9">
        <v>10000</v>
      </c>
      <c r="C970" s="22">
        <v>0</v>
      </c>
    </row>
    <row r="971" spans="2:3" x14ac:dyDescent="0.3">
      <c r="B971" s="7">
        <v>16666.666669999999</v>
      </c>
      <c r="C971" s="18">
        <v>0</v>
      </c>
    </row>
    <row r="972" spans="2:3" x14ac:dyDescent="0.3">
      <c r="B972" s="9">
        <v>30000</v>
      </c>
      <c r="C972" s="22">
        <v>0</v>
      </c>
    </row>
    <row r="973" spans="2:3" x14ac:dyDescent="0.3">
      <c r="B973" s="7">
        <v>150000</v>
      </c>
      <c r="C973" s="18">
        <v>0</v>
      </c>
    </row>
    <row r="974" spans="2:3" x14ac:dyDescent="0.3">
      <c r="B974" s="9">
        <v>125000</v>
      </c>
      <c r="C974" s="22">
        <v>0</v>
      </c>
    </row>
    <row r="975" spans="2:3" x14ac:dyDescent="0.3">
      <c r="B975" s="7">
        <v>150000</v>
      </c>
      <c r="C975" s="18">
        <v>0</v>
      </c>
    </row>
    <row r="976" spans="2:3" x14ac:dyDescent="0.3">
      <c r="B976" s="9">
        <v>47318.611989999998</v>
      </c>
      <c r="C976" s="22">
        <v>0</v>
      </c>
    </row>
    <row r="977" spans="2:3" x14ac:dyDescent="0.3">
      <c r="B977" s="7">
        <v>125000</v>
      </c>
      <c r="C977" s="18">
        <v>0</v>
      </c>
    </row>
    <row r="978" spans="2:3" x14ac:dyDescent="0.3">
      <c r="B978" s="9">
        <v>150000</v>
      </c>
      <c r="C978" s="22">
        <v>0</v>
      </c>
    </row>
    <row r="979" spans="2:3" x14ac:dyDescent="0.3">
      <c r="B979" s="7">
        <v>0</v>
      </c>
      <c r="C979" s="18">
        <v>0</v>
      </c>
    </row>
    <row r="980" spans="2:3" x14ac:dyDescent="0.3">
      <c r="B980" s="9">
        <v>15000</v>
      </c>
      <c r="C980" s="22">
        <v>1</v>
      </c>
    </row>
    <row r="981" spans="2:3" x14ac:dyDescent="0.3">
      <c r="B981" s="7">
        <v>150000</v>
      </c>
      <c r="C981" s="18">
        <v>0</v>
      </c>
    </row>
    <row r="982" spans="2:3" x14ac:dyDescent="0.3">
      <c r="B982" s="9">
        <v>150000</v>
      </c>
      <c r="C982" s="22">
        <v>0</v>
      </c>
    </row>
    <row r="983" spans="2:3" x14ac:dyDescent="0.3">
      <c r="B983" s="7">
        <v>125000</v>
      </c>
      <c r="C983" s="18">
        <v>0</v>
      </c>
    </row>
    <row r="984" spans="2:3" x14ac:dyDescent="0.3">
      <c r="B984" s="9">
        <v>150000</v>
      </c>
      <c r="C984" s="22">
        <v>0</v>
      </c>
    </row>
    <row r="985" spans="2:3" x14ac:dyDescent="0.3">
      <c r="B985" s="7">
        <v>150000</v>
      </c>
      <c r="C985" s="18">
        <v>0</v>
      </c>
    </row>
    <row r="986" spans="2:3" x14ac:dyDescent="0.3">
      <c r="B986" s="9">
        <v>-25000</v>
      </c>
      <c r="C986" s="22">
        <v>0</v>
      </c>
    </row>
    <row r="987" spans="2:3" x14ac:dyDescent="0.3">
      <c r="B987" s="7">
        <v>150000</v>
      </c>
      <c r="C987" s="18">
        <v>0</v>
      </c>
    </row>
    <row r="988" spans="2:3" x14ac:dyDescent="0.3">
      <c r="B988" s="9">
        <v>-20833.333330000001</v>
      </c>
      <c r="C988" s="22">
        <v>0</v>
      </c>
    </row>
    <row r="989" spans="2:3" x14ac:dyDescent="0.3">
      <c r="B989" s="7">
        <v>150000</v>
      </c>
      <c r="C989" s="18">
        <v>0</v>
      </c>
    </row>
    <row r="990" spans="2:3" x14ac:dyDescent="0.3">
      <c r="B990" s="9">
        <v>125000</v>
      </c>
      <c r="C990" s="22">
        <v>0</v>
      </c>
    </row>
    <row r="991" spans="2:3" x14ac:dyDescent="0.3">
      <c r="B991" s="7">
        <v>50000</v>
      </c>
      <c r="C991" s="18">
        <v>0</v>
      </c>
    </row>
    <row r="992" spans="2:3" x14ac:dyDescent="0.3">
      <c r="B992" s="9">
        <v>150000</v>
      </c>
      <c r="C992" s="22">
        <v>0</v>
      </c>
    </row>
    <row r="993" spans="2:3" x14ac:dyDescent="0.3">
      <c r="B993" s="7">
        <v>50000</v>
      </c>
      <c r="C993" s="18">
        <v>0</v>
      </c>
    </row>
    <row r="994" spans="2:3" x14ac:dyDescent="0.3">
      <c r="B994" s="9">
        <v>75000</v>
      </c>
      <c r="C994" s="22">
        <v>0</v>
      </c>
    </row>
    <row r="995" spans="2:3" x14ac:dyDescent="0.3">
      <c r="B995" s="7">
        <v>150000</v>
      </c>
      <c r="C995" s="18">
        <v>0</v>
      </c>
    </row>
    <row r="996" spans="2:3" x14ac:dyDescent="0.3">
      <c r="B996" s="9">
        <v>75000</v>
      </c>
      <c r="C996" s="22">
        <v>0</v>
      </c>
    </row>
    <row r="997" spans="2:3" x14ac:dyDescent="0.3">
      <c r="B997" s="7">
        <v>150000</v>
      </c>
      <c r="C997" s="18">
        <v>0</v>
      </c>
    </row>
    <row r="998" spans="2:3" x14ac:dyDescent="0.3">
      <c r="B998" s="9">
        <v>125000</v>
      </c>
      <c r="C998" s="22">
        <v>0</v>
      </c>
    </row>
    <row r="999" spans="2:3" x14ac:dyDescent="0.3">
      <c r="B999" s="7">
        <v>150000</v>
      </c>
      <c r="C999" s="18">
        <v>0</v>
      </c>
    </row>
    <row r="1000" spans="2:3" x14ac:dyDescent="0.3">
      <c r="B1000" s="9">
        <v>125000</v>
      </c>
      <c r="C1000" s="22">
        <v>0</v>
      </c>
    </row>
    <row r="1001" spans="2:3" x14ac:dyDescent="0.3">
      <c r="B1001" s="7">
        <v>50000</v>
      </c>
      <c r="C1001" s="18">
        <v>0</v>
      </c>
    </row>
    <row r="1002" spans="2:3" x14ac:dyDescent="0.3">
      <c r="B1002" s="9">
        <v>18000</v>
      </c>
      <c r="C1002" s="22">
        <v>0</v>
      </c>
    </row>
    <row r="1003" spans="2:3" x14ac:dyDescent="0.3">
      <c r="B1003" s="7">
        <v>38793.103450000002</v>
      </c>
      <c r="C1003" s="18">
        <v>0</v>
      </c>
    </row>
    <row r="1004" spans="2:3" x14ac:dyDescent="0.3">
      <c r="B1004" s="9">
        <v>121621.6216</v>
      </c>
      <c r="C1004" s="22">
        <v>0</v>
      </c>
    </row>
    <row r="1005" spans="2:3" x14ac:dyDescent="0.3">
      <c r="B1005" s="7">
        <v>3750</v>
      </c>
      <c r="C1005" s="18">
        <v>0</v>
      </c>
    </row>
    <row r="1006" spans="2:3" x14ac:dyDescent="0.3">
      <c r="B1006" s="9">
        <v>22500</v>
      </c>
      <c r="C1006" s="22">
        <v>0</v>
      </c>
    </row>
    <row r="1007" spans="2:3" x14ac:dyDescent="0.3">
      <c r="B1007" s="7">
        <v>20930.23256</v>
      </c>
      <c r="C1007" s="18">
        <v>0</v>
      </c>
    </row>
    <row r="1008" spans="2:3" x14ac:dyDescent="0.3">
      <c r="B1008" s="9">
        <v>37500</v>
      </c>
      <c r="C1008" s="22">
        <v>0</v>
      </c>
    </row>
    <row r="1009" spans="2:3" x14ac:dyDescent="0.3">
      <c r="B1009" s="7">
        <v>93846.153850000002</v>
      </c>
      <c r="C1009" s="18">
        <v>0</v>
      </c>
    </row>
    <row r="1010" spans="2:3" x14ac:dyDescent="0.3">
      <c r="B1010" s="9">
        <v>-3289.473684</v>
      </c>
      <c r="C1010" s="22">
        <v>0</v>
      </c>
    </row>
    <row r="1011" spans="2:3" x14ac:dyDescent="0.3">
      <c r="B1011" s="7">
        <v>-4926.1083740000004</v>
      </c>
      <c r="C1011" s="18">
        <v>0</v>
      </c>
    </row>
    <row r="1012" spans="2:3" x14ac:dyDescent="0.3">
      <c r="B1012" s="9">
        <v>9090.9090909999995</v>
      </c>
      <c r="C1012" s="22">
        <v>0</v>
      </c>
    </row>
    <row r="1013" spans="2:3" x14ac:dyDescent="0.3">
      <c r="B1013" s="7">
        <v>-4761.9047620000001</v>
      </c>
      <c r="C1013" s="18">
        <v>0</v>
      </c>
    </row>
    <row r="1014" spans="2:3" x14ac:dyDescent="0.3">
      <c r="B1014" s="9">
        <v>16666.666669999999</v>
      </c>
      <c r="C1014" s="22">
        <v>0</v>
      </c>
    </row>
    <row r="1015" spans="2:3" x14ac:dyDescent="0.3">
      <c r="B1015" s="7">
        <v>1492.537313</v>
      </c>
      <c r="C1015" s="18">
        <v>0</v>
      </c>
    </row>
    <row r="1016" spans="2:3" x14ac:dyDescent="0.3">
      <c r="B1016" s="9">
        <v>2314.8148150000002</v>
      </c>
      <c r="C1016" s="22">
        <v>0</v>
      </c>
    </row>
    <row r="1017" spans="2:3" x14ac:dyDescent="0.3">
      <c r="B1017" s="7">
        <v>-2314.8148150000002</v>
      </c>
      <c r="C1017" s="18">
        <v>0</v>
      </c>
    </row>
    <row r="1018" spans="2:3" x14ac:dyDescent="0.3">
      <c r="B1018" s="9">
        <v>-16129.03226</v>
      </c>
      <c r="C1018" s="22">
        <v>0</v>
      </c>
    </row>
    <row r="1019" spans="2:3" x14ac:dyDescent="0.3">
      <c r="B1019" s="7">
        <v>18181.818179999998</v>
      </c>
      <c r="C1019" s="18">
        <v>0</v>
      </c>
    </row>
    <row r="1020" spans="2:3" x14ac:dyDescent="0.3">
      <c r="B1020" s="9">
        <v>16666.666669999999</v>
      </c>
      <c r="C1020" s="22">
        <v>0</v>
      </c>
    </row>
    <row r="1021" spans="2:3" x14ac:dyDescent="0.3">
      <c r="B1021" s="7">
        <v>13636.36364</v>
      </c>
      <c r="C1021" s="18">
        <v>1</v>
      </c>
    </row>
    <row r="1022" spans="2:3" x14ac:dyDescent="0.3">
      <c r="B1022" s="9">
        <v>16666.666669999999</v>
      </c>
      <c r="C1022" s="22">
        <v>1</v>
      </c>
    </row>
    <row r="1023" spans="2:3" x14ac:dyDescent="0.3">
      <c r="B1023" s="7">
        <v>5882.3529410000001</v>
      </c>
      <c r="C1023" s="18">
        <v>1</v>
      </c>
    </row>
    <row r="1024" spans="2:3" x14ac:dyDescent="0.3">
      <c r="B1024" s="9">
        <v>2500</v>
      </c>
      <c r="C1024" s="22">
        <v>1</v>
      </c>
    </row>
    <row r="1025" spans="2:3" x14ac:dyDescent="0.3">
      <c r="B1025" s="7">
        <v>12500</v>
      </c>
      <c r="C1025" s="18">
        <v>1</v>
      </c>
    </row>
    <row r="1026" spans="2:3" x14ac:dyDescent="0.3">
      <c r="B1026" s="9">
        <v>143884.8921</v>
      </c>
      <c r="C1026" s="22">
        <v>1</v>
      </c>
    </row>
    <row r="1027" spans="2:3" x14ac:dyDescent="0.3">
      <c r="B1027" s="7">
        <v>150000</v>
      </c>
      <c r="C1027" s="18">
        <v>0</v>
      </c>
    </row>
    <row r="1028" spans="2:3" x14ac:dyDescent="0.3">
      <c r="B1028" s="9">
        <v>58333.333330000001</v>
      </c>
      <c r="C1028" s="22">
        <v>0</v>
      </c>
    </row>
    <row r="1029" spans="2:3" x14ac:dyDescent="0.3">
      <c r="B1029" s="7">
        <v>25000</v>
      </c>
      <c r="C1029" s="18">
        <v>0</v>
      </c>
    </row>
    <row r="1030" spans="2:3" x14ac:dyDescent="0.3">
      <c r="B1030" s="9">
        <v>100000</v>
      </c>
      <c r="C1030" s="22">
        <v>0</v>
      </c>
    </row>
    <row r="1031" spans="2:3" x14ac:dyDescent="0.3">
      <c r="B1031" s="7">
        <v>100000</v>
      </c>
      <c r="C1031" s="18">
        <v>0</v>
      </c>
    </row>
    <row r="1032" spans="2:3" x14ac:dyDescent="0.3">
      <c r="B1032" s="9">
        <v>100000</v>
      </c>
      <c r="C1032" s="22">
        <v>0</v>
      </c>
    </row>
    <row r="1033" spans="2:3" x14ac:dyDescent="0.3">
      <c r="B1033" s="7">
        <v>150000</v>
      </c>
      <c r="C1033" s="18">
        <v>0</v>
      </c>
    </row>
    <row r="1034" spans="2:3" x14ac:dyDescent="0.3">
      <c r="B1034" s="9">
        <v>23809.523809999999</v>
      </c>
      <c r="C1034" s="22">
        <v>0</v>
      </c>
    </row>
    <row r="1035" spans="2:3" x14ac:dyDescent="0.3">
      <c r="B1035" s="7">
        <v>83333.333329999994</v>
      </c>
      <c r="C1035" s="18">
        <v>0</v>
      </c>
    </row>
    <row r="1036" spans="2:3" x14ac:dyDescent="0.3">
      <c r="B1036" s="9">
        <v>140000</v>
      </c>
      <c r="C1036" s="22">
        <v>0</v>
      </c>
    </row>
    <row r="1037" spans="2:3" x14ac:dyDescent="0.3">
      <c r="B1037" s="7">
        <v>150000</v>
      </c>
      <c r="C1037" s="18">
        <v>0</v>
      </c>
    </row>
    <row r="1038" spans="2:3" x14ac:dyDescent="0.3">
      <c r="B1038" s="9">
        <v>150000</v>
      </c>
      <c r="C1038" s="22">
        <v>0</v>
      </c>
    </row>
    <row r="1039" spans="2:3" x14ac:dyDescent="0.3">
      <c r="B1039" s="7">
        <v>150000</v>
      </c>
      <c r="C1039" s="18">
        <v>0</v>
      </c>
    </row>
    <row r="1040" spans="2:3" x14ac:dyDescent="0.3">
      <c r="B1040" s="9">
        <v>125000</v>
      </c>
      <c r="C1040" s="22">
        <v>0</v>
      </c>
    </row>
    <row r="1041" spans="2:3" x14ac:dyDescent="0.3">
      <c r="B1041" s="7">
        <v>-31250</v>
      </c>
      <c r="C1041" s="18">
        <v>0</v>
      </c>
    </row>
    <row r="1042" spans="2:3" x14ac:dyDescent="0.3">
      <c r="B1042" s="9">
        <v>125000</v>
      </c>
      <c r="C1042" s="22">
        <v>0</v>
      </c>
    </row>
    <row r="1043" spans="2:3" x14ac:dyDescent="0.3">
      <c r="B1043" s="7">
        <v>0</v>
      </c>
      <c r="C1043" s="18">
        <v>0</v>
      </c>
    </row>
    <row r="1044" spans="2:3" x14ac:dyDescent="0.3">
      <c r="B1044" s="9">
        <v>-4166.6666670000004</v>
      </c>
      <c r="C1044" s="22">
        <v>0</v>
      </c>
    </row>
    <row r="1045" spans="2:3" x14ac:dyDescent="0.3">
      <c r="B1045" s="7">
        <v>40909.090909999999</v>
      </c>
      <c r="C1045" s="18">
        <v>1</v>
      </c>
    </row>
    <row r="1046" spans="2:3" x14ac:dyDescent="0.3">
      <c r="B1046" s="9">
        <v>42307.692309999999</v>
      </c>
      <c r="C1046" s="22">
        <v>1</v>
      </c>
    </row>
    <row r="1047" spans="2:3" x14ac:dyDescent="0.3">
      <c r="B1047" s="7">
        <v>18333.333330000001</v>
      </c>
      <c r="C1047" s="18">
        <v>1</v>
      </c>
    </row>
    <row r="1048" spans="2:3" x14ac:dyDescent="0.3">
      <c r="B1048" s="9">
        <v>125000</v>
      </c>
      <c r="C1048" s="22">
        <v>1</v>
      </c>
    </row>
    <row r="1049" spans="2:3" x14ac:dyDescent="0.3">
      <c r="B1049" s="7">
        <v>35714.285709999996</v>
      </c>
      <c r="C1049" s="18">
        <v>1</v>
      </c>
    </row>
    <row r="1050" spans="2:3" x14ac:dyDescent="0.3">
      <c r="B1050" s="9">
        <v>15000</v>
      </c>
      <c r="C1050" s="22">
        <v>0</v>
      </c>
    </row>
    <row r="1051" spans="2:3" x14ac:dyDescent="0.3">
      <c r="B1051" s="7">
        <v>75000</v>
      </c>
      <c r="C1051" s="18">
        <v>0</v>
      </c>
    </row>
    <row r="1052" spans="2:3" x14ac:dyDescent="0.3">
      <c r="B1052" s="9">
        <v>-12500</v>
      </c>
      <c r="C1052" s="22">
        <v>0</v>
      </c>
    </row>
    <row r="1053" spans="2:3" x14ac:dyDescent="0.3">
      <c r="B1053" s="7">
        <v>-5000</v>
      </c>
      <c r="C1053" s="18">
        <v>1</v>
      </c>
    </row>
    <row r="1054" spans="2:3" x14ac:dyDescent="0.3">
      <c r="B1054" s="9">
        <v>-5000</v>
      </c>
      <c r="C1054" s="22">
        <v>0</v>
      </c>
    </row>
    <row r="1055" spans="2:3" x14ac:dyDescent="0.3">
      <c r="B1055" s="7">
        <v>-5000</v>
      </c>
      <c r="C1055" s="18">
        <v>0</v>
      </c>
    </row>
    <row r="1056" spans="2:3" x14ac:dyDescent="0.3">
      <c r="B1056" s="9">
        <v>-62500</v>
      </c>
      <c r="C1056" s="22">
        <v>0</v>
      </c>
    </row>
    <row r="1057" spans="2:3" x14ac:dyDescent="0.3">
      <c r="B1057" s="7">
        <v>4761.9047620000001</v>
      </c>
      <c r="C1057" s="18">
        <v>0</v>
      </c>
    </row>
    <row r="1058" spans="2:3" x14ac:dyDescent="0.3">
      <c r="B1058" s="9">
        <v>-8064.5161289999996</v>
      </c>
      <c r="C1058" s="22">
        <v>0</v>
      </c>
    </row>
    <row r="1059" spans="2:3" x14ac:dyDescent="0.3">
      <c r="B1059" s="7">
        <v>8333.3333330000005</v>
      </c>
      <c r="C1059" s="18">
        <v>0</v>
      </c>
    </row>
    <row r="1060" spans="2:3" x14ac:dyDescent="0.3">
      <c r="B1060" s="9">
        <v>-6521.7391299999999</v>
      </c>
      <c r="C1060" s="22">
        <v>0</v>
      </c>
    </row>
    <row r="1061" spans="2:3" x14ac:dyDescent="0.3">
      <c r="B1061" s="7">
        <v>66666.666670000006</v>
      </c>
      <c r="C1061" s="18">
        <v>1</v>
      </c>
    </row>
    <row r="1062" spans="2:3" x14ac:dyDescent="0.3">
      <c r="B1062" s="9">
        <v>66666.666670000006</v>
      </c>
      <c r="C1062" s="22">
        <v>0</v>
      </c>
    </row>
    <row r="1063" spans="2:3" x14ac:dyDescent="0.3">
      <c r="B1063" s="7">
        <v>4000</v>
      </c>
      <c r="C1063" s="18">
        <v>0</v>
      </c>
    </row>
    <row r="1064" spans="2:3" x14ac:dyDescent="0.3">
      <c r="B1064" s="9">
        <v>-11904.7619</v>
      </c>
      <c r="C1064" s="22">
        <v>0</v>
      </c>
    </row>
    <row r="1065" spans="2:3" x14ac:dyDescent="0.3">
      <c r="B1065" s="7">
        <v>33333.333330000001</v>
      </c>
      <c r="C1065" s="18">
        <v>0</v>
      </c>
    </row>
    <row r="1066" spans="2:3" x14ac:dyDescent="0.3">
      <c r="B1066" s="9">
        <v>10000</v>
      </c>
      <c r="C1066" s="22">
        <v>0</v>
      </c>
    </row>
    <row r="1067" spans="2:3" x14ac:dyDescent="0.3">
      <c r="B1067" s="7">
        <v>34615.384619999997</v>
      </c>
      <c r="C1067" s="18">
        <v>1</v>
      </c>
    </row>
    <row r="1068" spans="2:3" x14ac:dyDescent="0.3">
      <c r="B1068" s="9">
        <v>100000</v>
      </c>
      <c r="C1068" s="22">
        <v>0</v>
      </c>
    </row>
    <row r="1069" spans="2:3" x14ac:dyDescent="0.3">
      <c r="B1069" s="7">
        <v>82857.142860000007</v>
      </c>
      <c r="C1069" s="18">
        <v>1</v>
      </c>
    </row>
    <row r="1070" spans="2:3" x14ac:dyDescent="0.3">
      <c r="B1070" s="9">
        <v>145000</v>
      </c>
      <c r="C1070" s="22">
        <v>1</v>
      </c>
    </row>
    <row r="1071" spans="2:3" x14ac:dyDescent="0.3">
      <c r="B1071" s="7">
        <v>50000</v>
      </c>
      <c r="C1071" s="18">
        <v>0</v>
      </c>
    </row>
    <row r="1072" spans="2:3" x14ac:dyDescent="0.3">
      <c r="B1072" s="9">
        <v>66666.666670000006</v>
      </c>
      <c r="C1072" s="22">
        <v>0</v>
      </c>
    </row>
    <row r="1073" spans="2:3" x14ac:dyDescent="0.3">
      <c r="B1073" s="7">
        <v>100000</v>
      </c>
      <c r="C1073" s="18">
        <v>1</v>
      </c>
    </row>
    <row r="1074" spans="2:3" x14ac:dyDescent="0.3">
      <c r="B1074" s="9">
        <v>136363.63639999999</v>
      </c>
      <c r="C1074" s="22">
        <v>0</v>
      </c>
    </row>
    <row r="1075" spans="2:3" x14ac:dyDescent="0.3">
      <c r="B1075" s="7">
        <v>-5714.2857139999996</v>
      </c>
      <c r="C1075" s="18">
        <v>1</v>
      </c>
    </row>
    <row r="1076" spans="2:3" x14ac:dyDescent="0.3">
      <c r="B1076" s="9">
        <v>111111.11109999999</v>
      </c>
      <c r="C1076" s="22">
        <v>1</v>
      </c>
    </row>
    <row r="1077" spans="2:3" x14ac:dyDescent="0.3">
      <c r="B1077" s="7">
        <v>100000</v>
      </c>
      <c r="C1077" s="18">
        <v>0</v>
      </c>
    </row>
    <row r="1078" spans="2:3" x14ac:dyDescent="0.3">
      <c r="B1078" s="9">
        <v>136363.63639999999</v>
      </c>
      <c r="C1078" s="22">
        <v>0</v>
      </c>
    </row>
    <row r="1079" spans="2:3" x14ac:dyDescent="0.3">
      <c r="B1079" s="7">
        <v>95000</v>
      </c>
      <c r="C1079" s="18">
        <v>1</v>
      </c>
    </row>
    <row r="1080" spans="2:3" x14ac:dyDescent="0.3">
      <c r="B1080" s="9">
        <v>100000</v>
      </c>
      <c r="C1080" s="22">
        <v>1</v>
      </c>
    </row>
    <row r="1081" spans="2:3" x14ac:dyDescent="0.3">
      <c r="B1081" s="7">
        <v>100000</v>
      </c>
      <c r="C1081" s="18">
        <v>0</v>
      </c>
    </row>
    <row r="1082" spans="2:3" x14ac:dyDescent="0.3">
      <c r="B1082" s="9">
        <v>25000</v>
      </c>
      <c r="C1082" s="22">
        <v>0</v>
      </c>
    </row>
    <row r="1083" spans="2:3" x14ac:dyDescent="0.3">
      <c r="B1083" s="7">
        <v>83333.333329999994</v>
      </c>
      <c r="C1083" s="18">
        <v>0</v>
      </c>
    </row>
    <row r="1084" spans="2:3" x14ac:dyDescent="0.3">
      <c r="B1084" s="9">
        <v>36904.761899999998</v>
      </c>
      <c r="C1084" s="22">
        <v>0</v>
      </c>
    </row>
    <row r="1085" spans="2:3" x14ac:dyDescent="0.3">
      <c r="B1085" s="7">
        <v>100000</v>
      </c>
      <c r="C1085" s="18">
        <v>0</v>
      </c>
    </row>
    <row r="1086" spans="2:3" x14ac:dyDescent="0.3">
      <c r="B1086" s="9">
        <v>40000</v>
      </c>
      <c r="C1086" s="22">
        <v>0</v>
      </c>
    </row>
    <row r="1087" spans="2:3" x14ac:dyDescent="0.3">
      <c r="B1087" s="7">
        <v>75000</v>
      </c>
      <c r="C1087" s="18">
        <v>0</v>
      </c>
    </row>
    <row r="1088" spans="2:3" x14ac:dyDescent="0.3">
      <c r="B1088" s="9">
        <v>70093.457939999993</v>
      </c>
      <c r="C1088" s="22">
        <v>0</v>
      </c>
    </row>
    <row r="1089" spans="2:3" x14ac:dyDescent="0.3">
      <c r="B1089" s="7">
        <v>15000</v>
      </c>
      <c r="C1089" s="18">
        <v>0</v>
      </c>
    </row>
    <row r="1090" spans="2:3" x14ac:dyDescent="0.3">
      <c r="B1090" s="9">
        <v>83333.333329999994</v>
      </c>
      <c r="C1090" s="22">
        <v>0</v>
      </c>
    </row>
    <row r="1091" spans="2:3" x14ac:dyDescent="0.3">
      <c r="B1091" s="7">
        <v>50000</v>
      </c>
      <c r="C1091" s="18">
        <v>0</v>
      </c>
    </row>
    <row r="1092" spans="2:3" x14ac:dyDescent="0.3">
      <c r="B1092" s="9">
        <v>50000</v>
      </c>
      <c r="C1092" s="22">
        <v>0</v>
      </c>
    </row>
    <row r="1093" spans="2:3" x14ac:dyDescent="0.3">
      <c r="B1093" s="7">
        <v>150000</v>
      </c>
      <c r="C1093" s="18">
        <v>0</v>
      </c>
    </row>
    <row r="1094" spans="2:3" x14ac:dyDescent="0.3">
      <c r="B1094" s="9">
        <v>100000</v>
      </c>
      <c r="C1094" s="22">
        <v>0</v>
      </c>
    </row>
    <row r="1095" spans="2:3" x14ac:dyDescent="0.3">
      <c r="B1095" s="7">
        <v>100000</v>
      </c>
      <c r="C1095" s="18">
        <v>0</v>
      </c>
    </row>
    <row r="1096" spans="2:3" x14ac:dyDescent="0.3">
      <c r="B1096" s="9">
        <v>68493.150680000006</v>
      </c>
      <c r="C1096" s="22">
        <v>0</v>
      </c>
    </row>
    <row r="1097" spans="2:3" x14ac:dyDescent="0.3">
      <c r="B1097" s="7">
        <v>100000</v>
      </c>
      <c r="C1097" s="18">
        <v>0</v>
      </c>
    </row>
    <row r="1098" spans="2:3" x14ac:dyDescent="0.3">
      <c r="B1098" s="9">
        <v>136363.63639999999</v>
      </c>
      <c r="C1098" s="22">
        <v>0</v>
      </c>
    </row>
    <row r="1099" spans="2:3" x14ac:dyDescent="0.3">
      <c r="B1099" s="7">
        <v>5000</v>
      </c>
      <c r="C1099" s="18">
        <v>1</v>
      </c>
    </row>
    <row r="1100" spans="2:3" x14ac:dyDescent="0.3">
      <c r="B1100" s="9">
        <v>-40000</v>
      </c>
      <c r="C1100" s="22">
        <v>1</v>
      </c>
    </row>
    <row r="1101" spans="2:3" x14ac:dyDescent="0.3">
      <c r="B1101" s="7">
        <v>30000</v>
      </c>
      <c r="C1101" s="18">
        <v>1</v>
      </c>
    </row>
    <row r="1102" spans="2:3" x14ac:dyDescent="0.3">
      <c r="B1102" s="9">
        <v>3750</v>
      </c>
      <c r="C1102" s="22">
        <v>0</v>
      </c>
    </row>
    <row r="1103" spans="2:3" x14ac:dyDescent="0.3">
      <c r="B1103" s="7">
        <v>25000</v>
      </c>
      <c r="C1103" s="18">
        <v>0</v>
      </c>
    </row>
    <row r="1104" spans="2:3" x14ac:dyDescent="0.3">
      <c r="B1104" s="9">
        <v>7500</v>
      </c>
      <c r="C1104" s="22">
        <v>0</v>
      </c>
    </row>
    <row r="1105" spans="2:3" x14ac:dyDescent="0.3">
      <c r="B1105" s="7">
        <v>15000</v>
      </c>
      <c r="C1105" s="18">
        <v>0</v>
      </c>
    </row>
    <row r="1106" spans="2:3" x14ac:dyDescent="0.3">
      <c r="C1106" s="22">
        <v>0</v>
      </c>
    </row>
    <row r="1107" spans="2:3" x14ac:dyDescent="0.3">
      <c r="C1107" s="18">
        <v>0</v>
      </c>
    </row>
    <row r="1108" spans="2:3" x14ac:dyDescent="0.3">
      <c r="C1108" s="22">
        <v>0</v>
      </c>
    </row>
    <row r="1109" spans="2:3" x14ac:dyDescent="0.3">
      <c r="C1109" s="18">
        <v>0</v>
      </c>
    </row>
    <row r="1110" spans="2:3" x14ac:dyDescent="0.3">
      <c r="C1110" s="22">
        <v>0</v>
      </c>
    </row>
    <row r="1111" spans="2:3" x14ac:dyDescent="0.3">
      <c r="C1111" s="18">
        <v>0</v>
      </c>
    </row>
    <row r="1112" spans="2:3" x14ac:dyDescent="0.3">
      <c r="C1112" s="22">
        <v>0</v>
      </c>
    </row>
    <row r="1113" spans="2:3" x14ac:dyDescent="0.3">
      <c r="C1113" s="18">
        <v>1</v>
      </c>
    </row>
    <row r="1114" spans="2:3" x14ac:dyDescent="0.3">
      <c r="C1114" s="22">
        <v>0</v>
      </c>
    </row>
    <row r="1115" spans="2:3" x14ac:dyDescent="0.3">
      <c r="C1115" s="18">
        <v>0</v>
      </c>
    </row>
    <row r="1116" spans="2:3" x14ac:dyDescent="0.3">
      <c r="C1116" s="22">
        <v>0</v>
      </c>
    </row>
    <row r="1117" spans="2:3" x14ac:dyDescent="0.3">
      <c r="C1117" s="18">
        <v>0</v>
      </c>
    </row>
    <row r="1118" spans="2:3" x14ac:dyDescent="0.3">
      <c r="C1118" s="22">
        <v>0</v>
      </c>
    </row>
    <row r="1119" spans="2:3" x14ac:dyDescent="0.3">
      <c r="C1119" s="18">
        <v>1</v>
      </c>
    </row>
    <row r="1120" spans="2:3" x14ac:dyDescent="0.3">
      <c r="C1120" s="22">
        <v>0</v>
      </c>
    </row>
    <row r="1121" spans="3:3" x14ac:dyDescent="0.3">
      <c r="C1121" s="18">
        <v>0</v>
      </c>
    </row>
    <row r="1122" spans="3:3" x14ac:dyDescent="0.3">
      <c r="C1122" s="22">
        <v>0</v>
      </c>
    </row>
    <row r="1123" spans="3:3" x14ac:dyDescent="0.3">
      <c r="C1123" s="18">
        <v>0</v>
      </c>
    </row>
    <row r="1124" spans="3:3" x14ac:dyDescent="0.3">
      <c r="C1124" s="22">
        <v>0</v>
      </c>
    </row>
    <row r="1125" spans="3:3" x14ac:dyDescent="0.3">
      <c r="C1125" s="18">
        <v>0</v>
      </c>
    </row>
    <row r="1126" spans="3:3" x14ac:dyDescent="0.3">
      <c r="C1126" s="22">
        <v>0</v>
      </c>
    </row>
    <row r="1127" spans="3:3" x14ac:dyDescent="0.3">
      <c r="C1127" s="18">
        <v>0</v>
      </c>
    </row>
    <row r="1128" spans="3:3" x14ac:dyDescent="0.3">
      <c r="C1128" s="22">
        <v>0</v>
      </c>
    </row>
    <row r="1129" spans="3:3" x14ac:dyDescent="0.3">
      <c r="C1129" s="18">
        <v>0</v>
      </c>
    </row>
    <row r="1130" spans="3:3" x14ac:dyDescent="0.3">
      <c r="C1130" s="22">
        <v>0</v>
      </c>
    </row>
    <row r="1131" spans="3:3" x14ac:dyDescent="0.3">
      <c r="C1131" s="18">
        <v>1</v>
      </c>
    </row>
    <row r="1132" spans="3:3" x14ac:dyDescent="0.3">
      <c r="C1132" s="22">
        <v>0</v>
      </c>
    </row>
    <row r="1133" spans="3:3" x14ac:dyDescent="0.3">
      <c r="C1133" s="18">
        <v>0</v>
      </c>
    </row>
    <row r="1134" spans="3:3" x14ac:dyDescent="0.3">
      <c r="C1134" s="22">
        <v>0</v>
      </c>
    </row>
    <row r="1135" spans="3:3" x14ac:dyDescent="0.3">
      <c r="C1135" s="18">
        <v>0</v>
      </c>
    </row>
    <row r="1136" spans="3:3" x14ac:dyDescent="0.3">
      <c r="C1136" s="22">
        <v>0</v>
      </c>
    </row>
    <row r="1137" spans="3:3" x14ac:dyDescent="0.3">
      <c r="C1137" s="18">
        <v>1</v>
      </c>
    </row>
    <row r="1138" spans="3:3" x14ac:dyDescent="0.3">
      <c r="C1138" s="22">
        <v>1</v>
      </c>
    </row>
    <row r="1139" spans="3:3" x14ac:dyDescent="0.3">
      <c r="C1139" s="18">
        <v>0</v>
      </c>
    </row>
    <row r="1140" spans="3:3" x14ac:dyDescent="0.3">
      <c r="C1140" s="22">
        <v>0</v>
      </c>
    </row>
    <row r="1141" spans="3:3" x14ac:dyDescent="0.3">
      <c r="C1141" s="18">
        <v>0</v>
      </c>
    </row>
    <row r="1142" spans="3:3" x14ac:dyDescent="0.3">
      <c r="C1142" s="22">
        <v>0</v>
      </c>
    </row>
    <row r="1143" spans="3:3" x14ac:dyDescent="0.3">
      <c r="C1143" s="18">
        <v>0</v>
      </c>
    </row>
    <row r="1144" spans="3:3" x14ac:dyDescent="0.3">
      <c r="C1144" s="22">
        <v>0</v>
      </c>
    </row>
    <row r="1145" spans="3:3" x14ac:dyDescent="0.3">
      <c r="C1145" s="18">
        <v>0</v>
      </c>
    </row>
    <row r="1146" spans="3:3" x14ac:dyDescent="0.3">
      <c r="C1146" s="22">
        <v>0</v>
      </c>
    </row>
    <row r="1147" spans="3:3" x14ac:dyDescent="0.3">
      <c r="C1147" s="18">
        <v>1</v>
      </c>
    </row>
    <row r="1148" spans="3:3" x14ac:dyDescent="0.3">
      <c r="C1148" s="22">
        <v>1</v>
      </c>
    </row>
    <row r="1149" spans="3:3" x14ac:dyDescent="0.3">
      <c r="C1149" s="18">
        <v>1</v>
      </c>
    </row>
    <row r="1150" spans="3:3" x14ac:dyDescent="0.3">
      <c r="C1150" s="22">
        <v>1</v>
      </c>
    </row>
    <row r="1151" spans="3:3" x14ac:dyDescent="0.3">
      <c r="C1151" s="18">
        <v>0</v>
      </c>
    </row>
    <row r="1152" spans="3:3" x14ac:dyDescent="0.3">
      <c r="C1152" s="22">
        <v>1</v>
      </c>
    </row>
    <row r="1153" spans="3:3" x14ac:dyDescent="0.3">
      <c r="C1153" s="18">
        <v>1</v>
      </c>
    </row>
    <row r="1154" spans="3:3" x14ac:dyDescent="0.3">
      <c r="C1154" s="22">
        <v>0</v>
      </c>
    </row>
    <row r="1155" spans="3:3" x14ac:dyDescent="0.3">
      <c r="C1155" s="18">
        <v>0</v>
      </c>
    </row>
    <row r="1156" spans="3:3" x14ac:dyDescent="0.3">
      <c r="C1156" s="22">
        <v>0</v>
      </c>
    </row>
    <row r="1157" spans="3:3" x14ac:dyDescent="0.3">
      <c r="C1157" s="18">
        <v>0</v>
      </c>
    </row>
    <row r="1158" spans="3:3" x14ac:dyDescent="0.3">
      <c r="C1158" s="22">
        <v>0</v>
      </c>
    </row>
    <row r="1159" spans="3:3" x14ac:dyDescent="0.3">
      <c r="C1159" s="18">
        <v>0</v>
      </c>
    </row>
    <row r="1160" spans="3:3" x14ac:dyDescent="0.3">
      <c r="C1160" s="22">
        <v>1</v>
      </c>
    </row>
    <row r="1161" spans="3:3" x14ac:dyDescent="0.3">
      <c r="C1161" s="18">
        <v>1</v>
      </c>
    </row>
    <row r="1162" spans="3:3" x14ac:dyDescent="0.3">
      <c r="C1162" s="22">
        <v>1</v>
      </c>
    </row>
    <row r="1163" spans="3:3" x14ac:dyDescent="0.3">
      <c r="C1163" s="18">
        <v>1</v>
      </c>
    </row>
    <row r="1164" spans="3:3" x14ac:dyDescent="0.3">
      <c r="C1164" s="22">
        <v>1</v>
      </c>
    </row>
    <row r="1165" spans="3:3" x14ac:dyDescent="0.3">
      <c r="C1165" s="18">
        <v>1</v>
      </c>
    </row>
    <row r="1166" spans="3:3" x14ac:dyDescent="0.3">
      <c r="C1166" s="22">
        <v>1</v>
      </c>
    </row>
    <row r="1167" spans="3:3" x14ac:dyDescent="0.3">
      <c r="C1167" s="18">
        <v>1</v>
      </c>
    </row>
    <row r="1168" spans="3:3" x14ac:dyDescent="0.3">
      <c r="C1168" s="22">
        <v>1</v>
      </c>
    </row>
    <row r="1169" spans="3:3" x14ac:dyDescent="0.3">
      <c r="C1169" s="18">
        <v>0</v>
      </c>
    </row>
    <row r="1170" spans="3:3" x14ac:dyDescent="0.3">
      <c r="C1170" s="22">
        <v>0</v>
      </c>
    </row>
    <row r="1171" spans="3:3" x14ac:dyDescent="0.3">
      <c r="C1171" s="18">
        <v>0</v>
      </c>
    </row>
    <row r="1172" spans="3:3" x14ac:dyDescent="0.3">
      <c r="C1172" s="22">
        <v>0</v>
      </c>
    </row>
    <row r="1173" spans="3:3" x14ac:dyDescent="0.3">
      <c r="C1173" s="18">
        <v>0</v>
      </c>
    </row>
    <row r="1174" spans="3:3" x14ac:dyDescent="0.3">
      <c r="C1174" s="22">
        <v>1</v>
      </c>
    </row>
    <row r="1175" spans="3:3" x14ac:dyDescent="0.3">
      <c r="C1175" s="18">
        <v>0</v>
      </c>
    </row>
    <row r="1176" spans="3:3" x14ac:dyDescent="0.3">
      <c r="C1176" s="22">
        <v>0</v>
      </c>
    </row>
    <row r="1177" spans="3:3" x14ac:dyDescent="0.3">
      <c r="C1177" s="18">
        <v>1</v>
      </c>
    </row>
    <row r="1178" spans="3:3" x14ac:dyDescent="0.3">
      <c r="C1178" s="22">
        <v>1</v>
      </c>
    </row>
    <row r="1179" spans="3:3" x14ac:dyDescent="0.3">
      <c r="C1179" s="18">
        <v>1</v>
      </c>
    </row>
    <row r="1180" spans="3:3" x14ac:dyDescent="0.3">
      <c r="C1180" s="22">
        <v>1</v>
      </c>
    </row>
    <row r="1181" spans="3:3" x14ac:dyDescent="0.3">
      <c r="C1181" s="18">
        <v>1</v>
      </c>
    </row>
    <row r="1182" spans="3:3" x14ac:dyDescent="0.3">
      <c r="C1182" s="22">
        <v>0</v>
      </c>
    </row>
    <row r="1183" spans="3:3" x14ac:dyDescent="0.3">
      <c r="C1183" s="18">
        <v>0</v>
      </c>
    </row>
    <row r="1184" spans="3:3" x14ac:dyDescent="0.3">
      <c r="C1184" s="22">
        <v>0</v>
      </c>
    </row>
    <row r="1185" spans="3:3" x14ac:dyDescent="0.3">
      <c r="C1185" s="18">
        <v>0</v>
      </c>
    </row>
    <row r="1186" spans="3:3" x14ac:dyDescent="0.3">
      <c r="C1186" s="22">
        <v>0</v>
      </c>
    </row>
    <row r="1187" spans="3:3" x14ac:dyDescent="0.3">
      <c r="C1187" s="18">
        <v>0</v>
      </c>
    </row>
    <row r="1188" spans="3:3" x14ac:dyDescent="0.3">
      <c r="C1188" s="22">
        <v>0</v>
      </c>
    </row>
    <row r="1189" spans="3:3" x14ac:dyDescent="0.3">
      <c r="C1189" s="18">
        <v>0</v>
      </c>
    </row>
    <row r="1190" spans="3:3" x14ac:dyDescent="0.3">
      <c r="C1190" s="22">
        <v>0</v>
      </c>
    </row>
    <row r="1191" spans="3:3" x14ac:dyDescent="0.3">
      <c r="C1191" s="18">
        <v>0</v>
      </c>
    </row>
    <row r="1192" spans="3:3" x14ac:dyDescent="0.3">
      <c r="C1192" s="22">
        <v>0</v>
      </c>
    </row>
    <row r="1193" spans="3:3" x14ac:dyDescent="0.3">
      <c r="C1193" s="18">
        <v>0</v>
      </c>
    </row>
    <row r="1194" spans="3:3" x14ac:dyDescent="0.3">
      <c r="C1194" s="22">
        <v>0</v>
      </c>
    </row>
    <row r="1195" spans="3:3" x14ac:dyDescent="0.3">
      <c r="C1195" s="18">
        <v>0</v>
      </c>
    </row>
    <row r="1196" spans="3:3" x14ac:dyDescent="0.3">
      <c r="C1196" s="22">
        <v>1</v>
      </c>
    </row>
    <row r="1197" spans="3:3" x14ac:dyDescent="0.3">
      <c r="C1197" s="18">
        <v>0</v>
      </c>
    </row>
    <row r="1198" spans="3:3" x14ac:dyDescent="0.3">
      <c r="C1198" s="22">
        <v>0</v>
      </c>
    </row>
    <row r="1199" spans="3:3" x14ac:dyDescent="0.3">
      <c r="C1199" s="18">
        <v>0</v>
      </c>
    </row>
    <row r="1200" spans="3:3" x14ac:dyDescent="0.3">
      <c r="C1200" s="22">
        <v>1</v>
      </c>
    </row>
    <row r="1201" spans="3:3" x14ac:dyDescent="0.3">
      <c r="C1201" s="18">
        <v>0</v>
      </c>
    </row>
    <row r="1202" spans="3:3" x14ac:dyDescent="0.3">
      <c r="C1202" s="22">
        <v>0</v>
      </c>
    </row>
    <row r="1203" spans="3:3" x14ac:dyDescent="0.3">
      <c r="C1203" s="18">
        <v>0</v>
      </c>
    </row>
    <row r="1204" spans="3:3" x14ac:dyDescent="0.3">
      <c r="C1204" s="22">
        <v>0</v>
      </c>
    </row>
    <row r="1205" spans="3:3" x14ac:dyDescent="0.3">
      <c r="C1205" s="18">
        <v>0</v>
      </c>
    </row>
    <row r="1206" spans="3:3" x14ac:dyDescent="0.3">
      <c r="C1206" s="22">
        <v>0</v>
      </c>
    </row>
    <row r="1207" spans="3:3" x14ac:dyDescent="0.3">
      <c r="C1207" s="18">
        <v>0</v>
      </c>
    </row>
    <row r="1208" spans="3:3" x14ac:dyDescent="0.3">
      <c r="C1208" s="22">
        <v>0</v>
      </c>
    </row>
    <row r="1209" spans="3:3" x14ac:dyDescent="0.3">
      <c r="C1209" s="18">
        <v>0</v>
      </c>
    </row>
    <row r="1210" spans="3:3" x14ac:dyDescent="0.3">
      <c r="C1210" s="22">
        <v>1</v>
      </c>
    </row>
    <row r="1211" spans="3:3" x14ac:dyDescent="0.3">
      <c r="C1211" s="18">
        <v>1</v>
      </c>
    </row>
    <row r="1212" spans="3:3" x14ac:dyDescent="0.3">
      <c r="C1212" s="22">
        <v>1</v>
      </c>
    </row>
    <row r="1213" spans="3:3" x14ac:dyDescent="0.3">
      <c r="C1213" s="18">
        <v>1</v>
      </c>
    </row>
    <row r="1214" spans="3:3" x14ac:dyDescent="0.3">
      <c r="C1214" s="22">
        <v>1</v>
      </c>
    </row>
    <row r="1215" spans="3:3" x14ac:dyDescent="0.3">
      <c r="C1215" s="18">
        <v>0</v>
      </c>
    </row>
    <row r="1216" spans="3:3" x14ac:dyDescent="0.3">
      <c r="C1216" s="22">
        <v>1</v>
      </c>
    </row>
    <row r="1217" spans="3:3" x14ac:dyDescent="0.3">
      <c r="C1217" s="18">
        <v>1</v>
      </c>
    </row>
    <row r="1218" spans="3:3" x14ac:dyDescent="0.3">
      <c r="C1218" s="22">
        <v>1</v>
      </c>
    </row>
    <row r="1219" spans="3:3" x14ac:dyDescent="0.3">
      <c r="C1219" s="18">
        <v>1</v>
      </c>
    </row>
    <row r="1220" spans="3:3" x14ac:dyDescent="0.3">
      <c r="C1220" s="10">
        <v>1</v>
      </c>
    </row>
  </sheetData>
  <autoFilter ref="B2:C1220" xr:uid="{2548CDC7-2C34-4E67-947C-2DAAA308F4F7}"/>
  <mergeCells count="4">
    <mergeCell ref="N39:P39"/>
    <mergeCell ref="N40:P40"/>
    <mergeCell ref="N41:P41"/>
    <mergeCell ref="P1:Q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C6925-8095-41CA-A38C-D93E3EDFA643}">
  <dimension ref="A1:K9"/>
  <sheetViews>
    <sheetView workbookViewId="0">
      <selection activeCell="S8" sqref="S8"/>
    </sheetView>
  </sheetViews>
  <sheetFormatPr defaultRowHeight="14.4" x14ac:dyDescent="0.3"/>
  <cols>
    <col min="1" max="1" width="12.5546875" bestFit="1" customWidth="1"/>
    <col min="2" max="2" width="22.44140625" bestFit="1" customWidth="1"/>
    <col min="3" max="3" width="18.44140625" bestFit="1" customWidth="1"/>
    <col min="5" max="5" width="12.5546875" bestFit="1" customWidth="1"/>
    <col min="6" max="6" width="7.88671875" bestFit="1" customWidth="1"/>
    <col min="7" max="7" width="10" bestFit="1" customWidth="1"/>
  </cols>
  <sheetData>
    <row r="1" spans="1:11" ht="15.6" x14ac:dyDescent="0.3">
      <c r="I1" s="44" t="s">
        <v>90</v>
      </c>
      <c r="J1" s="44"/>
      <c r="K1" s="44"/>
    </row>
    <row r="3" spans="1:11" x14ac:dyDescent="0.3">
      <c r="A3" s="4" t="s">
        <v>39</v>
      </c>
      <c r="B3" t="s">
        <v>91</v>
      </c>
      <c r="C3" t="s">
        <v>92</v>
      </c>
      <c r="E3" s="4" t="s">
        <v>39</v>
      </c>
      <c r="F3" t="s">
        <v>93</v>
      </c>
      <c r="G3" t="s">
        <v>94</v>
      </c>
    </row>
    <row r="4" spans="1:11" x14ac:dyDescent="0.3">
      <c r="A4" s="5" t="s">
        <v>17</v>
      </c>
      <c r="B4">
        <v>70</v>
      </c>
      <c r="C4">
        <v>1</v>
      </c>
      <c r="E4" s="5" t="s">
        <v>17</v>
      </c>
      <c r="F4">
        <v>45</v>
      </c>
      <c r="G4">
        <v>26</v>
      </c>
    </row>
    <row r="5" spans="1:11" x14ac:dyDescent="0.3">
      <c r="A5" s="5" t="s">
        <v>13</v>
      </c>
      <c r="B5">
        <v>123</v>
      </c>
      <c r="C5">
        <v>174</v>
      </c>
      <c r="E5" s="5" t="s">
        <v>13</v>
      </c>
      <c r="F5">
        <v>164</v>
      </c>
      <c r="G5">
        <v>133</v>
      </c>
    </row>
    <row r="6" spans="1:11" x14ac:dyDescent="0.3">
      <c r="A6" s="5" t="s">
        <v>15</v>
      </c>
      <c r="B6">
        <v>3</v>
      </c>
      <c r="C6">
        <v>397</v>
      </c>
      <c r="E6" s="5" t="s">
        <v>15</v>
      </c>
      <c r="F6">
        <v>58</v>
      </c>
      <c r="G6">
        <v>342</v>
      </c>
    </row>
    <row r="7" spans="1:11" x14ac:dyDescent="0.3">
      <c r="A7" s="5" t="s">
        <v>18</v>
      </c>
      <c r="B7">
        <v>2</v>
      </c>
      <c r="C7">
        <v>67</v>
      </c>
      <c r="E7" s="5" t="s">
        <v>18</v>
      </c>
      <c r="F7">
        <v>9</v>
      </c>
      <c r="G7">
        <v>60</v>
      </c>
    </row>
    <row r="8" spans="1:11" x14ac:dyDescent="0.3">
      <c r="A8" s="5" t="s">
        <v>16</v>
      </c>
      <c r="B8">
        <v>204</v>
      </c>
      <c r="C8">
        <v>177</v>
      </c>
      <c r="E8" s="5" t="s">
        <v>16</v>
      </c>
      <c r="F8">
        <v>382</v>
      </c>
      <c r="G8">
        <v>288</v>
      </c>
    </row>
    <row r="9" spans="1:11" x14ac:dyDescent="0.3">
      <c r="A9" s="5" t="s">
        <v>38</v>
      </c>
      <c r="B9">
        <v>402</v>
      </c>
      <c r="C9">
        <v>816</v>
      </c>
      <c r="E9" s="5" t="s">
        <v>38</v>
      </c>
      <c r="F9">
        <v>658</v>
      </c>
      <c r="G9">
        <v>849</v>
      </c>
    </row>
  </sheetData>
  <mergeCells count="1">
    <mergeCell ref="I1:K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F4782-D56B-408F-9A1D-B9C8E65D2062}">
  <dimension ref="A3:N403"/>
  <sheetViews>
    <sheetView zoomScale="73" workbookViewId="0">
      <selection activeCell="P5" sqref="P5"/>
    </sheetView>
  </sheetViews>
  <sheetFormatPr defaultRowHeight="14.4" x14ac:dyDescent="0.3"/>
  <cols>
    <col min="1" max="1" width="22.77734375" bestFit="1" customWidth="1"/>
    <col min="2" max="2" width="23.44140625" bestFit="1" customWidth="1"/>
    <col min="3" max="3" width="20.21875" bestFit="1" customWidth="1"/>
    <col min="4" max="4" width="19.109375" bestFit="1" customWidth="1"/>
    <col min="5" max="5" width="22.6640625" bestFit="1" customWidth="1"/>
    <col min="6" max="6" width="21.44140625" bestFit="1" customWidth="1"/>
    <col min="7" max="7" width="22.109375" bestFit="1" customWidth="1"/>
    <col min="8" max="8" width="20" bestFit="1" customWidth="1"/>
    <col min="9" max="9" width="17.77734375" bestFit="1" customWidth="1"/>
    <col min="10" max="10" width="21.33203125" bestFit="1" customWidth="1"/>
  </cols>
  <sheetData>
    <row r="3" spans="1:10" x14ac:dyDescent="0.3">
      <c r="A3" s="3" t="s">
        <v>42</v>
      </c>
      <c r="B3" s="3" t="s">
        <v>43</v>
      </c>
      <c r="C3" t="s">
        <v>44</v>
      </c>
      <c r="D3" s="3" t="s">
        <v>45</v>
      </c>
      <c r="E3" s="3" t="s">
        <v>46</v>
      </c>
      <c r="F3" s="3" t="s">
        <v>47</v>
      </c>
      <c r="G3" s="3" t="s">
        <v>48</v>
      </c>
      <c r="H3" s="3" t="s">
        <v>49</v>
      </c>
      <c r="I3" s="3" t="s">
        <v>50</v>
      </c>
      <c r="J3" s="3" t="s">
        <v>51</v>
      </c>
    </row>
    <row r="4" spans="1:10" x14ac:dyDescent="0.3">
      <c r="A4" s="3">
        <v>32573.2899</v>
      </c>
      <c r="B4" s="3">
        <v>155172.41380000001</v>
      </c>
      <c r="C4" s="3">
        <v>35937.5</v>
      </c>
      <c r="D4" s="3">
        <v>133333.3333</v>
      </c>
      <c r="E4" s="3">
        <v>40000</v>
      </c>
      <c r="F4" s="3">
        <f>AVERAGE(A4:A384)</f>
        <v>16436.977321101585</v>
      </c>
      <c r="G4" s="3">
        <f>AVERAGE(B4:B72)</f>
        <v>22751.754211710155</v>
      </c>
      <c r="H4" s="3">
        <f>AVERAGE(C4:C290)</f>
        <v>27602.121820354354</v>
      </c>
      <c r="I4" s="3">
        <f>AVERAGE(D4:D403)</f>
        <v>60389.185411277525</v>
      </c>
      <c r="J4" s="3">
        <f>AVERAGE(E4:E74)</f>
        <v>66092.289352774664</v>
      </c>
    </row>
    <row r="5" spans="1:10" x14ac:dyDescent="0.3">
      <c r="A5" s="3">
        <v>100000</v>
      </c>
      <c r="B5" s="3">
        <v>5000</v>
      </c>
      <c r="C5" s="3">
        <v>61264.82213</v>
      </c>
      <c r="D5" s="3">
        <v>34000</v>
      </c>
      <c r="E5" s="3">
        <v>16129.03226</v>
      </c>
    </row>
    <row r="6" spans="1:10" x14ac:dyDescent="0.3">
      <c r="A6" s="3">
        <v>45731.707320000001</v>
      </c>
      <c r="B6" s="3">
        <v>48387.096769999996</v>
      </c>
      <c r="C6" s="3">
        <v>25000</v>
      </c>
      <c r="D6" s="3">
        <v>43478.260869999998</v>
      </c>
      <c r="E6" s="3">
        <v>18750</v>
      </c>
    </row>
    <row r="7" spans="1:10" x14ac:dyDescent="0.3">
      <c r="A7" s="3">
        <v>0</v>
      </c>
      <c r="B7" s="3">
        <v>3797.4683540000001</v>
      </c>
      <c r="C7" s="3">
        <v>31111.111110000002</v>
      </c>
      <c r="D7" s="3">
        <v>8333.3333330000005</v>
      </c>
      <c r="E7" s="3">
        <v>0</v>
      </c>
    </row>
    <row r="8" spans="1:10" x14ac:dyDescent="0.3">
      <c r="A8" s="3">
        <v>5000</v>
      </c>
      <c r="B8" s="3">
        <v>10000</v>
      </c>
      <c r="C8" s="3">
        <v>20161.29032</v>
      </c>
      <c r="D8" s="3">
        <v>78695.652170000001</v>
      </c>
      <c r="E8" s="3">
        <v>35000</v>
      </c>
    </row>
    <row r="9" spans="1:10" x14ac:dyDescent="0.3">
      <c r="A9" s="3">
        <v>17857.14286</v>
      </c>
      <c r="B9" s="3">
        <v>2564.1025639999998</v>
      </c>
      <c r="C9" s="3">
        <v>24000</v>
      </c>
      <c r="D9" s="3">
        <v>139705.8824</v>
      </c>
      <c r="E9" s="3">
        <v>9375</v>
      </c>
    </row>
    <row r="10" spans="1:10" x14ac:dyDescent="0.3">
      <c r="A10" s="3">
        <v>6250</v>
      </c>
      <c r="B10" s="3">
        <v>5000</v>
      </c>
      <c r="C10" s="3">
        <v>32500</v>
      </c>
      <c r="D10" s="3">
        <v>41666.666669999999</v>
      </c>
      <c r="E10" s="3">
        <v>47826.086960000001</v>
      </c>
    </row>
    <row r="11" spans="1:10" x14ac:dyDescent="0.3">
      <c r="A11" s="3">
        <v>25000</v>
      </c>
      <c r="B11" s="3">
        <v>0</v>
      </c>
      <c r="C11" s="3">
        <v>24444.444439999999</v>
      </c>
      <c r="D11" s="3">
        <v>24545.454549999999</v>
      </c>
      <c r="E11" s="3">
        <v>5000</v>
      </c>
    </row>
    <row r="12" spans="1:10" x14ac:dyDescent="0.3">
      <c r="A12" s="3">
        <v>1000</v>
      </c>
      <c r="B12" s="3">
        <v>15000</v>
      </c>
      <c r="C12" s="3">
        <v>21739.130430000001</v>
      </c>
      <c r="D12" s="3">
        <v>33854.166669999999</v>
      </c>
      <c r="E12" s="3">
        <v>29761.904760000001</v>
      </c>
    </row>
    <row r="13" spans="1:10" x14ac:dyDescent="0.3">
      <c r="A13" s="3">
        <v>16666.666669999999</v>
      </c>
      <c r="B13" s="3">
        <v>18000</v>
      </c>
      <c r="C13" s="3">
        <v>15000</v>
      </c>
      <c r="D13" s="3">
        <v>44166.666669999999</v>
      </c>
      <c r="E13" s="3">
        <v>150000</v>
      </c>
    </row>
    <row r="14" spans="1:10" x14ac:dyDescent="0.3">
      <c r="A14" s="3">
        <v>2500</v>
      </c>
      <c r="B14" s="3">
        <v>38793.103450000002</v>
      </c>
      <c r="C14" s="3">
        <v>33333.333330000001</v>
      </c>
      <c r="D14" s="3">
        <v>50000</v>
      </c>
      <c r="E14" s="3">
        <v>125000</v>
      </c>
    </row>
    <row r="15" spans="1:10" x14ac:dyDescent="0.3">
      <c r="A15" s="3">
        <v>5000</v>
      </c>
      <c r="B15" s="3">
        <v>121621.6216</v>
      </c>
      <c r="C15" s="3">
        <v>23255.81395</v>
      </c>
      <c r="D15" s="3">
        <v>16540.75547</v>
      </c>
      <c r="E15" s="3">
        <v>150000</v>
      </c>
    </row>
    <row r="16" spans="1:10" x14ac:dyDescent="0.3">
      <c r="A16" s="3">
        <v>6000</v>
      </c>
      <c r="B16" s="3">
        <v>3750</v>
      </c>
      <c r="C16" s="3">
        <v>67500</v>
      </c>
      <c r="D16" s="3">
        <v>67500</v>
      </c>
      <c r="E16" s="3">
        <v>47318.611989999998</v>
      </c>
    </row>
    <row r="17" spans="1:14" x14ac:dyDescent="0.3">
      <c r="A17" s="3">
        <v>5000</v>
      </c>
      <c r="B17" s="3">
        <v>22500</v>
      </c>
      <c r="C17" s="3">
        <v>28888.888889999998</v>
      </c>
      <c r="D17" s="3">
        <v>12000</v>
      </c>
      <c r="E17" s="3">
        <v>125000</v>
      </c>
    </row>
    <row r="18" spans="1:14" x14ac:dyDescent="0.3">
      <c r="A18" s="3">
        <v>10000</v>
      </c>
      <c r="B18" s="3">
        <v>20930.23256</v>
      </c>
      <c r="C18" s="3">
        <v>-12500</v>
      </c>
      <c r="D18" s="3">
        <v>117000</v>
      </c>
      <c r="E18" s="3">
        <v>150000</v>
      </c>
    </row>
    <row r="19" spans="1:14" x14ac:dyDescent="0.3">
      <c r="A19" s="3">
        <v>0</v>
      </c>
      <c r="B19" s="3">
        <v>37500</v>
      </c>
      <c r="C19" s="3">
        <v>-833.33333330000005</v>
      </c>
      <c r="D19" s="3">
        <v>14705.88235</v>
      </c>
      <c r="E19" s="3">
        <v>150000</v>
      </c>
    </row>
    <row r="20" spans="1:14" x14ac:dyDescent="0.3">
      <c r="A20" s="3">
        <v>20000</v>
      </c>
      <c r="B20" s="3">
        <v>93846.153850000002</v>
      </c>
      <c r="C20" s="3">
        <v>0</v>
      </c>
      <c r="D20" s="3">
        <v>73130.841119999997</v>
      </c>
      <c r="E20" s="3">
        <v>150000</v>
      </c>
    </row>
    <row r="21" spans="1:14" x14ac:dyDescent="0.3">
      <c r="A21" s="3">
        <v>41666.666669999999</v>
      </c>
      <c r="B21" s="3">
        <v>-3289.473684</v>
      </c>
      <c r="C21" s="3">
        <v>-2500</v>
      </c>
      <c r="D21" s="3">
        <v>95000</v>
      </c>
      <c r="E21" s="3">
        <v>125000</v>
      </c>
    </row>
    <row r="22" spans="1:14" x14ac:dyDescent="0.3">
      <c r="A22" s="3">
        <v>41666.666669999999</v>
      </c>
      <c r="B22" s="3">
        <v>-4926.1083740000004</v>
      </c>
      <c r="C22" s="3">
        <v>0</v>
      </c>
      <c r="D22" s="3">
        <v>20000</v>
      </c>
      <c r="E22" s="3">
        <v>150000</v>
      </c>
    </row>
    <row r="23" spans="1:14" x14ac:dyDescent="0.3">
      <c r="A23" s="3">
        <v>8426.9662919999992</v>
      </c>
      <c r="B23" s="3">
        <v>9090.9090909999995</v>
      </c>
      <c r="C23" s="3">
        <v>0</v>
      </c>
      <c r="D23" s="3">
        <v>11090.909089999999</v>
      </c>
      <c r="E23" s="3">
        <v>150000</v>
      </c>
    </row>
    <row r="24" spans="1:14" x14ac:dyDescent="0.3">
      <c r="A24" s="3">
        <v>9090.9090909999995</v>
      </c>
      <c r="B24" s="3">
        <v>-4761.9047620000001</v>
      </c>
      <c r="C24" s="3">
        <v>-5376.3440860000001</v>
      </c>
      <c r="D24" s="3">
        <v>63833.333330000001</v>
      </c>
      <c r="E24" s="3">
        <v>-25000</v>
      </c>
    </row>
    <row r="25" spans="1:14" ht="18" x14ac:dyDescent="0.3">
      <c r="A25" s="3">
        <v>5000</v>
      </c>
      <c r="B25" s="3">
        <v>16666.666669999999</v>
      </c>
      <c r="C25" s="3">
        <v>50000</v>
      </c>
      <c r="D25" s="3">
        <v>63058.823530000001</v>
      </c>
      <c r="E25" s="3">
        <v>150000</v>
      </c>
      <c r="K25" s="39" t="s">
        <v>95</v>
      </c>
      <c r="L25" s="39"/>
      <c r="M25" s="29"/>
      <c r="N25" s="29"/>
    </row>
    <row r="26" spans="1:14" x14ac:dyDescent="0.3">
      <c r="A26" s="3">
        <v>4000</v>
      </c>
      <c r="B26" s="3">
        <v>1492.537313</v>
      </c>
      <c r="C26" s="3">
        <v>50000</v>
      </c>
      <c r="D26" s="3">
        <v>16400</v>
      </c>
      <c r="E26" s="3">
        <v>-20833.333330000001</v>
      </c>
    </row>
    <row r="27" spans="1:14" x14ac:dyDescent="0.3">
      <c r="A27" s="3">
        <v>20000</v>
      </c>
      <c r="B27" s="3">
        <v>2314.8148150000002</v>
      </c>
      <c r="C27" s="3">
        <v>60000</v>
      </c>
      <c r="D27" s="3">
        <v>-49666.666669999999</v>
      </c>
      <c r="E27" s="3">
        <v>150000</v>
      </c>
    </row>
    <row r="28" spans="1:14" x14ac:dyDescent="0.3">
      <c r="A28" s="3">
        <v>18181.818179999998</v>
      </c>
      <c r="B28" s="3">
        <v>-2314.8148150000002</v>
      </c>
      <c r="C28" s="3">
        <v>25000</v>
      </c>
      <c r="D28" s="3">
        <v>50909.090909999999</v>
      </c>
      <c r="E28" s="3">
        <v>125000</v>
      </c>
    </row>
    <row r="29" spans="1:14" x14ac:dyDescent="0.3">
      <c r="A29" s="3">
        <v>3333.333333</v>
      </c>
      <c r="B29" s="3">
        <v>-16129.03226</v>
      </c>
      <c r="C29" s="3">
        <v>26666.666669999999</v>
      </c>
      <c r="D29" s="3">
        <v>69230.769230000005</v>
      </c>
      <c r="E29" s="3">
        <v>50000</v>
      </c>
    </row>
    <row r="30" spans="1:14" x14ac:dyDescent="0.3">
      <c r="A30" s="3">
        <v>3636.363636</v>
      </c>
      <c r="B30" s="3">
        <v>25000</v>
      </c>
      <c r="C30" s="3">
        <v>13333.333329999999</v>
      </c>
      <c r="D30" s="3">
        <v>85600</v>
      </c>
      <c r="E30" s="3">
        <v>150000</v>
      </c>
    </row>
    <row r="31" spans="1:14" x14ac:dyDescent="0.3">
      <c r="A31" s="3">
        <v>23364.485980000001</v>
      </c>
      <c r="B31" s="3">
        <v>58333.333330000001</v>
      </c>
      <c r="C31" s="3">
        <v>50000</v>
      </c>
      <c r="D31" s="3">
        <v>100000</v>
      </c>
      <c r="E31" s="3">
        <v>50000</v>
      </c>
    </row>
    <row r="32" spans="1:14" x14ac:dyDescent="0.3">
      <c r="A32" s="3">
        <v>6887.052342</v>
      </c>
      <c r="B32" s="3">
        <v>25000</v>
      </c>
      <c r="C32" s="3">
        <v>50000</v>
      </c>
      <c r="D32" s="3">
        <v>20000</v>
      </c>
      <c r="E32" s="3">
        <v>75000</v>
      </c>
    </row>
    <row r="33" spans="1:5" x14ac:dyDescent="0.3">
      <c r="A33" s="3">
        <v>8888.8888889999998</v>
      </c>
      <c r="B33" s="3">
        <v>72000</v>
      </c>
      <c r="C33" s="3">
        <v>40000</v>
      </c>
      <c r="D33" s="3">
        <v>40000</v>
      </c>
      <c r="E33" s="3">
        <v>150000</v>
      </c>
    </row>
    <row r="34" spans="1:5" x14ac:dyDescent="0.3">
      <c r="A34" s="3">
        <v>-3571.4285709999999</v>
      </c>
      <c r="B34" s="3">
        <v>25000</v>
      </c>
      <c r="C34" s="3">
        <v>40000</v>
      </c>
      <c r="D34" s="3">
        <v>84158.415840000001</v>
      </c>
      <c r="E34" s="3">
        <v>75000</v>
      </c>
    </row>
    <row r="35" spans="1:5" x14ac:dyDescent="0.3">
      <c r="A35" s="3">
        <v>34825.870649999997</v>
      </c>
      <c r="B35" s="3">
        <v>50000</v>
      </c>
      <c r="C35" s="3">
        <v>60000</v>
      </c>
      <c r="D35" s="3">
        <v>81102.362200000003</v>
      </c>
      <c r="E35" s="3">
        <v>150000</v>
      </c>
    </row>
    <row r="36" spans="1:5" x14ac:dyDescent="0.3">
      <c r="A36" s="3">
        <v>7142.8571430000002</v>
      </c>
      <c r="B36" s="3">
        <v>50000</v>
      </c>
      <c r="C36" s="3">
        <v>10000</v>
      </c>
      <c r="D36" s="3">
        <v>115384.6154</v>
      </c>
      <c r="E36" s="3">
        <v>125000</v>
      </c>
    </row>
    <row r="37" spans="1:5" x14ac:dyDescent="0.3">
      <c r="A37" s="3">
        <v>45714.285709999996</v>
      </c>
      <c r="B37" s="3">
        <v>23809.523809999999</v>
      </c>
      <c r="C37" s="3">
        <v>50000</v>
      </c>
      <c r="D37" s="3">
        <v>55000</v>
      </c>
      <c r="E37" s="3">
        <v>150000</v>
      </c>
    </row>
    <row r="38" spans="1:5" x14ac:dyDescent="0.3">
      <c r="A38" s="3">
        <v>11363.63636</v>
      </c>
      <c r="B38" s="3">
        <v>50000</v>
      </c>
      <c r="C38" s="3">
        <v>120000</v>
      </c>
      <c r="D38" s="3">
        <v>41500</v>
      </c>
      <c r="E38" s="3">
        <v>125000</v>
      </c>
    </row>
    <row r="39" spans="1:5" x14ac:dyDescent="0.3">
      <c r="A39" s="3">
        <v>55000</v>
      </c>
      <c r="B39" s="3">
        <v>0</v>
      </c>
      <c r="C39" s="3">
        <v>-20000</v>
      </c>
      <c r="D39" s="3">
        <v>40000</v>
      </c>
      <c r="E39" s="3">
        <v>50000</v>
      </c>
    </row>
    <row r="40" spans="1:5" x14ac:dyDescent="0.3">
      <c r="A40" s="3">
        <v>4000</v>
      </c>
      <c r="B40" s="3">
        <v>-4166.6666670000004</v>
      </c>
      <c r="C40" s="3">
        <v>50000</v>
      </c>
      <c r="D40" s="3">
        <v>150000</v>
      </c>
      <c r="E40" s="3">
        <v>140000</v>
      </c>
    </row>
    <row r="41" spans="1:5" x14ac:dyDescent="0.3">
      <c r="A41" s="3">
        <v>10000</v>
      </c>
      <c r="B41" s="3">
        <v>40909.090909999999</v>
      </c>
      <c r="C41" s="3">
        <v>60000</v>
      </c>
      <c r="D41" s="3">
        <v>145000</v>
      </c>
      <c r="E41" s="3">
        <v>150000</v>
      </c>
    </row>
    <row r="42" spans="1:5" x14ac:dyDescent="0.3">
      <c r="A42" s="3">
        <v>11904.7619</v>
      </c>
      <c r="B42" s="3">
        <v>42307.692309999999</v>
      </c>
      <c r="C42" s="3">
        <v>20000</v>
      </c>
      <c r="D42" s="3">
        <v>75000</v>
      </c>
      <c r="E42" s="3">
        <v>150000</v>
      </c>
    </row>
    <row r="43" spans="1:5" x14ac:dyDescent="0.3">
      <c r="A43" s="3">
        <v>9302.3255809999991</v>
      </c>
      <c r="B43" s="3">
        <v>18333.333330000001</v>
      </c>
      <c r="C43" s="3">
        <v>70000</v>
      </c>
      <c r="D43" s="3">
        <v>90909.090909999999</v>
      </c>
      <c r="E43" s="3">
        <v>150000</v>
      </c>
    </row>
    <row r="44" spans="1:5" x14ac:dyDescent="0.3">
      <c r="A44" s="3">
        <v>3125</v>
      </c>
      <c r="B44" s="3">
        <v>125000</v>
      </c>
      <c r="C44" s="3">
        <v>40000</v>
      </c>
      <c r="D44" s="3">
        <v>13043.47826</v>
      </c>
      <c r="E44" s="3">
        <v>125000</v>
      </c>
    </row>
    <row r="45" spans="1:5" x14ac:dyDescent="0.3">
      <c r="A45" s="3">
        <v>7662.8352489999997</v>
      </c>
      <c r="B45" s="3">
        <v>35714.285709999996</v>
      </c>
      <c r="C45" s="3">
        <v>50000</v>
      </c>
      <c r="D45" s="3">
        <v>75000</v>
      </c>
      <c r="E45" s="3">
        <v>-31250</v>
      </c>
    </row>
    <row r="46" spans="1:5" x14ac:dyDescent="0.3">
      <c r="A46" s="3">
        <v>2500</v>
      </c>
      <c r="B46" s="3">
        <v>15000</v>
      </c>
      <c r="C46" s="3">
        <v>60000</v>
      </c>
      <c r="D46" s="3">
        <v>119047.61900000001</v>
      </c>
      <c r="E46" s="3">
        <v>125000</v>
      </c>
    </row>
    <row r="47" spans="1:5" x14ac:dyDescent="0.3">
      <c r="A47" s="3">
        <v>4687.5</v>
      </c>
      <c r="B47" s="3">
        <v>4761.9047620000001</v>
      </c>
      <c r="C47" s="3">
        <v>33333.333330000001</v>
      </c>
      <c r="D47" s="3">
        <v>59090.909090000001</v>
      </c>
      <c r="E47" s="3">
        <v>75000</v>
      </c>
    </row>
    <row r="48" spans="1:5" x14ac:dyDescent="0.3">
      <c r="A48" s="3">
        <v>4285.7142860000004</v>
      </c>
      <c r="B48" s="3">
        <v>-8064.5161289999996</v>
      </c>
      <c r="C48" s="3">
        <v>40000</v>
      </c>
      <c r="D48" s="3">
        <v>86666.666670000006</v>
      </c>
      <c r="E48" s="3">
        <v>-12500</v>
      </c>
    </row>
    <row r="49" spans="1:5" x14ac:dyDescent="0.3">
      <c r="A49" s="3">
        <v>-25000</v>
      </c>
      <c r="B49" s="3">
        <v>8333.3333330000005</v>
      </c>
      <c r="C49" s="3">
        <v>36666.666669999999</v>
      </c>
      <c r="D49" s="3">
        <v>100000</v>
      </c>
      <c r="E49" s="3">
        <v>-5000</v>
      </c>
    </row>
    <row r="50" spans="1:5" x14ac:dyDescent="0.3">
      <c r="A50" s="3">
        <v>6818.181818</v>
      </c>
      <c r="B50" s="3">
        <v>-6521.7391299999999</v>
      </c>
      <c r="C50" s="3">
        <v>30000</v>
      </c>
      <c r="D50" s="3">
        <v>31250</v>
      </c>
      <c r="E50" s="3">
        <v>-5000</v>
      </c>
    </row>
    <row r="51" spans="1:5" x14ac:dyDescent="0.3">
      <c r="A51" s="3">
        <v>4716.9811319999999</v>
      </c>
      <c r="B51" s="3">
        <v>66666.666670000006</v>
      </c>
      <c r="C51" s="3">
        <v>33333.333330000001</v>
      </c>
      <c r="D51" s="3">
        <v>98800</v>
      </c>
      <c r="E51" s="3">
        <v>-5000</v>
      </c>
    </row>
    <row r="52" spans="1:5" x14ac:dyDescent="0.3">
      <c r="A52" s="3">
        <v>-43478.260869999998</v>
      </c>
      <c r="B52" s="3">
        <v>50000</v>
      </c>
      <c r="C52" s="3">
        <v>-40000</v>
      </c>
      <c r="D52" s="3">
        <v>79454.545450000005</v>
      </c>
      <c r="E52" s="3">
        <v>-62500</v>
      </c>
    </row>
    <row r="53" spans="1:5" x14ac:dyDescent="0.3">
      <c r="A53" s="3">
        <v>12500</v>
      </c>
      <c r="B53" s="3">
        <v>4000</v>
      </c>
      <c r="C53" s="3">
        <v>30000</v>
      </c>
      <c r="D53" s="3">
        <v>50000</v>
      </c>
      <c r="E53" s="3">
        <v>32154.340840000001</v>
      </c>
    </row>
    <row r="54" spans="1:5" x14ac:dyDescent="0.3">
      <c r="A54" s="3">
        <v>1886.792453</v>
      </c>
      <c r="B54" s="3">
        <v>-11904.7619</v>
      </c>
      <c r="C54" s="3">
        <v>45000</v>
      </c>
      <c r="D54" s="3">
        <v>16279.06977</v>
      </c>
      <c r="E54" s="3">
        <v>9500</v>
      </c>
    </row>
    <row r="55" spans="1:5" x14ac:dyDescent="0.3">
      <c r="A55" s="3">
        <v>-30000</v>
      </c>
      <c r="B55" s="3">
        <v>33333.333330000001</v>
      </c>
      <c r="C55" s="3">
        <v>-20771.513350000001</v>
      </c>
      <c r="D55" s="3">
        <v>83333.333329999994</v>
      </c>
      <c r="E55" s="3">
        <v>100000</v>
      </c>
    </row>
    <row r="56" spans="1:5" x14ac:dyDescent="0.3">
      <c r="A56" s="3">
        <v>31818.181820000002</v>
      </c>
      <c r="B56" s="3">
        <v>10000</v>
      </c>
      <c r="C56" s="3">
        <v>21739.130430000001</v>
      </c>
      <c r="D56" s="3">
        <v>99200</v>
      </c>
      <c r="E56" s="3">
        <v>21413.333330000001</v>
      </c>
    </row>
    <row r="57" spans="1:5" x14ac:dyDescent="0.3">
      <c r="A57" s="3">
        <v>10000</v>
      </c>
      <c r="B57" s="3">
        <v>34615.384619999997</v>
      </c>
      <c r="C57" s="3">
        <v>-10000</v>
      </c>
      <c r="D57" s="3">
        <v>23529.411759999999</v>
      </c>
      <c r="E57" s="3">
        <v>72508.5</v>
      </c>
    </row>
    <row r="58" spans="1:5" x14ac:dyDescent="0.3">
      <c r="A58" s="3">
        <v>45454.545449999998</v>
      </c>
      <c r="B58" s="3">
        <v>5000</v>
      </c>
      <c r="C58" s="3">
        <v>27500</v>
      </c>
      <c r="D58" s="3">
        <v>50000</v>
      </c>
      <c r="E58" s="3">
        <v>25000</v>
      </c>
    </row>
    <row r="59" spans="1:5" x14ac:dyDescent="0.3">
      <c r="A59" s="3">
        <v>18181.818179999998</v>
      </c>
      <c r="B59" s="3">
        <v>13636.36364</v>
      </c>
      <c r="C59" s="3">
        <v>-7692.3076920000003</v>
      </c>
      <c r="D59" s="3">
        <v>10000</v>
      </c>
      <c r="E59" s="3">
        <v>75000</v>
      </c>
    </row>
    <row r="60" spans="1:5" x14ac:dyDescent="0.3">
      <c r="A60" s="3">
        <v>9375</v>
      </c>
      <c r="B60" s="3">
        <v>0</v>
      </c>
      <c r="C60" s="3">
        <v>13432.83582</v>
      </c>
      <c r="D60" s="3">
        <v>4347.8260870000004</v>
      </c>
      <c r="E60" s="3">
        <v>18264.840179999999</v>
      </c>
    </row>
    <row r="61" spans="1:5" x14ac:dyDescent="0.3">
      <c r="A61" s="3">
        <v>5000</v>
      </c>
      <c r="B61" s="3">
        <v>-3478.2608700000001</v>
      </c>
      <c r="C61" s="3">
        <v>72000</v>
      </c>
      <c r="D61" s="3">
        <v>50000</v>
      </c>
      <c r="E61" s="3">
        <v>4545.4545449999996</v>
      </c>
    </row>
    <row r="62" spans="1:5" x14ac:dyDescent="0.3">
      <c r="A62" s="3">
        <v>36496.350359999997</v>
      </c>
      <c r="B62" s="3">
        <v>-3333.333333</v>
      </c>
      <c r="C62" s="3">
        <v>73333.333329999994</v>
      </c>
      <c r="D62" s="3">
        <v>87500</v>
      </c>
      <c r="E62" s="3">
        <v>40000</v>
      </c>
    </row>
    <row r="63" spans="1:5" x14ac:dyDescent="0.3">
      <c r="A63" s="3">
        <v>21645.021649999999</v>
      </c>
      <c r="B63" s="3">
        <v>-4166.6666670000004</v>
      </c>
      <c r="C63" s="3">
        <v>58823.529410000003</v>
      </c>
      <c r="D63" s="3">
        <v>68181.818180000002</v>
      </c>
      <c r="E63" s="3">
        <v>21428.57143</v>
      </c>
    </row>
    <row r="64" spans="1:5" x14ac:dyDescent="0.3">
      <c r="A64" s="3">
        <v>10000</v>
      </c>
      <c r="B64" s="3">
        <v>1875</v>
      </c>
      <c r="C64" s="3">
        <v>25000</v>
      </c>
      <c r="D64" s="3">
        <v>19047.619050000001</v>
      </c>
      <c r="E64" s="3">
        <v>13952.380950000001</v>
      </c>
    </row>
    <row r="65" spans="1:5" x14ac:dyDescent="0.3">
      <c r="A65" s="3">
        <v>11627.90698</v>
      </c>
      <c r="B65" s="3">
        <v>-9523.8095240000002</v>
      </c>
      <c r="C65" s="3">
        <v>50000</v>
      </c>
      <c r="D65" s="3">
        <v>104545.45450000001</v>
      </c>
      <c r="E65" s="3">
        <v>48449.541279999998</v>
      </c>
    </row>
    <row r="66" spans="1:5" x14ac:dyDescent="0.3">
      <c r="A66" s="3">
        <v>45454.545449999998</v>
      </c>
      <c r="B66" s="3">
        <v>5000</v>
      </c>
      <c r="C66" s="3">
        <v>40000</v>
      </c>
      <c r="D66" s="3">
        <v>50000</v>
      </c>
      <c r="E66" s="3">
        <v>24174.047620000001</v>
      </c>
    </row>
    <row r="67" spans="1:5" x14ac:dyDescent="0.3">
      <c r="A67" s="3">
        <v>16129.03226</v>
      </c>
      <c r="B67" s="3">
        <v>4545.4545449999996</v>
      </c>
      <c r="C67" s="3">
        <v>80000</v>
      </c>
      <c r="D67" s="3">
        <v>23255.81395</v>
      </c>
      <c r="E67" s="3">
        <v>25487.5</v>
      </c>
    </row>
    <row r="68" spans="1:5" x14ac:dyDescent="0.3">
      <c r="A68" s="3">
        <v>11904.7619</v>
      </c>
      <c r="B68" s="3">
        <v>4545.4545449999996</v>
      </c>
      <c r="C68" s="3">
        <v>9090.9090909999995</v>
      </c>
      <c r="D68" s="3">
        <v>20930.23256</v>
      </c>
      <c r="E68" s="3">
        <v>103448.27589999999</v>
      </c>
    </row>
    <row r="69" spans="1:5" x14ac:dyDescent="0.3">
      <c r="A69" s="3">
        <v>16129.03226</v>
      </c>
      <c r="B69" s="3">
        <v>4545.4545449999996</v>
      </c>
      <c r="C69" s="3">
        <v>35000</v>
      </c>
      <c r="D69" s="3">
        <v>30303.030299999999</v>
      </c>
      <c r="E69" s="3">
        <v>4866.1800489999996</v>
      </c>
    </row>
    <row r="70" spans="1:5" x14ac:dyDescent="0.3">
      <c r="A70" s="3">
        <v>6666.6666670000004</v>
      </c>
      <c r="B70" s="3">
        <v>-40000</v>
      </c>
      <c r="C70" s="3">
        <v>-12000</v>
      </c>
      <c r="D70" s="3">
        <v>42173.913039999999</v>
      </c>
      <c r="E70" s="3">
        <v>6082.7250610000001</v>
      </c>
    </row>
    <row r="71" spans="1:5" x14ac:dyDescent="0.3">
      <c r="A71" s="3">
        <v>10000</v>
      </c>
      <c r="B71" s="3">
        <v>3759.3984959999998</v>
      </c>
      <c r="C71" s="3">
        <v>-12500</v>
      </c>
      <c r="D71" s="3">
        <v>24193.54839</v>
      </c>
      <c r="E71" s="3">
        <v>7738.0952379999999</v>
      </c>
    </row>
    <row r="72" spans="1:5" x14ac:dyDescent="0.3">
      <c r="A72" s="3">
        <v>39682.539680000002</v>
      </c>
      <c r="B72" s="3">
        <v>150000</v>
      </c>
      <c r="C72" s="3">
        <v>40000</v>
      </c>
      <c r="D72" s="3">
        <v>27906.976739999998</v>
      </c>
      <c r="E72" s="3">
        <v>20887.5</v>
      </c>
    </row>
    <row r="73" spans="1:5" x14ac:dyDescent="0.3">
      <c r="A73" s="3">
        <v>15151.515149999999</v>
      </c>
      <c r="C73" s="3">
        <v>50000</v>
      </c>
      <c r="D73" s="3">
        <v>5714.2857139999996</v>
      </c>
      <c r="E73" s="3">
        <v>13500</v>
      </c>
    </row>
    <row r="74" spans="1:5" x14ac:dyDescent="0.3">
      <c r="A74" s="3">
        <v>50000</v>
      </c>
      <c r="C74" s="3">
        <v>66666.666670000006</v>
      </c>
      <c r="D74" s="3">
        <v>30232.558140000001</v>
      </c>
      <c r="E74" s="3">
        <v>7073.954984</v>
      </c>
    </row>
    <row r="75" spans="1:5" x14ac:dyDescent="0.3">
      <c r="A75" s="3">
        <v>6250</v>
      </c>
      <c r="C75" s="3">
        <v>7777.7777779999997</v>
      </c>
      <c r="D75" s="3">
        <v>61674.008809999999</v>
      </c>
    </row>
    <row r="76" spans="1:5" x14ac:dyDescent="0.3">
      <c r="A76" s="3">
        <v>16666.666669999999</v>
      </c>
      <c r="C76" s="3">
        <v>10000</v>
      </c>
      <c r="D76" s="3">
        <v>147058.8235</v>
      </c>
    </row>
    <row r="77" spans="1:5" x14ac:dyDescent="0.3">
      <c r="A77" s="3">
        <v>22727.272730000001</v>
      </c>
      <c r="C77" s="3">
        <v>33333.333330000001</v>
      </c>
      <c r="D77" s="3">
        <v>62500</v>
      </c>
    </row>
    <row r="78" spans="1:5" x14ac:dyDescent="0.3">
      <c r="A78" s="3">
        <v>9416.1958570000006</v>
      </c>
      <c r="C78" s="3">
        <v>26666.666669999999</v>
      </c>
      <c r="D78" s="3">
        <v>45454.545449999998</v>
      </c>
    </row>
    <row r="79" spans="1:5" x14ac:dyDescent="0.3">
      <c r="A79" s="3">
        <v>12500</v>
      </c>
      <c r="C79" s="3">
        <v>14285.71429</v>
      </c>
      <c r="D79" s="3">
        <v>45454.545449999998</v>
      </c>
    </row>
    <row r="80" spans="1:5" x14ac:dyDescent="0.3">
      <c r="A80" s="3">
        <v>8333.3333330000005</v>
      </c>
      <c r="C80" s="3">
        <v>40000</v>
      </c>
      <c r="D80" s="3">
        <v>38461.538460000003</v>
      </c>
    </row>
    <row r="81" spans="1:4" x14ac:dyDescent="0.3">
      <c r="A81" s="3">
        <v>38461.538460000003</v>
      </c>
      <c r="C81" s="3">
        <v>-20000</v>
      </c>
      <c r="D81" s="3">
        <v>35652.173909999998</v>
      </c>
    </row>
    <row r="82" spans="1:4" x14ac:dyDescent="0.3">
      <c r="A82" s="3">
        <v>15000</v>
      </c>
      <c r="C82" s="3">
        <v>25000</v>
      </c>
      <c r="D82" s="3">
        <v>75000</v>
      </c>
    </row>
    <row r="83" spans="1:4" x14ac:dyDescent="0.3">
      <c r="A83" s="3">
        <v>16129.03226</v>
      </c>
      <c r="C83" s="3">
        <v>100000</v>
      </c>
      <c r="D83" s="3">
        <v>-15000</v>
      </c>
    </row>
    <row r="84" spans="1:4" x14ac:dyDescent="0.3">
      <c r="A84" s="3">
        <v>6000</v>
      </c>
      <c r="C84" s="3">
        <v>10000</v>
      </c>
      <c r="D84" s="3">
        <v>79166.666670000006</v>
      </c>
    </row>
    <row r="85" spans="1:4" x14ac:dyDescent="0.3">
      <c r="A85" s="3">
        <v>9803.9215690000001</v>
      </c>
      <c r="C85" s="3">
        <v>28000</v>
      </c>
      <c r="D85" s="3">
        <v>54266.666669999999</v>
      </c>
    </row>
    <row r="86" spans="1:4" x14ac:dyDescent="0.3">
      <c r="A86" s="3">
        <v>6451.6129030000002</v>
      </c>
      <c r="C86" s="3">
        <v>60000</v>
      </c>
      <c r="D86" s="3">
        <v>35000</v>
      </c>
    </row>
    <row r="87" spans="1:4" x14ac:dyDescent="0.3">
      <c r="A87" s="3">
        <v>9118.5410329999995</v>
      </c>
      <c r="C87" s="3">
        <v>28000</v>
      </c>
      <c r="D87" s="3">
        <v>50000</v>
      </c>
    </row>
    <row r="88" spans="1:4" x14ac:dyDescent="0.3">
      <c r="A88" s="3">
        <v>4178.2729810000001</v>
      </c>
      <c r="C88" s="3">
        <v>50000</v>
      </c>
      <c r="D88" s="3">
        <v>5000</v>
      </c>
    </row>
    <row r="89" spans="1:4" x14ac:dyDescent="0.3">
      <c r="A89" s="3">
        <v>12500</v>
      </c>
      <c r="C89" s="3">
        <v>40000</v>
      </c>
      <c r="D89" s="3">
        <v>38461.538460000003</v>
      </c>
    </row>
    <row r="90" spans="1:4" x14ac:dyDescent="0.3">
      <c r="A90" s="3">
        <v>7849.2935639999996</v>
      </c>
      <c r="C90" s="3">
        <v>50000</v>
      </c>
      <c r="D90" s="3">
        <v>50000</v>
      </c>
    </row>
    <row r="91" spans="1:4" x14ac:dyDescent="0.3">
      <c r="A91" s="3">
        <v>41666.666669999999</v>
      </c>
      <c r="C91" s="3">
        <v>8571.4285710000004</v>
      </c>
      <c r="D91" s="3">
        <v>25000</v>
      </c>
    </row>
    <row r="92" spans="1:4" x14ac:dyDescent="0.3">
      <c r="A92" s="3">
        <v>33333.333330000001</v>
      </c>
      <c r="C92" s="3">
        <v>33333.333330000001</v>
      </c>
      <c r="D92" s="3">
        <v>45454.545449999998</v>
      </c>
    </row>
    <row r="93" spans="1:4" x14ac:dyDescent="0.3">
      <c r="A93" s="3">
        <v>22727.272730000001</v>
      </c>
      <c r="C93" s="3">
        <v>33333.333330000001</v>
      </c>
      <c r="D93" s="3">
        <v>25000</v>
      </c>
    </row>
    <row r="94" spans="1:4" x14ac:dyDescent="0.3">
      <c r="A94" s="3">
        <v>-11904.7619</v>
      </c>
      <c r="C94" s="3">
        <v>40000</v>
      </c>
      <c r="D94" s="3">
        <v>35000</v>
      </c>
    </row>
    <row r="95" spans="1:4" x14ac:dyDescent="0.3">
      <c r="A95" s="3">
        <v>41666.666669999999</v>
      </c>
      <c r="C95" s="3">
        <v>25000</v>
      </c>
      <c r="D95" s="3">
        <v>10000</v>
      </c>
    </row>
    <row r="96" spans="1:4" x14ac:dyDescent="0.3">
      <c r="A96" s="3">
        <v>10869.56522</v>
      </c>
      <c r="C96" s="3">
        <v>26666.666669999999</v>
      </c>
      <c r="D96" s="3">
        <v>10000</v>
      </c>
    </row>
    <row r="97" spans="1:4" x14ac:dyDescent="0.3">
      <c r="A97" s="3">
        <v>6250</v>
      </c>
      <c r="C97" s="3">
        <v>5000</v>
      </c>
      <c r="D97" s="3">
        <v>83333.333329999994</v>
      </c>
    </row>
    <row r="98" spans="1:4" x14ac:dyDescent="0.3">
      <c r="A98" s="3">
        <v>22727.272730000001</v>
      </c>
      <c r="C98" s="3">
        <v>100000</v>
      </c>
      <c r="D98" s="3">
        <v>1250</v>
      </c>
    </row>
    <row r="99" spans="1:4" x14ac:dyDescent="0.3">
      <c r="A99" s="3">
        <v>15625</v>
      </c>
      <c r="C99" s="3">
        <v>50000</v>
      </c>
      <c r="D99" s="3">
        <v>8012.8205129999997</v>
      </c>
    </row>
    <row r="100" spans="1:4" x14ac:dyDescent="0.3">
      <c r="A100" s="3">
        <v>6666.6666670000004</v>
      </c>
      <c r="C100" s="3">
        <v>25000</v>
      </c>
      <c r="D100" s="3">
        <v>14285.71429</v>
      </c>
    </row>
    <row r="101" spans="1:4" x14ac:dyDescent="0.3">
      <c r="A101" s="3">
        <v>14285.71429</v>
      </c>
      <c r="C101" s="3">
        <v>10000</v>
      </c>
      <c r="D101" s="3">
        <v>3809.5238100000001</v>
      </c>
    </row>
    <row r="102" spans="1:4" x14ac:dyDescent="0.3">
      <c r="A102" s="3">
        <v>50000</v>
      </c>
      <c r="C102" s="3">
        <v>40000</v>
      </c>
      <c r="D102" s="3">
        <v>25000</v>
      </c>
    </row>
    <row r="103" spans="1:4" x14ac:dyDescent="0.3">
      <c r="A103" s="3">
        <v>18181.818179999998</v>
      </c>
      <c r="C103" s="3">
        <v>50000</v>
      </c>
      <c r="D103" s="3">
        <v>40322.580650000004</v>
      </c>
    </row>
    <row r="104" spans="1:4" x14ac:dyDescent="0.3">
      <c r="A104" s="3">
        <v>6993.006993</v>
      </c>
      <c r="C104" s="3">
        <v>70000</v>
      </c>
      <c r="D104" s="3">
        <v>55299.539169999996</v>
      </c>
    </row>
    <row r="105" spans="1:4" x14ac:dyDescent="0.3">
      <c r="A105" s="3">
        <v>4878.0487800000001</v>
      </c>
      <c r="C105" s="3">
        <v>33333.333330000001</v>
      </c>
      <c r="D105" s="3">
        <v>37500</v>
      </c>
    </row>
    <row r="106" spans="1:4" x14ac:dyDescent="0.3">
      <c r="A106" s="3">
        <v>16666.666669999999</v>
      </c>
      <c r="C106" s="3">
        <v>60000</v>
      </c>
      <c r="D106" s="3">
        <v>37500</v>
      </c>
    </row>
    <row r="107" spans="1:4" x14ac:dyDescent="0.3">
      <c r="A107" s="3">
        <v>5952.3809520000004</v>
      </c>
      <c r="C107" s="3">
        <v>50000</v>
      </c>
      <c r="D107" s="3">
        <v>3225.8064519999998</v>
      </c>
    </row>
    <row r="108" spans="1:4" x14ac:dyDescent="0.3">
      <c r="A108" s="3">
        <v>4166.6666670000004</v>
      </c>
      <c r="C108" s="3">
        <v>32500</v>
      </c>
      <c r="D108" s="3">
        <v>30000</v>
      </c>
    </row>
    <row r="109" spans="1:4" x14ac:dyDescent="0.3">
      <c r="A109" s="3">
        <v>5970.1492539999999</v>
      </c>
      <c r="C109" s="3">
        <v>25000</v>
      </c>
      <c r="D109" s="3">
        <v>25000</v>
      </c>
    </row>
    <row r="110" spans="1:4" x14ac:dyDescent="0.3">
      <c r="A110" s="3">
        <v>40000</v>
      </c>
      <c r="C110" s="3">
        <v>25000</v>
      </c>
      <c r="D110" s="3">
        <v>5263.1578950000003</v>
      </c>
    </row>
    <row r="111" spans="1:4" x14ac:dyDescent="0.3">
      <c r="A111" s="3">
        <v>25000</v>
      </c>
      <c r="C111" s="3">
        <v>33333.333330000001</v>
      </c>
      <c r="D111" s="3">
        <v>0</v>
      </c>
    </row>
    <row r="112" spans="1:4" x14ac:dyDescent="0.3">
      <c r="A112" s="3">
        <v>30000</v>
      </c>
      <c r="C112" s="3">
        <v>150000</v>
      </c>
      <c r="D112" s="3">
        <v>32258.06452</v>
      </c>
    </row>
    <row r="113" spans="1:4" x14ac:dyDescent="0.3">
      <c r="A113" s="3">
        <v>5714.2857139999996</v>
      </c>
      <c r="C113" s="3">
        <v>30000</v>
      </c>
      <c r="D113" s="3">
        <v>5555.5555560000003</v>
      </c>
    </row>
    <row r="114" spans="1:4" x14ac:dyDescent="0.3">
      <c r="A114" s="3">
        <v>7936.5079370000003</v>
      </c>
      <c r="C114" s="3">
        <v>50000</v>
      </c>
      <c r="D114" s="3">
        <v>40000</v>
      </c>
    </row>
    <row r="115" spans="1:4" x14ac:dyDescent="0.3">
      <c r="A115" s="3">
        <v>12121.21212</v>
      </c>
      <c r="C115" s="3">
        <v>50000</v>
      </c>
      <c r="D115" s="3">
        <v>66666.666670000006</v>
      </c>
    </row>
    <row r="116" spans="1:4" x14ac:dyDescent="0.3">
      <c r="A116" s="3">
        <v>10000</v>
      </c>
      <c r="C116" s="3">
        <v>16000</v>
      </c>
      <c r="D116" s="3">
        <v>10000</v>
      </c>
    </row>
    <row r="117" spans="1:4" x14ac:dyDescent="0.3">
      <c r="A117" s="3">
        <v>4000</v>
      </c>
      <c r="C117" s="3">
        <v>20000</v>
      </c>
      <c r="D117" s="3">
        <v>25000</v>
      </c>
    </row>
    <row r="118" spans="1:4" x14ac:dyDescent="0.3">
      <c r="A118" s="3">
        <v>-15000</v>
      </c>
      <c r="C118" s="3">
        <v>60000</v>
      </c>
      <c r="D118" s="3">
        <v>116666.6667</v>
      </c>
    </row>
    <row r="119" spans="1:4" x14ac:dyDescent="0.3">
      <c r="A119" s="3">
        <v>9090.9090909999995</v>
      </c>
      <c r="C119" s="3">
        <v>25000</v>
      </c>
      <c r="D119" s="3">
        <v>50000</v>
      </c>
    </row>
    <row r="120" spans="1:4" x14ac:dyDescent="0.3">
      <c r="A120" s="3">
        <v>4761.9047620000001</v>
      </c>
      <c r="C120" s="3">
        <v>4000</v>
      </c>
      <c r="D120" s="3">
        <v>100000</v>
      </c>
    </row>
    <row r="121" spans="1:4" x14ac:dyDescent="0.3">
      <c r="A121" s="3">
        <v>20000</v>
      </c>
      <c r="C121" s="3">
        <v>100000</v>
      </c>
      <c r="D121" s="3">
        <v>136363.63639999999</v>
      </c>
    </row>
    <row r="122" spans="1:4" x14ac:dyDescent="0.3">
      <c r="A122" s="3">
        <v>100000</v>
      </c>
      <c r="C122" s="3">
        <v>17500</v>
      </c>
      <c r="D122" s="3">
        <v>66666.666670000006</v>
      </c>
    </row>
    <row r="123" spans="1:4" x14ac:dyDescent="0.3">
      <c r="A123" s="3">
        <v>12500</v>
      </c>
      <c r="C123" s="3">
        <v>11818.18182</v>
      </c>
      <c r="D123" s="3">
        <v>90909.090909999999</v>
      </c>
    </row>
    <row r="124" spans="1:4" x14ac:dyDescent="0.3">
      <c r="A124" s="3">
        <v>4375</v>
      </c>
      <c r="C124" s="3">
        <v>5000</v>
      </c>
      <c r="D124" s="3">
        <v>75000</v>
      </c>
    </row>
    <row r="125" spans="1:4" x14ac:dyDescent="0.3">
      <c r="A125" s="3">
        <v>20000</v>
      </c>
      <c r="C125" s="3">
        <v>15000</v>
      </c>
      <c r="D125" s="3">
        <v>150000</v>
      </c>
    </row>
    <row r="126" spans="1:4" x14ac:dyDescent="0.3">
      <c r="A126" s="3">
        <v>-13636.36364</v>
      </c>
      <c r="C126" s="3">
        <v>10769.23077</v>
      </c>
      <c r="D126" s="3">
        <v>45454.545449999998</v>
      </c>
    </row>
    <row r="127" spans="1:4" x14ac:dyDescent="0.3">
      <c r="A127" s="3">
        <v>15625</v>
      </c>
      <c r="C127" s="3">
        <v>16000</v>
      </c>
      <c r="D127" s="3">
        <v>0</v>
      </c>
    </row>
    <row r="128" spans="1:4" x14ac:dyDescent="0.3">
      <c r="A128" s="3">
        <v>33333.333330000001</v>
      </c>
      <c r="C128" s="3">
        <v>24444.444439999999</v>
      </c>
      <c r="D128" s="3">
        <v>22222.22222</v>
      </c>
    </row>
    <row r="129" spans="1:4" x14ac:dyDescent="0.3">
      <c r="A129" s="3">
        <v>8333.3333330000005</v>
      </c>
      <c r="C129" s="3">
        <v>30000</v>
      </c>
      <c r="D129" s="3">
        <v>83333.333329999994</v>
      </c>
    </row>
    <row r="130" spans="1:4" x14ac:dyDescent="0.3">
      <c r="A130" s="3">
        <v>12500</v>
      </c>
      <c r="C130" s="3">
        <v>-16666.666669999999</v>
      </c>
      <c r="D130" s="3">
        <v>86956.521739999996</v>
      </c>
    </row>
    <row r="131" spans="1:4" x14ac:dyDescent="0.3">
      <c r="A131" s="3">
        <v>33333.333330000001</v>
      </c>
      <c r="C131" s="3">
        <v>14285.71429</v>
      </c>
      <c r="D131" s="3">
        <v>20000</v>
      </c>
    </row>
    <row r="132" spans="1:4" x14ac:dyDescent="0.3">
      <c r="A132" s="3">
        <v>6666.6666670000004</v>
      </c>
      <c r="C132" s="3">
        <v>-6172.8395060000003</v>
      </c>
      <c r="D132" s="3">
        <v>153846.1538</v>
      </c>
    </row>
    <row r="133" spans="1:4" x14ac:dyDescent="0.3">
      <c r="A133" s="3">
        <v>50000</v>
      </c>
      <c r="C133" s="3">
        <v>-50000</v>
      </c>
      <c r="D133" s="3">
        <v>31250</v>
      </c>
    </row>
    <row r="134" spans="1:4" x14ac:dyDescent="0.3">
      <c r="A134" s="3">
        <v>5000</v>
      </c>
      <c r="C134" s="3">
        <v>-15625</v>
      </c>
      <c r="D134" s="3">
        <v>66666.666670000006</v>
      </c>
    </row>
    <row r="135" spans="1:4" x14ac:dyDescent="0.3">
      <c r="A135" s="3">
        <v>31250</v>
      </c>
      <c r="C135" s="3">
        <v>33591.731269999997</v>
      </c>
      <c r="D135" s="3">
        <v>26000</v>
      </c>
    </row>
    <row r="136" spans="1:4" x14ac:dyDescent="0.3">
      <c r="A136" s="3">
        <v>25000</v>
      </c>
      <c r="C136" s="3">
        <v>48000</v>
      </c>
      <c r="D136" s="3">
        <v>35000</v>
      </c>
    </row>
    <row r="137" spans="1:4" x14ac:dyDescent="0.3">
      <c r="A137" s="3">
        <v>21551.724139999998</v>
      </c>
      <c r="C137" s="3">
        <v>25000</v>
      </c>
      <c r="D137" s="3">
        <v>83333.333329999994</v>
      </c>
    </row>
    <row r="138" spans="1:4" x14ac:dyDescent="0.3">
      <c r="A138" s="3">
        <v>41666.666669999999</v>
      </c>
      <c r="C138" s="3">
        <v>15000</v>
      </c>
      <c r="D138" s="3">
        <v>-24600</v>
      </c>
    </row>
    <row r="139" spans="1:4" x14ac:dyDescent="0.3">
      <c r="A139" s="3">
        <v>6097.5609759999998</v>
      </c>
      <c r="C139" s="3">
        <v>20000</v>
      </c>
      <c r="D139" s="3">
        <v>40000</v>
      </c>
    </row>
    <row r="140" spans="1:4" x14ac:dyDescent="0.3">
      <c r="A140" s="3">
        <v>47619.047619999998</v>
      </c>
      <c r="C140" s="3">
        <v>41428.571430000004</v>
      </c>
      <c r="D140" s="3">
        <v>90909.090909999999</v>
      </c>
    </row>
    <row r="141" spans="1:4" x14ac:dyDescent="0.3">
      <c r="A141" s="3">
        <v>2400</v>
      </c>
      <c r="C141" s="3">
        <v>10000</v>
      </c>
      <c r="D141" s="3">
        <v>-79646.017699999997</v>
      </c>
    </row>
    <row r="142" spans="1:4" x14ac:dyDescent="0.3">
      <c r="A142" s="3">
        <v>80000</v>
      </c>
      <c r="C142" s="3">
        <v>3717.472119</v>
      </c>
      <c r="D142" s="3">
        <v>28571.42857</v>
      </c>
    </row>
    <row r="143" spans="1:4" x14ac:dyDescent="0.3">
      <c r="A143" s="3">
        <v>10000</v>
      </c>
      <c r="C143" s="3">
        <v>27014.28571</v>
      </c>
      <c r="D143" s="3">
        <v>150000</v>
      </c>
    </row>
    <row r="144" spans="1:4" x14ac:dyDescent="0.3">
      <c r="A144" s="3">
        <v>5000</v>
      </c>
      <c r="C144" s="3">
        <v>10000</v>
      </c>
      <c r="D144" s="3">
        <v>75000</v>
      </c>
    </row>
    <row r="145" spans="1:4" x14ac:dyDescent="0.3">
      <c r="A145" s="3">
        <v>3780.7183359999999</v>
      </c>
      <c r="C145" s="3">
        <v>15000</v>
      </c>
      <c r="D145" s="3">
        <v>25000</v>
      </c>
    </row>
    <row r="146" spans="1:4" x14ac:dyDescent="0.3">
      <c r="A146" s="3">
        <v>6666.6666670000004</v>
      </c>
      <c r="C146" s="3">
        <v>8510.6382979999998</v>
      </c>
      <c r="D146" s="3">
        <v>-57666.666669999999</v>
      </c>
    </row>
    <row r="147" spans="1:4" x14ac:dyDescent="0.3">
      <c r="A147" s="3">
        <v>90909.090909999999</v>
      </c>
      <c r="C147" s="3">
        <v>6250</v>
      </c>
      <c r="D147" s="3">
        <v>-6666.6666670000004</v>
      </c>
    </row>
    <row r="148" spans="1:4" x14ac:dyDescent="0.3">
      <c r="A148" s="3">
        <v>86956.521739999996</v>
      </c>
      <c r="C148" s="3">
        <v>14516.12903</v>
      </c>
      <c r="D148" s="3">
        <v>133333.3333</v>
      </c>
    </row>
    <row r="149" spans="1:4" x14ac:dyDescent="0.3">
      <c r="A149" s="3">
        <v>3000</v>
      </c>
      <c r="C149" s="3">
        <v>17500</v>
      </c>
      <c r="D149" s="3">
        <v>90909.090909999999</v>
      </c>
    </row>
    <row r="150" spans="1:4" x14ac:dyDescent="0.3">
      <c r="A150" s="3">
        <v>5000</v>
      </c>
      <c r="C150" s="3">
        <v>4615.3846149999999</v>
      </c>
      <c r="D150" s="3">
        <v>40000</v>
      </c>
    </row>
    <row r="151" spans="1:4" x14ac:dyDescent="0.3">
      <c r="A151" s="3">
        <v>9090.9090909999995</v>
      </c>
      <c r="C151" s="3">
        <v>18437.5</v>
      </c>
      <c r="D151" s="3">
        <v>32051.282050000002</v>
      </c>
    </row>
    <row r="152" spans="1:4" x14ac:dyDescent="0.3">
      <c r="A152" s="3">
        <v>2500</v>
      </c>
      <c r="C152" s="3">
        <v>80000</v>
      </c>
      <c r="D152" s="3">
        <v>48000</v>
      </c>
    </row>
    <row r="153" spans="1:4" x14ac:dyDescent="0.3">
      <c r="A153" s="3">
        <v>25000</v>
      </c>
      <c r="C153" s="3">
        <v>7272.7272730000004</v>
      </c>
      <c r="D153" s="3">
        <v>14285.71429</v>
      </c>
    </row>
    <row r="154" spans="1:4" x14ac:dyDescent="0.3">
      <c r="A154" s="3">
        <v>50000</v>
      </c>
      <c r="C154" s="3">
        <v>66666.666670000006</v>
      </c>
      <c r="D154" s="3">
        <v>12903.22581</v>
      </c>
    </row>
    <row r="155" spans="1:4" x14ac:dyDescent="0.3">
      <c r="A155" s="3">
        <v>83333.333329999994</v>
      </c>
      <c r="C155" s="3">
        <v>23076.92308</v>
      </c>
      <c r="D155" s="3">
        <v>24390.243900000001</v>
      </c>
    </row>
    <row r="156" spans="1:4" x14ac:dyDescent="0.3">
      <c r="A156" s="3">
        <v>71428.571429999996</v>
      </c>
      <c r="C156" s="3">
        <v>23750</v>
      </c>
      <c r="D156" s="3">
        <v>25000</v>
      </c>
    </row>
    <row r="157" spans="1:4" x14ac:dyDescent="0.3">
      <c r="A157" s="3">
        <v>83333.333329999994</v>
      </c>
      <c r="C157" s="3">
        <v>42500</v>
      </c>
      <c r="D157" s="3">
        <v>80000</v>
      </c>
    </row>
    <row r="158" spans="1:4" x14ac:dyDescent="0.3">
      <c r="A158" s="3">
        <v>33333.333330000001</v>
      </c>
      <c r="C158" s="3">
        <v>16666.666669999999</v>
      </c>
      <c r="D158" s="3">
        <v>16666.666669999999</v>
      </c>
    </row>
    <row r="159" spans="1:4" x14ac:dyDescent="0.3">
      <c r="A159" s="3">
        <v>30000</v>
      </c>
      <c r="C159" s="3">
        <v>-12500</v>
      </c>
      <c r="D159" s="3">
        <v>41666.666669999999</v>
      </c>
    </row>
    <row r="160" spans="1:4" x14ac:dyDescent="0.3">
      <c r="A160" s="3">
        <v>27272.727269999999</v>
      </c>
      <c r="C160" s="3">
        <v>43478.260869999998</v>
      </c>
      <c r="D160" s="3">
        <v>11111.11111</v>
      </c>
    </row>
    <row r="161" spans="1:4" x14ac:dyDescent="0.3">
      <c r="A161" s="3">
        <v>37500</v>
      </c>
      <c r="C161" s="3">
        <v>8695.6521740000007</v>
      </c>
      <c r="D161" s="3">
        <v>16666.666669999999</v>
      </c>
    </row>
    <row r="162" spans="1:4" x14ac:dyDescent="0.3">
      <c r="A162" s="3">
        <v>10000</v>
      </c>
      <c r="C162" s="3">
        <v>103174.6032</v>
      </c>
      <c r="D162" s="3">
        <v>50000</v>
      </c>
    </row>
    <row r="163" spans="1:4" x14ac:dyDescent="0.3">
      <c r="A163" s="3">
        <v>38461.538460000003</v>
      </c>
      <c r="C163" s="3">
        <v>18333.333330000001</v>
      </c>
      <c r="D163" s="3">
        <v>60000</v>
      </c>
    </row>
    <row r="164" spans="1:4" x14ac:dyDescent="0.3">
      <c r="A164" s="3">
        <v>33333.333330000001</v>
      </c>
      <c r="C164" s="3">
        <v>28000</v>
      </c>
      <c r="D164" s="3">
        <v>16666.666669999999</v>
      </c>
    </row>
    <row r="165" spans="1:4" x14ac:dyDescent="0.3">
      <c r="A165" s="3">
        <v>68181.818180000002</v>
      </c>
      <c r="C165" s="3">
        <v>30000</v>
      </c>
      <c r="D165" s="3">
        <v>15384.615379999999</v>
      </c>
    </row>
    <row r="166" spans="1:4" x14ac:dyDescent="0.3">
      <c r="A166" s="3">
        <v>42553.191489999997</v>
      </c>
      <c r="C166" s="3">
        <v>21666.666669999999</v>
      </c>
      <c r="D166" s="3">
        <v>61538.461539999997</v>
      </c>
    </row>
    <row r="167" spans="1:4" x14ac:dyDescent="0.3">
      <c r="A167" s="3">
        <v>10000</v>
      </c>
      <c r="C167" s="3">
        <v>66666.666670000006</v>
      </c>
      <c r="D167" s="3">
        <v>57142.85714</v>
      </c>
    </row>
    <row r="168" spans="1:4" x14ac:dyDescent="0.3">
      <c r="A168" s="3">
        <v>47505.938240000003</v>
      </c>
      <c r="C168" s="3">
        <v>5000</v>
      </c>
      <c r="D168" s="3">
        <v>18000</v>
      </c>
    </row>
    <row r="169" spans="1:4" x14ac:dyDescent="0.3">
      <c r="A169" s="3">
        <v>28571.42857</v>
      </c>
      <c r="C169" s="3">
        <v>12727.272730000001</v>
      </c>
      <c r="D169" s="3">
        <v>16666.666669999999</v>
      </c>
    </row>
    <row r="170" spans="1:4" x14ac:dyDescent="0.3">
      <c r="A170" s="3">
        <v>25000</v>
      </c>
      <c r="C170" s="3">
        <v>22000</v>
      </c>
      <c r="D170" s="3">
        <v>50000</v>
      </c>
    </row>
    <row r="171" spans="1:4" x14ac:dyDescent="0.3">
      <c r="A171" s="3">
        <v>50000</v>
      </c>
      <c r="C171" s="3">
        <v>30000</v>
      </c>
      <c r="D171" s="3">
        <v>8333.3333330000005</v>
      </c>
    </row>
    <row r="172" spans="1:4" x14ac:dyDescent="0.3">
      <c r="A172" s="3">
        <v>29411.764709999999</v>
      </c>
      <c r="C172" s="3">
        <v>8571.4285710000004</v>
      </c>
      <c r="D172" s="3">
        <v>-41666.666669999999</v>
      </c>
    </row>
    <row r="173" spans="1:4" x14ac:dyDescent="0.3">
      <c r="A173" s="3">
        <v>68181.818180000002</v>
      </c>
      <c r="C173" s="3">
        <v>25000</v>
      </c>
      <c r="D173" s="3">
        <v>100000</v>
      </c>
    </row>
    <row r="174" spans="1:4" x14ac:dyDescent="0.3">
      <c r="A174" s="3">
        <v>13333.333329999999</v>
      </c>
      <c r="C174" s="3">
        <v>12500</v>
      </c>
      <c r="D174" s="3">
        <v>-45454.545449999998</v>
      </c>
    </row>
    <row r="175" spans="1:4" x14ac:dyDescent="0.3">
      <c r="A175" s="3">
        <v>8333.3333330000005</v>
      </c>
      <c r="C175" s="3">
        <v>-8333.3333330000005</v>
      </c>
      <c r="D175" s="3">
        <v>45454.545449999998</v>
      </c>
    </row>
    <row r="176" spans="1:4" x14ac:dyDescent="0.3">
      <c r="A176" s="3">
        <v>18181.818179999998</v>
      </c>
      <c r="C176" s="3">
        <v>47500</v>
      </c>
      <c r="D176" s="3">
        <v>8333.3333330000005</v>
      </c>
    </row>
    <row r="177" spans="1:4" x14ac:dyDescent="0.3">
      <c r="A177" s="3">
        <v>10000</v>
      </c>
      <c r="C177" s="3">
        <v>11666.666670000001</v>
      </c>
      <c r="D177" s="3">
        <v>0</v>
      </c>
    </row>
    <row r="178" spans="1:4" x14ac:dyDescent="0.3">
      <c r="A178" s="3">
        <v>60000</v>
      </c>
      <c r="C178" s="3">
        <v>-13709.67742</v>
      </c>
      <c r="D178" s="3">
        <v>75000</v>
      </c>
    </row>
    <row r="179" spans="1:4" x14ac:dyDescent="0.3">
      <c r="A179" s="3">
        <v>41666.666669999999</v>
      </c>
      <c r="C179" s="3">
        <v>8333.3333330000005</v>
      </c>
      <c r="D179" s="3">
        <v>20000</v>
      </c>
    </row>
    <row r="180" spans="1:4" x14ac:dyDescent="0.3">
      <c r="A180" s="3">
        <v>40000</v>
      </c>
      <c r="C180" s="3">
        <v>18181.818179999998</v>
      </c>
      <c r="D180" s="3">
        <v>95238.095239999995</v>
      </c>
    </row>
    <row r="181" spans="1:4" x14ac:dyDescent="0.3">
      <c r="A181" s="3">
        <v>9615.3846150000008</v>
      </c>
      <c r="C181" s="3">
        <v>-12195.121950000001</v>
      </c>
      <c r="D181" s="3">
        <v>100000</v>
      </c>
    </row>
    <row r="182" spans="1:4" x14ac:dyDescent="0.3">
      <c r="A182" s="3">
        <v>13888.88889</v>
      </c>
      <c r="C182" s="3">
        <v>-11111.11111</v>
      </c>
      <c r="D182" s="3">
        <v>-59333.333330000001</v>
      </c>
    </row>
    <row r="183" spans="1:4" x14ac:dyDescent="0.3">
      <c r="A183" s="3">
        <v>11904.7619</v>
      </c>
      <c r="C183" s="3">
        <v>8333.3333330000005</v>
      </c>
      <c r="D183" s="3">
        <v>8333.3333330000005</v>
      </c>
    </row>
    <row r="184" spans="1:4" x14ac:dyDescent="0.3">
      <c r="A184" s="3">
        <v>10000</v>
      </c>
      <c r="C184" s="3">
        <v>0</v>
      </c>
      <c r="D184" s="3">
        <v>-2500</v>
      </c>
    </row>
    <row r="185" spans="1:4" x14ac:dyDescent="0.3">
      <c r="A185" s="3">
        <v>15625</v>
      </c>
      <c r="C185" s="3">
        <v>25000</v>
      </c>
      <c r="D185" s="3">
        <v>-33333.333330000001</v>
      </c>
    </row>
    <row r="186" spans="1:4" x14ac:dyDescent="0.3">
      <c r="A186" s="3">
        <v>7936.5079370000003</v>
      </c>
      <c r="C186" s="3">
        <v>0</v>
      </c>
      <c r="D186" s="3">
        <v>100000</v>
      </c>
    </row>
    <row r="187" spans="1:4" x14ac:dyDescent="0.3">
      <c r="A187" s="3">
        <v>31250</v>
      </c>
      <c r="C187" s="3">
        <v>-6250</v>
      </c>
      <c r="D187" s="3">
        <v>40000</v>
      </c>
    </row>
    <row r="188" spans="1:4" x14ac:dyDescent="0.3">
      <c r="A188" s="3">
        <v>27272.727269999999</v>
      </c>
      <c r="C188" s="3">
        <v>14285.71429</v>
      </c>
      <c r="D188" s="3">
        <v>20000</v>
      </c>
    </row>
    <row r="189" spans="1:4" x14ac:dyDescent="0.3">
      <c r="A189" s="3">
        <v>12500</v>
      </c>
      <c r="C189" s="3">
        <v>-10000</v>
      </c>
      <c r="D189" s="3">
        <v>83333.333329999994</v>
      </c>
    </row>
    <row r="190" spans="1:4" x14ac:dyDescent="0.3">
      <c r="A190" s="3">
        <v>4000</v>
      </c>
      <c r="C190" s="3">
        <v>21774.19355</v>
      </c>
      <c r="D190" s="3">
        <v>75000</v>
      </c>
    </row>
    <row r="191" spans="1:4" x14ac:dyDescent="0.3">
      <c r="A191" s="3">
        <v>5555.5555560000003</v>
      </c>
      <c r="C191" s="3">
        <v>30000</v>
      </c>
      <c r="D191" s="3">
        <v>16666.666669999999</v>
      </c>
    </row>
    <row r="192" spans="1:4" x14ac:dyDescent="0.3">
      <c r="A192" s="3">
        <v>78125</v>
      </c>
      <c r="C192" s="3">
        <v>15000</v>
      </c>
      <c r="D192" s="3">
        <v>-9615.3846150000008</v>
      </c>
    </row>
    <row r="193" spans="1:4" x14ac:dyDescent="0.3">
      <c r="A193" s="3">
        <v>-16666.666669999999</v>
      </c>
      <c r="C193" s="3">
        <v>22448.979589999999</v>
      </c>
      <c r="D193" s="3">
        <v>12500</v>
      </c>
    </row>
    <row r="194" spans="1:4" x14ac:dyDescent="0.3">
      <c r="A194" s="3">
        <v>5791.5057919999999</v>
      </c>
      <c r="C194" s="3">
        <v>25000</v>
      </c>
      <c r="D194" s="3">
        <v>15000</v>
      </c>
    </row>
    <row r="195" spans="1:4" x14ac:dyDescent="0.3">
      <c r="A195" s="3">
        <v>6250</v>
      </c>
      <c r="C195" s="3">
        <v>0</v>
      </c>
      <c r="D195" s="3">
        <v>71428.571429999996</v>
      </c>
    </row>
    <row r="196" spans="1:4" x14ac:dyDescent="0.3">
      <c r="A196" s="3">
        <v>7923.9302690000004</v>
      </c>
      <c r="C196" s="3">
        <v>-8333.3333330000005</v>
      </c>
      <c r="D196" s="3">
        <v>0</v>
      </c>
    </row>
    <row r="197" spans="1:4" x14ac:dyDescent="0.3">
      <c r="A197" s="3">
        <v>17241.37931</v>
      </c>
      <c r="C197" s="3">
        <v>50000</v>
      </c>
      <c r="D197" s="3">
        <v>60000</v>
      </c>
    </row>
    <row r="198" spans="1:4" x14ac:dyDescent="0.3">
      <c r="A198" s="3">
        <v>13333.333329999999</v>
      </c>
      <c r="C198" s="3">
        <v>0</v>
      </c>
      <c r="D198" s="3">
        <v>108333.3333</v>
      </c>
    </row>
    <row r="199" spans="1:4" x14ac:dyDescent="0.3">
      <c r="A199" s="3">
        <v>10000</v>
      </c>
      <c r="C199" s="3">
        <v>0</v>
      </c>
      <c r="D199" s="3">
        <v>0</v>
      </c>
    </row>
    <row r="200" spans="1:4" x14ac:dyDescent="0.3">
      <c r="A200" s="3">
        <v>5000</v>
      </c>
      <c r="C200" s="3">
        <v>25000</v>
      </c>
      <c r="D200" s="3">
        <v>20000</v>
      </c>
    </row>
    <row r="201" spans="1:4" x14ac:dyDescent="0.3">
      <c r="A201" s="3">
        <v>10000</v>
      </c>
      <c r="C201" s="3">
        <v>2500</v>
      </c>
      <c r="D201" s="3">
        <v>50000</v>
      </c>
    </row>
    <row r="202" spans="1:4" x14ac:dyDescent="0.3">
      <c r="A202" s="3">
        <v>10000</v>
      </c>
      <c r="C202" s="3">
        <v>25000</v>
      </c>
      <c r="D202" s="3">
        <v>40000</v>
      </c>
    </row>
    <row r="203" spans="1:4" x14ac:dyDescent="0.3">
      <c r="A203" s="3">
        <v>7500</v>
      </c>
      <c r="C203" s="3">
        <v>50000</v>
      </c>
      <c r="D203" s="3">
        <v>83333.333329999994</v>
      </c>
    </row>
    <row r="204" spans="1:4" x14ac:dyDescent="0.3">
      <c r="A204" s="3">
        <v>13333.333329999999</v>
      </c>
      <c r="C204" s="3">
        <v>13986.013989999999</v>
      </c>
      <c r="D204" s="3">
        <v>20000</v>
      </c>
    </row>
    <row r="205" spans="1:4" x14ac:dyDescent="0.3">
      <c r="A205" s="3">
        <v>23437.5</v>
      </c>
      <c r="C205" s="3">
        <v>-12500</v>
      </c>
      <c r="D205" s="3">
        <v>3278.688525</v>
      </c>
    </row>
    <row r="206" spans="1:4" x14ac:dyDescent="0.3">
      <c r="A206" s="3">
        <v>13333.333329999999</v>
      </c>
      <c r="C206" s="3">
        <v>-12500</v>
      </c>
      <c r="D206" s="3">
        <v>83333.333329999994</v>
      </c>
    </row>
    <row r="207" spans="1:4" x14ac:dyDescent="0.3">
      <c r="A207" s="3">
        <v>7142.8571430000002</v>
      </c>
      <c r="C207" s="3">
        <v>12500</v>
      </c>
      <c r="D207" s="3">
        <v>16666.666669999999</v>
      </c>
    </row>
    <row r="208" spans="1:4" x14ac:dyDescent="0.3">
      <c r="A208" s="3">
        <v>8333.3333330000005</v>
      </c>
      <c r="C208" s="3">
        <v>10000</v>
      </c>
      <c r="D208" s="3">
        <v>66666.666670000006</v>
      </c>
    </row>
    <row r="209" spans="1:4" x14ac:dyDescent="0.3">
      <c r="A209" s="3">
        <v>8000</v>
      </c>
      <c r="C209" s="3">
        <v>50000</v>
      </c>
      <c r="D209" s="3">
        <v>31250</v>
      </c>
    </row>
    <row r="210" spans="1:4" x14ac:dyDescent="0.3">
      <c r="A210" s="3">
        <v>6250</v>
      </c>
      <c r="C210" s="3">
        <v>14285.71429</v>
      </c>
      <c r="D210" s="3">
        <v>97087.378639999995</v>
      </c>
    </row>
    <row r="211" spans="1:4" x14ac:dyDescent="0.3">
      <c r="A211" s="3">
        <v>6666.6666670000004</v>
      </c>
      <c r="C211" s="3">
        <v>20000</v>
      </c>
      <c r="D211" s="3">
        <v>30000</v>
      </c>
    </row>
    <row r="212" spans="1:4" x14ac:dyDescent="0.3">
      <c r="A212" s="3">
        <v>6153.8461539999998</v>
      </c>
      <c r="C212" s="3">
        <v>36250</v>
      </c>
      <c r="D212" s="3">
        <v>38000</v>
      </c>
    </row>
    <row r="213" spans="1:4" x14ac:dyDescent="0.3">
      <c r="A213" s="3">
        <v>5000</v>
      </c>
      <c r="C213" s="3">
        <v>6000</v>
      </c>
      <c r="D213" s="3">
        <v>150000</v>
      </c>
    </row>
    <row r="214" spans="1:4" x14ac:dyDescent="0.3">
      <c r="A214" s="3">
        <v>20000</v>
      </c>
      <c r="C214" s="3">
        <v>2777.7777780000001</v>
      </c>
      <c r="D214" s="3">
        <v>93750</v>
      </c>
    </row>
    <row r="215" spans="1:4" x14ac:dyDescent="0.3">
      <c r="A215" s="3">
        <v>12500</v>
      </c>
      <c r="C215" s="3">
        <v>100000</v>
      </c>
      <c r="D215" s="3">
        <v>150000</v>
      </c>
    </row>
    <row r="216" spans="1:4" x14ac:dyDescent="0.3">
      <c r="A216" s="3">
        <v>8333.3333330000005</v>
      </c>
      <c r="C216" s="3">
        <v>8333.3333330000005</v>
      </c>
      <c r="D216" s="3">
        <v>40000</v>
      </c>
    </row>
    <row r="217" spans="1:4" x14ac:dyDescent="0.3">
      <c r="A217" s="3">
        <v>16666.666669999999</v>
      </c>
      <c r="C217" s="3">
        <v>-10365.853660000001</v>
      </c>
      <c r="D217" s="3">
        <v>0</v>
      </c>
    </row>
    <row r="218" spans="1:4" x14ac:dyDescent="0.3">
      <c r="A218" s="3">
        <v>12500</v>
      </c>
      <c r="C218" s="3">
        <v>-6172.8395060000003</v>
      </c>
      <c r="D218" s="3">
        <v>93750</v>
      </c>
    </row>
    <row r="219" spans="1:4" x14ac:dyDescent="0.3">
      <c r="A219" s="3">
        <v>7500</v>
      </c>
      <c r="C219" s="3">
        <v>4166.6666670000004</v>
      </c>
      <c r="D219" s="3">
        <v>42857.14286</v>
      </c>
    </row>
    <row r="220" spans="1:4" x14ac:dyDescent="0.3">
      <c r="A220" s="3">
        <v>12000</v>
      </c>
      <c r="C220" s="3">
        <v>-15625</v>
      </c>
      <c r="D220" s="3">
        <v>5000</v>
      </c>
    </row>
    <row r="221" spans="1:4" x14ac:dyDescent="0.3">
      <c r="A221" s="3">
        <v>12578.61635</v>
      </c>
      <c r="C221" s="3">
        <v>-19450.800920000001</v>
      </c>
      <c r="D221" s="3">
        <v>12500</v>
      </c>
    </row>
    <row r="222" spans="1:4" x14ac:dyDescent="0.3">
      <c r="A222" s="3">
        <v>10000</v>
      </c>
      <c r="C222" s="3">
        <v>-17000</v>
      </c>
      <c r="D222" s="3">
        <v>40000</v>
      </c>
    </row>
    <row r="223" spans="1:4" x14ac:dyDescent="0.3">
      <c r="A223" s="3">
        <v>25000</v>
      </c>
      <c r="C223" s="3">
        <v>16666.666669999999</v>
      </c>
      <c r="D223" s="3">
        <v>12500</v>
      </c>
    </row>
    <row r="224" spans="1:4" x14ac:dyDescent="0.3">
      <c r="A224" s="3">
        <v>23809.523809999999</v>
      </c>
      <c r="C224" s="3">
        <v>22500</v>
      </c>
      <c r="D224" s="3">
        <v>10000</v>
      </c>
    </row>
    <row r="225" spans="1:4" x14ac:dyDescent="0.3">
      <c r="A225" s="3">
        <v>9677.419355</v>
      </c>
      <c r="C225" s="3">
        <v>31428.57143</v>
      </c>
      <c r="D225" s="3">
        <v>40909.090909999999</v>
      </c>
    </row>
    <row r="226" spans="1:4" x14ac:dyDescent="0.3">
      <c r="A226" s="3">
        <v>3750</v>
      </c>
      <c r="C226" s="3">
        <v>20000</v>
      </c>
      <c r="D226" s="3">
        <v>2500</v>
      </c>
    </row>
    <row r="227" spans="1:4" x14ac:dyDescent="0.3">
      <c r="A227" s="3">
        <v>16666.666669999999</v>
      </c>
      <c r="C227" s="3">
        <v>100000</v>
      </c>
      <c r="D227" s="3">
        <v>-16666.666669999999</v>
      </c>
    </row>
    <row r="228" spans="1:4" x14ac:dyDescent="0.3">
      <c r="A228" s="3">
        <v>16666.666669999999</v>
      </c>
      <c r="C228" s="3">
        <v>64516.129029999996</v>
      </c>
      <c r="D228" s="3">
        <v>70000</v>
      </c>
    </row>
    <row r="229" spans="1:4" x14ac:dyDescent="0.3">
      <c r="A229" s="3">
        <v>11666.666670000001</v>
      </c>
      <c r="C229" s="3">
        <v>51666.666669999999</v>
      </c>
      <c r="D229" s="3">
        <v>60096.153850000002</v>
      </c>
    </row>
    <row r="230" spans="1:4" x14ac:dyDescent="0.3">
      <c r="A230" s="3">
        <v>30000</v>
      </c>
      <c r="C230" s="3">
        <v>14000</v>
      </c>
      <c r="D230" s="3">
        <v>-4166.6666670000004</v>
      </c>
    </row>
    <row r="231" spans="1:4" x14ac:dyDescent="0.3">
      <c r="A231" s="3">
        <v>10000</v>
      </c>
      <c r="C231" s="3">
        <v>10000</v>
      </c>
      <c r="D231" s="3">
        <v>75000</v>
      </c>
    </row>
    <row r="232" spans="1:4" x14ac:dyDescent="0.3">
      <c r="A232" s="3">
        <v>9685.2300240000004</v>
      </c>
      <c r="C232" s="3">
        <v>10000</v>
      </c>
      <c r="D232" s="3">
        <v>100000</v>
      </c>
    </row>
    <row r="233" spans="1:4" x14ac:dyDescent="0.3">
      <c r="A233" s="3">
        <v>10000</v>
      </c>
      <c r="C233" s="3">
        <v>16666.666669999999</v>
      </c>
      <c r="D233" s="3">
        <v>31250</v>
      </c>
    </row>
    <row r="234" spans="1:4" x14ac:dyDescent="0.3">
      <c r="A234" s="3">
        <v>45801.526720000002</v>
      </c>
      <c r="C234" s="3">
        <v>73333.333329999994</v>
      </c>
      <c r="D234" s="3">
        <v>20000</v>
      </c>
    </row>
    <row r="235" spans="1:4" x14ac:dyDescent="0.3">
      <c r="A235" s="3">
        <v>16666.666669999999</v>
      </c>
      <c r="C235" s="3">
        <v>107500</v>
      </c>
      <c r="D235" s="3">
        <v>90909.090909999999</v>
      </c>
    </row>
    <row r="236" spans="1:4" x14ac:dyDescent="0.3">
      <c r="A236" s="3">
        <v>9090.9090909999995</v>
      </c>
      <c r="C236" s="3">
        <v>20000</v>
      </c>
      <c r="D236" s="3">
        <v>25000</v>
      </c>
    </row>
    <row r="237" spans="1:4" x14ac:dyDescent="0.3">
      <c r="A237" s="3">
        <v>30000</v>
      </c>
      <c r="C237" s="3">
        <v>60000</v>
      </c>
      <c r="D237" s="3">
        <v>40000</v>
      </c>
    </row>
    <row r="238" spans="1:4" x14ac:dyDescent="0.3">
      <c r="A238" s="3">
        <v>16279.06977</v>
      </c>
      <c r="C238" s="3">
        <v>80000</v>
      </c>
      <c r="D238" s="3">
        <v>40000</v>
      </c>
    </row>
    <row r="239" spans="1:4" x14ac:dyDescent="0.3">
      <c r="A239" s="3">
        <v>24000</v>
      </c>
      <c r="C239" s="3">
        <v>60000</v>
      </c>
      <c r="D239" s="3">
        <v>150000</v>
      </c>
    </row>
    <row r="240" spans="1:4" x14ac:dyDescent="0.3">
      <c r="A240" s="3">
        <v>14285.71429</v>
      </c>
      <c r="C240" s="3">
        <v>120000</v>
      </c>
      <c r="D240" s="3">
        <v>90909.090909999999</v>
      </c>
    </row>
    <row r="241" spans="1:4" x14ac:dyDescent="0.3">
      <c r="A241" s="3">
        <v>10000</v>
      </c>
      <c r="C241" s="3">
        <v>73333.333329999994</v>
      </c>
      <c r="D241" s="3">
        <v>150000</v>
      </c>
    </row>
    <row r="242" spans="1:4" x14ac:dyDescent="0.3">
      <c r="A242" s="3">
        <v>13333.333329999999</v>
      </c>
      <c r="C242" s="3">
        <v>48500</v>
      </c>
      <c r="D242" s="3">
        <v>75000</v>
      </c>
    </row>
    <row r="243" spans="1:4" x14ac:dyDescent="0.3">
      <c r="A243" s="3">
        <v>10000</v>
      </c>
      <c r="C243" s="3">
        <v>17500</v>
      </c>
      <c r="D243" s="3">
        <v>155000</v>
      </c>
    </row>
    <row r="244" spans="1:4" x14ac:dyDescent="0.3">
      <c r="A244" s="3">
        <v>13333.333329999999</v>
      </c>
      <c r="C244" s="3">
        <v>83333.333329999994</v>
      </c>
      <c r="D244" s="3">
        <v>87719.298250000007</v>
      </c>
    </row>
    <row r="245" spans="1:4" x14ac:dyDescent="0.3">
      <c r="A245" s="3">
        <v>8000</v>
      </c>
      <c r="C245" s="3">
        <v>31666.666669999999</v>
      </c>
      <c r="D245" s="3">
        <v>50000</v>
      </c>
    </row>
    <row r="246" spans="1:4" x14ac:dyDescent="0.3">
      <c r="A246" s="3">
        <v>3333.333333</v>
      </c>
      <c r="C246" s="3">
        <v>41666.666669999999</v>
      </c>
      <c r="D246" s="3">
        <v>118181.81819999999</v>
      </c>
    </row>
    <row r="247" spans="1:4" x14ac:dyDescent="0.3">
      <c r="A247" s="3">
        <v>10000</v>
      </c>
      <c r="C247" s="3">
        <v>75000</v>
      </c>
      <c r="D247" s="3">
        <v>100000</v>
      </c>
    </row>
    <row r="248" spans="1:4" x14ac:dyDescent="0.3">
      <c r="A248" s="3">
        <v>13043.47826</v>
      </c>
      <c r="C248" s="3">
        <v>14000</v>
      </c>
      <c r="D248" s="3">
        <v>90909.090909999999</v>
      </c>
    </row>
    <row r="249" spans="1:4" x14ac:dyDescent="0.3">
      <c r="A249" s="3">
        <v>6666.6666670000004</v>
      </c>
      <c r="C249" s="3">
        <v>10000</v>
      </c>
      <c r="D249" s="3">
        <v>40000</v>
      </c>
    </row>
    <row r="250" spans="1:4" x14ac:dyDescent="0.3">
      <c r="A250" s="3">
        <v>10000</v>
      </c>
      <c r="C250" s="3">
        <v>18750</v>
      </c>
      <c r="D250" s="3">
        <v>150000</v>
      </c>
    </row>
    <row r="251" spans="1:4" x14ac:dyDescent="0.3">
      <c r="A251" s="3">
        <v>16666.666669999999</v>
      </c>
      <c r="C251" s="3">
        <v>5000</v>
      </c>
      <c r="D251" s="3">
        <v>60000</v>
      </c>
    </row>
    <row r="252" spans="1:4" x14ac:dyDescent="0.3">
      <c r="A252" s="3">
        <v>4545.4545449999996</v>
      </c>
      <c r="C252" s="3">
        <v>25000</v>
      </c>
      <c r="D252" s="3">
        <v>63025.210079999997</v>
      </c>
    </row>
    <row r="253" spans="1:4" x14ac:dyDescent="0.3">
      <c r="A253" s="3">
        <v>10000</v>
      </c>
      <c r="C253" s="3">
        <v>-5833.3333329999996</v>
      </c>
      <c r="D253" s="3">
        <v>31250</v>
      </c>
    </row>
    <row r="254" spans="1:4" x14ac:dyDescent="0.3">
      <c r="A254" s="3">
        <v>5000</v>
      </c>
      <c r="C254" s="3">
        <v>133333.3333</v>
      </c>
      <c r="D254" s="3">
        <v>22727.272730000001</v>
      </c>
    </row>
    <row r="255" spans="1:4" x14ac:dyDescent="0.3">
      <c r="A255" s="3">
        <v>10000</v>
      </c>
      <c r="C255" s="3">
        <v>-25000</v>
      </c>
      <c r="D255" s="3">
        <v>20000</v>
      </c>
    </row>
    <row r="256" spans="1:4" x14ac:dyDescent="0.3">
      <c r="A256" s="3">
        <v>7547.1698109999998</v>
      </c>
      <c r="C256" s="3">
        <v>25000</v>
      </c>
      <c r="D256" s="3">
        <v>0</v>
      </c>
    </row>
    <row r="257" spans="1:4" x14ac:dyDescent="0.3">
      <c r="A257" s="3">
        <v>5000</v>
      </c>
      <c r="C257" s="3">
        <v>26666.666669999999</v>
      </c>
      <c r="D257" s="3">
        <v>0</v>
      </c>
    </row>
    <row r="258" spans="1:4" x14ac:dyDescent="0.3">
      <c r="A258" s="3">
        <v>28000</v>
      </c>
      <c r="C258" s="3">
        <v>33333.333330000001</v>
      </c>
      <c r="D258" s="3">
        <v>25000</v>
      </c>
    </row>
    <row r="259" spans="1:4" x14ac:dyDescent="0.3">
      <c r="A259" s="3">
        <v>4000</v>
      </c>
      <c r="C259" s="3">
        <v>15066.666670000001</v>
      </c>
      <c r="D259" s="3">
        <v>41666.666669999999</v>
      </c>
    </row>
    <row r="260" spans="1:4" x14ac:dyDescent="0.3">
      <c r="A260" s="3">
        <v>2500</v>
      </c>
      <c r="C260" s="3">
        <v>18181.818179999998</v>
      </c>
      <c r="D260" s="3">
        <v>50000</v>
      </c>
    </row>
    <row r="261" spans="1:4" x14ac:dyDescent="0.3">
      <c r="A261" s="3">
        <v>33333.333330000001</v>
      </c>
      <c r="C261" s="3">
        <v>50000</v>
      </c>
      <c r="D261" s="3">
        <v>0</v>
      </c>
    </row>
    <row r="262" spans="1:4" x14ac:dyDescent="0.3">
      <c r="A262" s="3">
        <v>25000</v>
      </c>
      <c r="C262" s="3">
        <v>20000</v>
      </c>
      <c r="D262" s="3">
        <v>11904.7619</v>
      </c>
    </row>
    <row r="263" spans="1:4" x14ac:dyDescent="0.3">
      <c r="A263" s="3">
        <v>5000</v>
      </c>
      <c r="C263" s="3">
        <v>25000</v>
      </c>
      <c r="D263" s="3">
        <v>100000</v>
      </c>
    </row>
    <row r="264" spans="1:4" x14ac:dyDescent="0.3">
      <c r="A264" s="3">
        <v>16666.666669999999</v>
      </c>
      <c r="C264" s="3">
        <v>31428.57143</v>
      </c>
      <c r="D264" s="3">
        <v>25000</v>
      </c>
    </row>
    <row r="265" spans="1:4" x14ac:dyDescent="0.3">
      <c r="A265" s="3">
        <v>-6666.6666670000004</v>
      </c>
      <c r="C265" s="3">
        <v>21538.46154</v>
      </c>
      <c r="D265" s="3">
        <v>83333.333329999994</v>
      </c>
    </row>
    <row r="266" spans="1:4" x14ac:dyDescent="0.3">
      <c r="A266" s="3">
        <v>4166.6666670000004</v>
      </c>
      <c r="C266" s="3">
        <v>31250</v>
      </c>
      <c r="D266" s="3">
        <v>100000</v>
      </c>
    </row>
    <row r="267" spans="1:4" x14ac:dyDescent="0.3">
      <c r="A267" s="3">
        <v>12500</v>
      </c>
      <c r="C267" s="3">
        <v>30000</v>
      </c>
      <c r="D267" s="3">
        <v>66666.666670000006</v>
      </c>
    </row>
    <row r="268" spans="1:4" x14ac:dyDescent="0.3">
      <c r="A268" s="3">
        <v>36885.245900000002</v>
      </c>
      <c r="C268" s="3">
        <v>33333.333330000001</v>
      </c>
      <c r="D268" s="3">
        <v>20000</v>
      </c>
    </row>
    <row r="269" spans="1:4" x14ac:dyDescent="0.3">
      <c r="A269" s="3">
        <v>30000</v>
      </c>
      <c r="C269" s="3">
        <v>52222.222220000003</v>
      </c>
      <c r="D269" s="3">
        <v>37590.909090000001</v>
      </c>
    </row>
    <row r="270" spans="1:4" x14ac:dyDescent="0.3">
      <c r="A270" s="3">
        <v>31818.181820000002</v>
      </c>
      <c r="C270" s="3">
        <v>28571.42857</v>
      </c>
      <c r="D270" s="3">
        <v>-62500</v>
      </c>
    </row>
    <row r="271" spans="1:4" x14ac:dyDescent="0.3">
      <c r="A271" s="3">
        <v>5000</v>
      </c>
      <c r="C271" s="3">
        <v>31250</v>
      </c>
      <c r="D271" s="3">
        <v>100000</v>
      </c>
    </row>
    <row r="272" spans="1:4" x14ac:dyDescent="0.3">
      <c r="A272" s="3">
        <v>22727.272730000001</v>
      </c>
      <c r="C272" s="3">
        <v>22500</v>
      </c>
      <c r="D272" s="3">
        <v>63636.363640000003</v>
      </c>
    </row>
    <row r="273" spans="1:4" x14ac:dyDescent="0.3">
      <c r="A273" s="3">
        <v>10000</v>
      </c>
      <c r="C273" s="3">
        <v>21818.181820000002</v>
      </c>
      <c r="D273" s="3">
        <v>125000</v>
      </c>
    </row>
    <row r="274" spans="1:4" x14ac:dyDescent="0.3">
      <c r="A274" s="3">
        <v>5000</v>
      </c>
      <c r="C274" s="3">
        <v>21818.181820000002</v>
      </c>
      <c r="D274" s="3">
        <v>45365.853660000001</v>
      </c>
    </row>
    <row r="275" spans="1:4" x14ac:dyDescent="0.3">
      <c r="A275" s="3">
        <v>6666.6666670000004</v>
      </c>
      <c r="C275" s="3">
        <v>27272.727269999999</v>
      </c>
      <c r="D275" s="3">
        <v>73333.333329999994</v>
      </c>
    </row>
    <row r="276" spans="1:4" x14ac:dyDescent="0.3">
      <c r="A276" s="3">
        <v>83333.333329999994</v>
      </c>
      <c r="C276" s="3">
        <v>28750</v>
      </c>
      <c r="D276" s="3">
        <v>114000</v>
      </c>
    </row>
    <row r="277" spans="1:4" x14ac:dyDescent="0.3">
      <c r="A277" s="3">
        <v>113636.3636</v>
      </c>
      <c r="C277" s="3">
        <v>37142.85714</v>
      </c>
      <c r="D277" s="3">
        <v>150000</v>
      </c>
    </row>
    <row r="278" spans="1:4" x14ac:dyDescent="0.3">
      <c r="A278" s="3">
        <v>-12500</v>
      </c>
      <c r="C278" s="3">
        <v>19565.217390000002</v>
      </c>
      <c r="D278" s="3">
        <v>66666.666670000006</v>
      </c>
    </row>
    <row r="279" spans="1:4" x14ac:dyDescent="0.3">
      <c r="A279" s="3">
        <v>125000</v>
      </c>
      <c r="C279" s="3">
        <v>47500</v>
      </c>
      <c r="D279" s="3">
        <v>47619.047619999998</v>
      </c>
    </row>
    <row r="280" spans="1:4" x14ac:dyDescent="0.3">
      <c r="A280" s="3">
        <v>5607.4766360000003</v>
      </c>
      <c r="C280" s="3">
        <v>27380.952379999999</v>
      </c>
      <c r="D280" s="3">
        <v>29585.79882</v>
      </c>
    </row>
    <row r="281" spans="1:4" x14ac:dyDescent="0.3">
      <c r="A281" s="3">
        <v>-2000</v>
      </c>
      <c r="C281" s="3">
        <v>37777.777779999997</v>
      </c>
      <c r="D281" s="3">
        <v>50000</v>
      </c>
    </row>
    <row r="282" spans="1:4" x14ac:dyDescent="0.3">
      <c r="A282" s="3">
        <v>7500</v>
      </c>
      <c r="C282" s="3">
        <v>17000</v>
      </c>
      <c r="D282" s="3">
        <v>45454.545449999998</v>
      </c>
    </row>
    <row r="283" spans="1:4" x14ac:dyDescent="0.3">
      <c r="A283" s="3">
        <v>4761.9047620000001</v>
      </c>
      <c r="C283" s="3">
        <v>40909.090909999999</v>
      </c>
      <c r="D283" s="3">
        <v>100000</v>
      </c>
    </row>
    <row r="284" spans="1:4" x14ac:dyDescent="0.3">
      <c r="A284" s="3">
        <v>2500</v>
      </c>
      <c r="C284" s="3">
        <v>21818.181820000002</v>
      </c>
      <c r="D284" s="3">
        <v>75000</v>
      </c>
    </row>
    <row r="285" spans="1:4" x14ac:dyDescent="0.3">
      <c r="A285" s="3">
        <v>12500</v>
      </c>
      <c r="C285" s="3">
        <v>27906.976739999998</v>
      </c>
      <c r="D285" s="3">
        <v>45454.545449999998</v>
      </c>
    </row>
    <row r="286" spans="1:4" x14ac:dyDescent="0.3">
      <c r="A286" s="3">
        <v>6000</v>
      </c>
      <c r="C286" s="3">
        <v>31818.181820000002</v>
      </c>
      <c r="D286" s="3">
        <v>64516.129029999996</v>
      </c>
    </row>
    <row r="287" spans="1:4" x14ac:dyDescent="0.3">
      <c r="A287" s="3">
        <v>20000</v>
      </c>
      <c r="C287" s="3">
        <v>-34722.222220000003</v>
      </c>
      <c r="D287" s="3">
        <v>90909.090909999999</v>
      </c>
    </row>
    <row r="288" spans="1:4" x14ac:dyDescent="0.3">
      <c r="A288" s="3">
        <v>6000</v>
      </c>
      <c r="C288" s="3">
        <v>24867.724869999998</v>
      </c>
      <c r="D288" s="3">
        <v>83333.333329999994</v>
      </c>
    </row>
    <row r="289" spans="1:4" x14ac:dyDescent="0.3">
      <c r="A289" s="3">
        <v>26315.78947</v>
      </c>
      <c r="C289" s="3">
        <v>20000</v>
      </c>
      <c r="D289" s="3">
        <v>46875</v>
      </c>
    </row>
    <row r="290" spans="1:4" x14ac:dyDescent="0.3">
      <c r="A290" s="3">
        <v>12605.042020000001</v>
      </c>
      <c r="C290" s="3">
        <v>20338.983049999999</v>
      </c>
      <c r="D290" s="3">
        <v>66666.666670000006</v>
      </c>
    </row>
    <row r="291" spans="1:4" x14ac:dyDescent="0.3">
      <c r="A291" s="3">
        <v>16666.666669999999</v>
      </c>
      <c r="D291" s="3">
        <v>25000</v>
      </c>
    </row>
    <row r="292" spans="1:4" x14ac:dyDescent="0.3">
      <c r="A292" s="3">
        <v>8695.6521740000007</v>
      </c>
      <c r="D292" s="3">
        <v>83333.333329999994</v>
      </c>
    </row>
    <row r="293" spans="1:4" x14ac:dyDescent="0.3">
      <c r="A293" s="3">
        <v>28125</v>
      </c>
      <c r="D293" s="3">
        <v>0</v>
      </c>
    </row>
    <row r="294" spans="1:4" x14ac:dyDescent="0.3">
      <c r="A294" s="3">
        <v>100000</v>
      </c>
      <c r="D294" s="3">
        <v>83333.333329999994</v>
      </c>
    </row>
    <row r="295" spans="1:4" x14ac:dyDescent="0.3">
      <c r="A295" s="3">
        <v>10000</v>
      </c>
      <c r="D295" s="3">
        <v>90909.090909999999</v>
      </c>
    </row>
    <row r="296" spans="1:4" x14ac:dyDescent="0.3">
      <c r="A296" s="3">
        <v>16666.666669999999</v>
      </c>
      <c r="D296" s="3">
        <v>100000</v>
      </c>
    </row>
    <row r="297" spans="1:4" x14ac:dyDescent="0.3">
      <c r="A297" s="3">
        <v>-833.33333330000005</v>
      </c>
      <c r="D297" s="3">
        <v>100000</v>
      </c>
    </row>
    <row r="298" spans="1:4" x14ac:dyDescent="0.3">
      <c r="A298" s="3">
        <v>3846.1538460000002</v>
      </c>
      <c r="D298" s="3">
        <v>153846.1538</v>
      </c>
    </row>
    <row r="299" spans="1:4" x14ac:dyDescent="0.3">
      <c r="A299" s="3">
        <v>5000</v>
      </c>
      <c r="D299" s="3">
        <v>83333.333329999994</v>
      </c>
    </row>
    <row r="300" spans="1:4" x14ac:dyDescent="0.3">
      <c r="A300" s="3">
        <v>2247.1910109999999</v>
      </c>
      <c r="D300" s="3">
        <v>111111.11109999999</v>
      </c>
    </row>
    <row r="301" spans="1:4" x14ac:dyDescent="0.3">
      <c r="A301" s="3">
        <v>5000</v>
      </c>
      <c r="D301" s="3">
        <v>50000</v>
      </c>
    </row>
    <row r="302" spans="1:4" x14ac:dyDescent="0.3">
      <c r="A302" s="3">
        <v>16666.666669999999</v>
      </c>
      <c r="D302" s="3">
        <v>136363.63639999999</v>
      </c>
    </row>
    <row r="303" spans="1:4" x14ac:dyDescent="0.3">
      <c r="A303" s="3">
        <v>9302.3255809999991</v>
      </c>
      <c r="D303" s="3">
        <v>25000</v>
      </c>
    </row>
    <row r="304" spans="1:4" x14ac:dyDescent="0.3">
      <c r="A304" s="3">
        <v>20454.545450000001</v>
      </c>
      <c r="D304" s="3">
        <v>66666.666670000006</v>
      </c>
    </row>
    <row r="305" spans="1:4" x14ac:dyDescent="0.3">
      <c r="A305" s="3">
        <v>10000</v>
      </c>
      <c r="D305" s="3">
        <v>100000</v>
      </c>
    </row>
    <row r="306" spans="1:4" x14ac:dyDescent="0.3">
      <c r="A306" s="3">
        <v>15625</v>
      </c>
      <c r="D306" s="3">
        <v>25000</v>
      </c>
    </row>
    <row r="307" spans="1:4" x14ac:dyDescent="0.3">
      <c r="A307" s="3">
        <v>2500</v>
      </c>
      <c r="D307" s="3">
        <v>83333.333329999994</v>
      </c>
    </row>
    <row r="308" spans="1:4" x14ac:dyDescent="0.3">
      <c r="A308" s="3">
        <v>2500</v>
      </c>
      <c r="D308" s="3">
        <v>136363.63639999999</v>
      </c>
    </row>
    <row r="309" spans="1:4" x14ac:dyDescent="0.3">
      <c r="A309" s="3">
        <v>-20000</v>
      </c>
      <c r="D309" s="3">
        <v>6250</v>
      </c>
    </row>
    <row r="310" spans="1:4" x14ac:dyDescent="0.3">
      <c r="A310" s="3">
        <v>5714.2857139999996</v>
      </c>
      <c r="D310" s="3">
        <v>150000</v>
      </c>
    </row>
    <row r="311" spans="1:4" x14ac:dyDescent="0.3">
      <c r="A311" s="3">
        <v>-6349.206349</v>
      </c>
      <c r="D311" s="3">
        <v>100000</v>
      </c>
    </row>
    <row r="312" spans="1:4" x14ac:dyDescent="0.3">
      <c r="A312" s="3">
        <v>30000</v>
      </c>
      <c r="D312" s="3">
        <v>82857.142860000007</v>
      </c>
    </row>
    <row r="313" spans="1:4" x14ac:dyDescent="0.3">
      <c r="A313" s="3">
        <v>-23333.333330000001</v>
      </c>
      <c r="D313" s="3">
        <v>145000</v>
      </c>
    </row>
    <row r="314" spans="1:4" x14ac:dyDescent="0.3">
      <c r="A314" s="3">
        <v>4739.3364929999998</v>
      </c>
      <c r="D314" s="3">
        <v>50000</v>
      </c>
    </row>
    <row r="315" spans="1:4" x14ac:dyDescent="0.3">
      <c r="A315" s="3">
        <v>9302.3255809999991</v>
      </c>
      <c r="D315" s="3">
        <v>66666.666670000006</v>
      </c>
    </row>
    <row r="316" spans="1:4" x14ac:dyDescent="0.3">
      <c r="A316" s="3">
        <v>8333.3333330000005</v>
      </c>
      <c r="D316" s="3">
        <v>100000</v>
      </c>
    </row>
    <row r="317" spans="1:4" x14ac:dyDescent="0.3">
      <c r="A317" s="3">
        <v>12000</v>
      </c>
      <c r="D317" s="3">
        <v>136363.63639999999</v>
      </c>
    </row>
    <row r="318" spans="1:4" x14ac:dyDescent="0.3">
      <c r="A318" s="3">
        <v>6666.6666670000004</v>
      </c>
      <c r="D318" s="3">
        <v>-5714.2857139999996</v>
      </c>
    </row>
    <row r="319" spans="1:4" x14ac:dyDescent="0.3">
      <c r="A319" s="3">
        <v>2857.1428569999998</v>
      </c>
      <c r="D319" s="3">
        <v>111111.11109999999</v>
      </c>
    </row>
    <row r="320" spans="1:4" x14ac:dyDescent="0.3">
      <c r="A320" s="3">
        <v>5000</v>
      </c>
      <c r="D320" s="3">
        <v>100000</v>
      </c>
    </row>
    <row r="321" spans="1:4" x14ac:dyDescent="0.3">
      <c r="A321" s="3">
        <v>3333.333333</v>
      </c>
      <c r="D321" s="3">
        <v>136363.63639999999</v>
      </c>
    </row>
    <row r="322" spans="1:4" x14ac:dyDescent="0.3">
      <c r="A322" s="3">
        <v>5000</v>
      </c>
      <c r="D322" s="3">
        <v>95000</v>
      </c>
    </row>
    <row r="323" spans="1:4" x14ac:dyDescent="0.3">
      <c r="A323" s="3">
        <v>4761.9047620000001</v>
      </c>
      <c r="D323" s="3">
        <v>100000</v>
      </c>
    </row>
    <row r="324" spans="1:4" x14ac:dyDescent="0.3">
      <c r="A324" s="3">
        <v>3750</v>
      </c>
      <c r="D324" s="3">
        <v>100000</v>
      </c>
    </row>
    <row r="325" spans="1:4" x14ac:dyDescent="0.3">
      <c r="A325" s="3">
        <v>25694.444439999999</v>
      </c>
      <c r="D325" s="3">
        <v>25000</v>
      </c>
    </row>
    <row r="326" spans="1:4" x14ac:dyDescent="0.3">
      <c r="A326" s="3">
        <v>6666.6666670000004</v>
      </c>
      <c r="D326" s="3">
        <v>83333.333329999994</v>
      </c>
    </row>
    <row r="327" spans="1:4" x14ac:dyDescent="0.3">
      <c r="A327" s="3">
        <v>5714.2857139999996</v>
      </c>
      <c r="D327" s="3">
        <v>36904.761899999998</v>
      </c>
    </row>
    <row r="328" spans="1:4" x14ac:dyDescent="0.3">
      <c r="A328" s="3">
        <v>1666.666667</v>
      </c>
      <c r="D328" s="3">
        <v>100000</v>
      </c>
    </row>
    <row r="329" spans="1:4" x14ac:dyDescent="0.3">
      <c r="A329" s="3">
        <v>25000</v>
      </c>
      <c r="D329" s="3">
        <v>40000</v>
      </c>
    </row>
    <row r="330" spans="1:4" x14ac:dyDescent="0.3">
      <c r="A330" s="3">
        <v>4000</v>
      </c>
      <c r="D330" s="3">
        <v>75000</v>
      </c>
    </row>
    <row r="331" spans="1:4" x14ac:dyDescent="0.3">
      <c r="A331" s="3">
        <v>3787.878788</v>
      </c>
      <c r="D331" s="3">
        <v>70093.457939999993</v>
      </c>
    </row>
    <row r="332" spans="1:4" x14ac:dyDescent="0.3">
      <c r="A332" s="3">
        <v>25000</v>
      </c>
      <c r="D332" s="3">
        <v>32258.06452</v>
      </c>
    </row>
    <row r="333" spans="1:4" x14ac:dyDescent="0.3">
      <c r="A333" s="3">
        <v>7500</v>
      </c>
      <c r="D333" s="3">
        <v>83333.333329999994</v>
      </c>
    </row>
    <row r="334" spans="1:4" x14ac:dyDescent="0.3">
      <c r="A334" s="3">
        <v>4545.4545449999996</v>
      </c>
      <c r="D334" s="3">
        <v>50000</v>
      </c>
    </row>
    <row r="335" spans="1:4" x14ac:dyDescent="0.3">
      <c r="A335" s="3">
        <v>2307.6923080000001</v>
      </c>
      <c r="D335" s="3">
        <v>50000</v>
      </c>
    </row>
    <row r="336" spans="1:4" x14ac:dyDescent="0.3">
      <c r="A336" s="3">
        <v>3387.0967740000001</v>
      </c>
      <c r="D336" s="3">
        <v>150000</v>
      </c>
    </row>
    <row r="337" spans="1:4" x14ac:dyDescent="0.3">
      <c r="A337" s="3">
        <v>10000</v>
      </c>
      <c r="D337" s="3">
        <v>100000</v>
      </c>
    </row>
    <row r="338" spans="1:4" x14ac:dyDescent="0.3">
      <c r="A338" s="3">
        <v>33333.333330000001</v>
      </c>
      <c r="D338" s="3">
        <v>100000</v>
      </c>
    </row>
    <row r="339" spans="1:4" x14ac:dyDescent="0.3">
      <c r="A339" s="3">
        <v>6250</v>
      </c>
      <c r="D339" s="3">
        <v>68493.150680000006</v>
      </c>
    </row>
    <row r="340" spans="1:4" x14ac:dyDescent="0.3">
      <c r="A340" s="3">
        <v>40000</v>
      </c>
      <c r="D340" s="3">
        <v>100000</v>
      </c>
    </row>
    <row r="341" spans="1:4" x14ac:dyDescent="0.3">
      <c r="A341" s="3">
        <v>6250</v>
      </c>
      <c r="D341" s="3">
        <v>136363.63639999999</v>
      </c>
    </row>
    <row r="342" spans="1:4" x14ac:dyDescent="0.3">
      <c r="A342" s="3">
        <v>5000</v>
      </c>
      <c r="D342" s="3">
        <v>83333.333329999994</v>
      </c>
    </row>
    <row r="343" spans="1:4" x14ac:dyDescent="0.3">
      <c r="A343" s="3">
        <v>4842.6150120000002</v>
      </c>
      <c r="D343" s="3">
        <v>150000</v>
      </c>
    </row>
    <row r="344" spans="1:4" x14ac:dyDescent="0.3">
      <c r="A344" s="3">
        <v>4285.7142860000004</v>
      </c>
      <c r="D344" s="3">
        <v>100000</v>
      </c>
    </row>
    <row r="345" spans="1:4" x14ac:dyDescent="0.3">
      <c r="A345" s="3">
        <v>9708.7378640000006</v>
      </c>
      <c r="D345" s="3">
        <v>100000</v>
      </c>
    </row>
    <row r="346" spans="1:4" x14ac:dyDescent="0.3">
      <c r="A346" s="3">
        <v>6000</v>
      </c>
      <c r="D346" s="3">
        <v>100000</v>
      </c>
    </row>
    <row r="347" spans="1:4" x14ac:dyDescent="0.3">
      <c r="A347" s="3">
        <v>7075.4716980000003</v>
      </c>
      <c r="D347" s="3">
        <v>150000</v>
      </c>
    </row>
    <row r="348" spans="1:4" x14ac:dyDescent="0.3">
      <c r="A348" s="3">
        <v>3333.333333</v>
      </c>
      <c r="D348" s="3">
        <v>143884.8921</v>
      </c>
    </row>
    <row r="349" spans="1:4" x14ac:dyDescent="0.3">
      <c r="A349" s="3">
        <v>5882.3529410000001</v>
      </c>
      <c r="D349" s="3">
        <v>150000</v>
      </c>
    </row>
    <row r="350" spans="1:4" x14ac:dyDescent="0.3">
      <c r="A350" s="3">
        <v>4201.6806720000004</v>
      </c>
      <c r="D350" s="3">
        <v>75000</v>
      </c>
    </row>
    <row r="351" spans="1:4" x14ac:dyDescent="0.3">
      <c r="A351" s="3">
        <v>7500</v>
      </c>
      <c r="D351" s="3">
        <v>87719.298250000007</v>
      </c>
    </row>
    <row r="352" spans="1:4" x14ac:dyDescent="0.3">
      <c r="A352" s="3">
        <v>9090.9090909999995</v>
      </c>
      <c r="D352" s="3">
        <v>150000</v>
      </c>
    </row>
    <row r="353" spans="1:4" x14ac:dyDescent="0.3">
      <c r="A353" s="3">
        <v>25000</v>
      </c>
      <c r="D353" s="3">
        <v>45454.545449999998</v>
      </c>
    </row>
    <row r="354" spans="1:4" x14ac:dyDescent="0.3">
      <c r="A354" s="3">
        <v>7500</v>
      </c>
      <c r="D354" s="3">
        <v>31250</v>
      </c>
    </row>
    <row r="355" spans="1:4" x14ac:dyDescent="0.3">
      <c r="A355" s="3">
        <v>41666.666669999999</v>
      </c>
      <c r="D355" s="3">
        <v>33333.333330000001</v>
      </c>
    </row>
    <row r="356" spans="1:4" x14ac:dyDescent="0.3">
      <c r="A356" s="3">
        <v>18181.818179999998</v>
      </c>
      <c r="D356" s="3">
        <v>150000</v>
      </c>
    </row>
    <row r="357" spans="1:4" x14ac:dyDescent="0.3">
      <c r="A357" s="3">
        <v>10683.760679999999</v>
      </c>
      <c r="D357" s="3">
        <v>99264.705879999994</v>
      </c>
    </row>
    <row r="358" spans="1:4" x14ac:dyDescent="0.3">
      <c r="A358" s="3">
        <v>13636.36364</v>
      </c>
      <c r="D358" s="3">
        <v>100000</v>
      </c>
    </row>
    <row r="359" spans="1:4" x14ac:dyDescent="0.3">
      <c r="A359" s="3">
        <v>16666.666669999999</v>
      </c>
      <c r="D359" s="3">
        <v>100000</v>
      </c>
    </row>
    <row r="360" spans="1:4" x14ac:dyDescent="0.3">
      <c r="A360" s="3">
        <v>5882.3529410000001</v>
      </c>
      <c r="D360" s="3">
        <v>38834.951459999997</v>
      </c>
    </row>
    <row r="361" spans="1:4" x14ac:dyDescent="0.3">
      <c r="A361" s="3">
        <v>2500</v>
      </c>
      <c r="D361" s="3">
        <v>44052.863440000001</v>
      </c>
    </row>
    <row r="362" spans="1:4" x14ac:dyDescent="0.3">
      <c r="A362" s="3">
        <v>8333.3333330000005</v>
      </c>
      <c r="D362" s="3">
        <v>100000</v>
      </c>
    </row>
    <row r="363" spans="1:4" x14ac:dyDescent="0.3">
      <c r="A363" s="3">
        <v>2500</v>
      </c>
      <c r="D363" s="3">
        <v>83333.333329999994</v>
      </c>
    </row>
    <row r="364" spans="1:4" x14ac:dyDescent="0.3">
      <c r="A364" s="3">
        <v>5000</v>
      </c>
      <c r="D364" s="3">
        <v>83333.333329999994</v>
      </c>
    </row>
    <row r="365" spans="1:4" x14ac:dyDescent="0.3">
      <c r="A365" s="3">
        <v>-40000</v>
      </c>
      <c r="D365" s="3">
        <v>100000</v>
      </c>
    </row>
    <row r="366" spans="1:4" x14ac:dyDescent="0.3">
      <c r="A366" s="3">
        <v>30000</v>
      </c>
      <c r="D366" s="3">
        <v>50000</v>
      </c>
    </row>
    <row r="367" spans="1:4" x14ac:dyDescent="0.3">
      <c r="A367" s="3">
        <v>3750</v>
      </c>
      <c r="D367" s="3">
        <v>100000</v>
      </c>
    </row>
    <row r="368" spans="1:4" x14ac:dyDescent="0.3">
      <c r="A368" s="3">
        <v>25000</v>
      </c>
      <c r="D368" s="3">
        <v>92307.692309999999</v>
      </c>
    </row>
    <row r="369" spans="1:4" x14ac:dyDescent="0.3">
      <c r="A369" s="3">
        <v>7500</v>
      </c>
      <c r="D369" s="3">
        <v>136363.63639999999</v>
      </c>
    </row>
    <row r="370" spans="1:4" x14ac:dyDescent="0.3">
      <c r="A370" s="3">
        <v>15000</v>
      </c>
      <c r="D370" s="3">
        <v>66666.666670000006</v>
      </c>
    </row>
    <row r="371" spans="1:4" x14ac:dyDescent="0.3">
      <c r="A371" s="3">
        <v>15000</v>
      </c>
      <c r="D371" s="3">
        <v>150000</v>
      </c>
    </row>
    <row r="372" spans="1:4" x14ac:dyDescent="0.3">
      <c r="A372" s="3">
        <v>66666.666670000006</v>
      </c>
      <c r="D372" s="3">
        <v>114833.3333</v>
      </c>
    </row>
    <row r="373" spans="1:4" x14ac:dyDescent="0.3">
      <c r="A373" s="3">
        <v>1219.512195</v>
      </c>
      <c r="D373" s="3">
        <v>50000</v>
      </c>
    </row>
    <row r="374" spans="1:4" x14ac:dyDescent="0.3">
      <c r="A374" s="3">
        <v>15000</v>
      </c>
      <c r="D374" s="3">
        <v>50000</v>
      </c>
    </row>
    <row r="375" spans="1:4" x14ac:dyDescent="0.3">
      <c r="A375" s="3">
        <v>30000</v>
      </c>
      <c r="D375" s="3">
        <v>50000</v>
      </c>
    </row>
    <row r="376" spans="1:4" x14ac:dyDescent="0.3">
      <c r="A376" s="3">
        <v>16666.666669999999</v>
      </c>
      <c r="D376" s="3">
        <v>84745.762709999995</v>
      </c>
    </row>
    <row r="377" spans="1:4" x14ac:dyDescent="0.3">
      <c r="A377" s="3">
        <v>5000</v>
      </c>
      <c r="D377" s="3">
        <v>20000</v>
      </c>
    </row>
    <row r="378" spans="1:4" x14ac:dyDescent="0.3">
      <c r="A378" s="3">
        <v>7500</v>
      </c>
      <c r="D378" s="3">
        <v>83333.333329999994</v>
      </c>
    </row>
    <row r="379" spans="1:4" x14ac:dyDescent="0.3">
      <c r="A379" s="3">
        <v>6250</v>
      </c>
      <c r="D379" s="3">
        <v>47761.194029999999</v>
      </c>
    </row>
    <row r="380" spans="1:4" x14ac:dyDescent="0.3">
      <c r="A380" s="3">
        <v>6250</v>
      </c>
      <c r="D380" s="3">
        <v>45454.545449999998</v>
      </c>
    </row>
    <row r="381" spans="1:4" x14ac:dyDescent="0.3">
      <c r="A381" s="3">
        <v>6000</v>
      </c>
      <c r="D381" s="3">
        <v>150000</v>
      </c>
    </row>
    <row r="382" spans="1:4" x14ac:dyDescent="0.3">
      <c r="A382" s="3">
        <v>22727.272730000001</v>
      </c>
      <c r="D382" s="3">
        <v>76923.076920000007</v>
      </c>
    </row>
    <row r="383" spans="1:4" x14ac:dyDescent="0.3">
      <c r="A383" s="3">
        <v>15000</v>
      </c>
      <c r="D383" s="3">
        <v>86363.636360000004</v>
      </c>
    </row>
    <row r="384" spans="1:4" x14ac:dyDescent="0.3">
      <c r="A384" s="3">
        <v>10000</v>
      </c>
      <c r="D384" s="3">
        <v>142857.14290000001</v>
      </c>
    </row>
    <row r="385" spans="4:4" x14ac:dyDescent="0.3">
      <c r="D385" s="3">
        <v>96774.193549999996</v>
      </c>
    </row>
    <row r="386" spans="4:4" x14ac:dyDescent="0.3">
      <c r="D386" s="3">
        <v>95238.095239999995</v>
      </c>
    </row>
    <row r="387" spans="4:4" x14ac:dyDescent="0.3">
      <c r="D387" s="3">
        <v>66666.666670000006</v>
      </c>
    </row>
    <row r="388" spans="4:4" x14ac:dyDescent="0.3">
      <c r="D388" s="3">
        <v>60000</v>
      </c>
    </row>
    <row r="389" spans="4:4" x14ac:dyDescent="0.3">
      <c r="D389" s="3">
        <v>64516.129029999996</v>
      </c>
    </row>
    <row r="390" spans="4:4" x14ac:dyDescent="0.3">
      <c r="D390" s="3">
        <v>80645.161290000004</v>
      </c>
    </row>
    <row r="391" spans="4:4" x14ac:dyDescent="0.3">
      <c r="D391" s="3">
        <v>100000</v>
      </c>
    </row>
    <row r="392" spans="4:4" x14ac:dyDescent="0.3">
      <c r="D392" s="3">
        <v>150000</v>
      </c>
    </row>
    <row r="393" spans="4:4" x14ac:dyDescent="0.3">
      <c r="D393" s="3">
        <v>100000</v>
      </c>
    </row>
    <row r="394" spans="4:4" x14ac:dyDescent="0.3">
      <c r="D394" s="3">
        <v>100000</v>
      </c>
    </row>
    <row r="395" spans="4:4" x14ac:dyDescent="0.3">
      <c r="D395" s="3">
        <v>153846.1538</v>
      </c>
    </row>
    <row r="396" spans="4:4" x14ac:dyDescent="0.3">
      <c r="D396" s="3">
        <v>100000</v>
      </c>
    </row>
    <row r="397" spans="4:4" x14ac:dyDescent="0.3">
      <c r="D397" s="3">
        <v>32786.885249999999</v>
      </c>
    </row>
    <row r="398" spans="4:4" x14ac:dyDescent="0.3">
      <c r="D398" s="3">
        <v>150000</v>
      </c>
    </row>
    <row r="399" spans="4:4" x14ac:dyDescent="0.3">
      <c r="D399" s="3">
        <v>90909.090909999999</v>
      </c>
    </row>
    <row r="400" spans="4:4" x14ac:dyDescent="0.3">
      <c r="D400" s="3">
        <v>76923.076920000007</v>
      </c>
    </row>
    <row r="401" spans="4:4" x14ac:dyDescent="0.3">
      <c r="D401" s="3">
        <v>125000</v>
      </c>
    </row>
    <row r="402" spans="4:4" x14ac:dyDescent="0.3">
      <c r="D402" s="3">
        <v>91666.666670000006</v>
      </c>
    </row>
    <row r="403" spans="4:4" x14ac:dyDescent="0.3">
      <c r="D403" s="3">
        <v>83333.333329999994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24D67-AF02-4EB4-BB1C-0DD416B94250}">
  <dimension ref="A1:Y509"/>
  <sheetViews>
    <sheetView topLeftCell="D1" workbookViewId="0">
      <selection activeCell="H1" sqref="H1"/>
    </sheetView>
  </sheetViews>
  <sheetFormatPr defaultRowHeight="14.4" x14ac:dyDescent="0.3"/>
  <cols>
    <col min="1" max="1" width="11.88671875" style="3" bestFit="1" customWidth="1"/>
    <col min="2" max="2" width="10.6640625" bestFit="1" customWidth="1"/>
    <col min="3" max="3" width="11.5546875" bestFit="1" customWidth="1"/>
    <col min="4" max="4" width="24.33203125" bestFit="1" customWidth="1"/>
    <col min="5" max="5" width="20" bestFit="1" customWidth="1"/>
    <col min="6" max="6" width="10.33203125" bestFit="1" customWidth="1"/>
    <col min="7" max="7" width="16.33203125" bestFit="1" customWidth="1"/>
    <col min="8" max="8" width="13.5546875" bestFit="1" customWidth="1"/>
    <col min="9" max="9" width="20.109375" bestFit="1" customWidth="1"/>
    <col min="10" max="10" width="18.44140625" bestFit="1" customWidth="1"/>
    <col min="11" max="11" width="16.88671875" bestFit="1" customWidth="1"/>
    <col min="12" max="12" width="12.109375" bestFit="1" customWidth="1"/>
    <col min="13" max="13" width="12.88671875" bestFit="1" customWidth="1"/>
    <col min="14" max="14" width="16.109375" bestFit="1" customWidth="1"/>
    <col min="15" max="15" width="15.33203125" bestFit="1" customWidth="1"/>
    <col min="16" max="16" width="11.109375" style="3" bestFit="1" customWidth="1"/>
    <col min="17" max="17" width="20.109375" bestFit="1" customWidth="1"/>
    <col min="18" max="18" width="10.88671875" bestFit="1" customWidth="1"/>
    <col min="19" max="19" width="13.77734375" bestFit="1" customWidth="1"/>
    <col min="20" max="20" width="17.77734375" bestFit="1" customWidth="1"/>
    <col min="21" max="21" width="14.77734375" bestFit="1" customWidth="1"/>
    <col min="22" max="22" width="15.77734375" bestFit="1" customWidth="1"/>
    <col min="23" max="23" width="15.33203125" bestFit="1" customWidth="1"/>
    <col min="24" max="24" width="11.5546875" bestFit="1" customWidth="1"/>
    <col min="25" max="25" width="18.21875" bestFit="1" customWidth="1"/>
  </cols>
  <sheetData>
    <row r="1" spans="1:25" x14ac:dyDescent="0.3">
      <c r="A1" s="3" t="s">
        <v>19</v>
      </c>
      <c r="B1" t="s">
        <v>10</v>
      </c>
      <c r="C1" t="s">
        <v>6</v>
      </c>
      <c r="D1" t="s">
        <v>20</v>
      </c>
      <c r="E1" t="s">
        <v>5</v>
      </c>
      <c r="F1" t="s">
        <v>21</v>
      </c>
      <c r="G1" t="s">
        <v>22</v>
      </c>
      <c r="H1" t="s">
        <v>23</v>
      </c>
      <c r="I1" t="s">
        <v>24</v>
      </c>
      <c r="J1" t="s">
        <v>25</v>
      </c>
      <c r="K1" t="s">
        <v>26</v>
      </c>
      <c r="L1" t="s">
        <v>27</v>
      </c>
      <c r="M1" t="s">
        <v>28</v>
      </c>
      <c r="N1" t="s">
        <v>29</v>
      </c>
      <c r="O1" t="s">
        <v>11</v>
      </c>
      <c r="P1" s="3" t="s">
        <v>30</v>
      </c>
      <c r="Q1" t="s">
        <v>31</v>
      </c>
      <c r="R1" t="s">
        <v>32</v>
      </c>
      <c r="S1" t="s">
        <v>33</v>
      </c>
      <c r="T1" t="s">
        <v>34</v>
      </c>
      <c r="U1" t="s">
        <v>35</v>
      </c>
      <c r="V1" t="s">
        <v>36</v>
      </c>
      <c r="W1" s="3" t="s">
        <v>2</v>
      </c>
      <c r="X1" t="s">
        <v>7</v>
      </c>
      <c r="Y1" t="s">
        <v>37</v>
      </c>
    </row>
    <row r="2" spans="1:25" x14ac:dyDescent="0.3">
      <c r="A2" s="3">
        <v>50000</v>
      </c>
      <c r="B2">
        <v>1</v>
      </c>
      <c r="C2">
        <v>0</v>
      </c>
      <c r="D2">
        <v>8</v>
      </c>
      <c r="E2">
        <v>0</v>
      </c>
      <c r="F2">
        <v>0</v>
      </c>
      <c r="G2">
        <v>0</v>
      </c>
      <c r="H2">
        <v>0</v>
      </c>
      <c r="I2">
        <v>0</v>
      </c>
      <c r="J2">
        <v>0</v>
      </c>
      <c r="K2">
        <v>0</v>
      </c>
      <c r="L2">
        <v>0</v>
      </c>
      <c r="M2">
        <v>0</v>
      </c>
      <c r="N2">
        <v>1</v>
      </c>
      <c r="O2">
        <v>1</v>
      </c>
      <c r="P2">
        <v>10000</v>
      </c>
      <c r="Q2">
        <v>1100</v>
      </c>
      <c r="R2">
        <v>1</v>
      </c>
      <c r="S2">
        <v>1</v>
      </c>
      <c r="T2">
        <v>1</v>
      </c>
      <c r="U2">
        <v>1</v>
      </c>
      <c r="V2">
        <v>10200</v>
      </c>
      <c r="W2" s="3">
        <v>35937.5</v>
      </c>
      <c r="X2">
        <v>1</v>
      </c>
      <c r="Y2">
        <v>10000</v>
      </c>
    </row>
    <row r="3" spans="1:25" x14ac:dyDescent="0.3">
      <c r="A3" s="3">
        <v>100000</v>
      </c>
      <c r="B3">
        <v>1</v>
      </c>
      <c r="C3">
        <v>0</v>
      </c>
      <c r="D3">
        <v>0</v>
      </c>
      <c r="E3">
        <v>1</v>
      </c>
      <c r="F3">
        <v>0</v>
      </c>
      <c r="G3">
        <v>0</v>
      </c>
      <c r="H3">
        <v>0</v>
      </c>
      <c r="I3">
        <v>0</v>
      </c>
      <c r="J3">
        <v>0</v>
      </c>
      <c r="K3">
        <v>0</v>
      </c>
      <c r="L3">
        <v>1</v>
      </c>
      <c r="M3">
        <v>0</v>
      </c>
      <c r="N3">
        <v>0</v>
      </c>
      <c r="O3">
        <v>0</v>
      </c>
      <c r="P3">
        <v>50000</v>
      </c>
      <c r="Q3">
        <v>0</v>
      </c>
      <c r="R3">
        <v>0</v>
      </c>
      <c r="S3">
        <v>0</v>
      </c>
      <c r="T3">
        <v>1</v>
      </c>
      <c r="U3">
        <v>1</v>
      </c>
      <c r="V3">
        <v>90200</v>
      </c>
      <c r="W3" s="3">
        <v>25000</v>
      </c>
      <c r="X3">
        <v>1</v>
      </c>
      <c r="Y3">
        <v>50000</v>
      </c>
    </row>
    <row r="4" spans="1:25" x14ac:dyDescent="0.3">
      <c r="A4" s="3">
        <v>40000</v>
      </c>
      <c r="B4">
        <v>1</v>
      </c>
      <c r="C4">
        <v>0</v>
      </c>
      <c r="D4">
        <v>4</v>
      </c>
      <c r="E4">
        <v>1</v>
      </c>
      <c r="F4">
        <v>0</v>
      </c>
      <c r="G4">
        <v>0</v>
      </c>
      <c r="H4">
        <v>0</v>
      </c>
      <c r="I4">
        <v>1</v>
      </c>
      <c r="J4">
        <v>0</v>
      </c>
      <c r="K4">
        <v>1</v>
      </c>
      <c r="L4">
        <v>1</v>
      </c>
      <c r="M4">
        <v>0</v>
      </c>
      <c r="N4">
        <v>1</v>
      </c>
      <c r="O4">
        <v>1</v>
      </c>
      <c r="P4">
        <v>0</v>
      </c>
      <c r="Q4">
        <v>10000</v>
      </c>
      <c r="R4">
        <v>1</v>
      </c>
      <c r="S4">
        <v>1</v>
      </c>
      <c r="T4">
        <v>1</v>
      </c>
      <c r="U4">
        <v>1</v>
      </c>
      <c r="V4">
        <v>0</v>
      </c>
      <c r="W4" s="3">
        <v>31111.111110000002</v>
      </c>
      <c r="X4">
        <v>0</v>
      </c>
      <c r="Y4">
        <v>0</v>
      </c>
    </row>
    <row r="5" spans="1:25" x14ac:dyDescent="0.3">
      <c r="A5" s="3">
        <v>60000</v>
      </c>
      <c r="B5">
        <v>1</v>
      </c>
      <c r="C5">
        <v>0</v>
      </c>
      <c r="D5">
        <v>0</v>
      </c>
      <c r="E5">
        <v>1</v>
      </c>
      <c r="F5">
        <v>0</v>
      </c>
      <c r="G5">
        <v>0</v>
      </c>
      <c r="H5">
        <v>0</v>
      </c>
      <c r="I5">
        <v>0</v>
      </c>
      <c r="J5">
        <v>0</v>
      </c>
      <c r="K5">
        <v>0</v>
      </c>
      <c r="L5">
        <v>0</v>
      </c>
      <c r="M5">
        <v>0</v>
      </c>
      <c r="N5">
        <v>0</v>
      </c>
      <c r="O5">
        <v>0</v>
      </c>
      <c r="P5">
        <v>20000</v>
      </c>
      <c r="Q5">
        <v>1100</v>
      </c>
      <c r="R5">
        <v>0</v>
      </c>
      <c r="S5">
        <v>0</v>
      </c>
      <c r="T5">
        <v>1</v>
      </c>
      <c r="U5">
        <v>0</v>
      </c>
      <c r="V5">
        <v>85200</v>
      </c>
      <c r="W5" s="3">
        <v>20161.29032</v>
      </c>
      <c r="X5">
        <v>1</v>
      </c>
      <c r="Y5">
        <v>20000</v>
      </c>
    </row>
    <row r="6" spans="1:25" x14ac:dyDescent="0.3">
      <c r="A6" s="3">
        <v>50000</v>
      </c>
      <c r="B6">
        <v>1</v>
      </c>
      <c r="C6">
        <v>0</v>
      </c>
      <c r="D6">
        <v>8</v>
      </c>
      <c r="E6">
        <v>1</v>
      </c>
      <c r="F6">
        <v>0</v>
      </c>
      <c r="G6">
        <v>0</v>
      </c>
      <c r="H6">
        <v>0</v>
      </c>
      <c r="I6">
        <v>0</v>
      </c>
      <c r="J6">
        <v>1</v>
      </c>
      <c r="K6">
        <v>0</v>
      </c>
      <c r="L6">
        <v>1</v>
      </c>
      <c r="M6">
        <v>0</v>
      </c>
      <c r="N6">
        <v>1</v>
      </c>
      <c r="O6">
        <v>1</v>
      </c>
      <c r="P6">
        <v>50000</v>
      </c>
      <c r="Q6">
        <v>20000</v>
      </c>
      <c r="R6">
        <v>1</v>
      </c>
      <c r="S6">
        <v>1</v>
      </c>
      <c r="T6">
        <v>1</v>
      </c>
      <c r="U6">
        <v>1</v>
      </c>
      <c r="V6">
        <v>85200</v>
      </c>
      <c r="W6" s="3">
        <v>24000</v>
      </c>
      <c r="X6">
        <v>1</v>
      </c>
      <c r="Y6">
        <v>50000</v>
      </c>
    </row>
    <row r="7" spans="1:25" x14ac:dyDescent="0.3">
      <c r="A7" s="3">
        <v>70000</v>
      </c>
      <c r="B7">
        <v>1</v>
      </c>
      <c r="C7">
        <v>1</v>
      </c>
      <c r="D7">
        <v>8</v>
      </c>
      <c r="E7">
        <v>1</v>
      </c>
      <c r="F7">
        <v>0</v>
      </c>
      <c r="G7">
        <v>0</v>
      </c>
      <c r="H7">
        <v>0</v>
      </c>
      <c r="I7">
        <v>1</v>
      </c>
      <c r="J7">
        <v>0</v>
      </c>
      <c r="K7">
        <v>0</v>
      </c>
      <c r="L7">
        <v>0</v>
      </c>
      <c r="M7">
        <v>1</v>
      </c>
      <c r="N7">
        <v>1</v>
      </c>
      <c r="O7">
        <v>1</v>
      </c>
      <c r="P7">
        <v>35000</v>
      </c>
      <c r="Q7">
        <v>0</v>
      </c>
      <c r="R7">
        <v>1</v>
      </c>
      <c r="S7">
        <v>1</v>
      </c>
      <c r="T7">
        <v>1</v>
      </c>
      <c r="U7">
        <v>1</v>
      </c>
      <c r="V7">
        <v>20400</v>
      </c>
      <c r="W7" s="3">
        <v>32500</v>
      </c>
      <c r="X7">
        <v>1</v>
      </c>
      <c r="Y7">
        <v>35000</v>
      </c>
    </row>
    <row r="8" spans="1:25" x14ac:dyDescent="0.3">
      <c r="A8" s="3">
        <v>45000</v>
      </c>
      <c r="B8">
        <v>1</v>
      </c>
      <c r="C8">
        <v>1</v>
      </c>
      <c r="D8">
        <v>5</v>
      </c>
      <c r="E8">
        <v>1</v>
      </c>
      <c r="F8">
        <v>0</v>
      </c>
      <c r="G8">
        <v>0</v>
      </c>
      <c r="H8">
        <v>0</v>
      </c>
      <c r="I8">
        <v>1</v>
      </c>
      <c r="J8">
        <v>1</v>
      </c>
      <c r="K8">
        <v>0</v>
      </c>
      <c r="L8">
        <v>0</v>
      </c>
      <c r="M8">
        <v>1</v>
      </c>
      <c r="N8">
        <v>1</v>
      </c>
      <c r="O8">
        <v>1</v>
      </c>
      <c r="P8">
        <v>50000</v>
      </c>
      <c r="Q8">
        <v>20000</v>
      </c>
      <c r="R8">
        <v>1</v>
      </c>
      <c r="S8">
        <v>1</v>
      </c>
      <c r="T8">
        <v>1</v>
      </c>
      <c r="U8">
        <v>0</v>
      </c>
      <c r="V8">
        <v>10200</v>
      </c>
      <c r="W8" s="3">
        <v>24444.444439999999</v>
      </c>
      <c r="X8">
        <v>1</v>
      </c>
      <c r="Y8">
        <v>50000</v>
      </c>
    </row>
    <row r="9" spans="1:25" x14ac:dyDescent="0.3">
      <c r="A9" s="3">
        <v>50000</v>
      </c>
      <c r="B9">
        <v>0</v>
      </c>
      <c r="C9">
        <v>0</v>
      </c>
      <c r="D9">
        <v>0</v>
      </c>
      <c r="E9">
        <v>1</v>
      </c>
      <c r="F9">
        <v>0</v>
      </c>
      <c r="G9">
        <v>0</v>
      </c>
      <c r="H9">
        <v>0</v>
      </c>
      <c r="I9">
        <v>0</v>
      </c>
      <c r="J9">
        <v>0</v>
      </c>
      <c r="K9">
        <v>0</v>
      </c>
      <c r="L9">
        <v>0</v>
      </c>
      <c r="M9">
        <v>0</v>
      </c>
      <c r="N9">
        <v>1</v>
      </c>
      <c r="O9">
        <v>1</v>
      </c>
      <c r="P9" s="3">
        <v>30000</v>
      </c>
      <c r="Q9">
        <v>20000</v>
      </c>
      <c r="R9">
        <v>1</v>
      </c>
      <c r="S9">
        <v>1</v>
      </c>
      <c r="T9">
        <v>1</v>
      </c>
      <c r="U9">
        <v>1</v>
      </c>
      <c r="V9">
        <v>10200</v>
      </c>
      <c r="W9" s="3">
        <v>21739.130430000001</v>
      </c>
      <c r="X9">
        <v>1</v>
      </c>
      <c r="Y9">
        <v>30000</v>
      </c>
    </row>
    <row r="10" spans="1:25" x14ac:dyDescent="0.3">
      <c r="A10" s="3">
        <v>30000</v>
      </c>
      <c r="B10">
        <v>0</v>
      </c>
      <c r="C10">
        <v>1</v>
      </c>
      <c r="D10">
        <v>4</v>
      </c>
      <c r="E10">
        <v>1</v>
      </c>
      <c r="F10">
        <v>0</v>
      </c>
      <c r="G10">
        <v>0</v>
      </c>
      <c r="H10">
        <v>0</v>
      </c>
      <c r="I10">
        <v>1</v>
      </c>
      <c r="J10">
        <v>1</v>
      </c>
      <c r="K10">
        <v>1</v>
      </c>
      <c r="L10">
        <v>1</v>
      </c>
      <c r="M10">
        <v>1</v>
      </c>
      <c r="N10">
        <v>1</v>
      </c>
      <c r="O10">
        <v>1</v>
      </c>
      <c r="P10" s="3">
        <v>0</v>
      </c>
      <c r="Q10">
        <v>10000</v>
      </c>
      <c r="R10">
        <v>1</v>
      </c>
      <c r="S10">
        <v>1</v>
      </c>
      <c r="T10">
        <v>1</v>
      </c>
      <c r="U10">
        <v>1</v>
      </c>
      <c r="V10">
        <v>0</v>
      </c>
      <c r="W10" s="3">
        <v>33333.333330000001</v>
      </c>
      <c r="X10">
        <v>1</v>
      </c>
      <c r="Y10">
        <v>0</v>
      </c>
    </row>
    <row r="11" spans="1:25" x14ac:dyDescent="0.3">
      <c r="A11" s="3">
        <v>50000</v>
      </c>
      <c r="B11">
        <v>1</v>
      </c>
      <c r="C11">
        <v>1</v>
      </c>
      <c r="D11">
        <v>4</v>
      </c>
      <c r="E11">
        <v>1</v>
      </c>
      <c r="F11">
        <v>0</v>
      </c>
      <c r="G11">
        <v>0</v>
      </c>
      <c r="H11">
        <v>0</v>
      </c>
      <c r="I11">
        <v>1</v>
      </c>
      <c r="J11">
        <v>0</v>
      </c>
      <c r="K11">
        <v>1</v>
      </c>
      <c r="L11">
        <v>1</v>
      </c>
      <c r="M11">
        <v>0</v>
      </c>
      <c r="N11">
        <v>1</v>
      </c>
      <c r="O11">
        <v>0</v>
      </c>
      <c r="P11">
        <v>30000</v>
      </c>
      <c r="Q11">
        <v>1200</v>
      </c>
      <c r="R11">
        <v>1</v>
      </c>
      <c r="S11">
        <v>1</v>
      </c>
      <c r="T11">
        <v>1</v>
      </c>
      <c r="U11">
        <v>1</v>
      </c>
      <c r="V11">
        <v>10200</v>
      </c>
      <c r="W11" s="3">
        <v>23255.81395</v>
      </c>
      <c r="X11">
        <v>1</v>
      </c>
      <c r="Y11">
        <v>30000</v>
      </c>
    </row>
    <row r="12" spans="1:25" x14ac:dyDescent="0.3">
      <c r="A12" s="3">
        <v>70000</v>
      </c>
      <c r="B12">
        <v>0</v>
      </c>
      <c r="C12">
        <v>1</v>
      </c>
      <c r="D12">
        <v>10</v>
      </c>
      <c r="E12">
        <v>1</v>
      </c>
      <c r="F12">
        <v>0</v>
      </c>
      <c r="G12">
        <v>0</v>
      </c>
      <c r="H12">
        <v>0</v>
      </c>
      <c r="I12">
        <v>0</v>
      </c>
      <c r="J12">
        <v>0</v>
      </c>
      <c r="K12">
        <v>1</v>
      </c>
      <c r="L12">
        <v>0</v>
      </c>
      <c r="M12">
        <v>1</v>
      </c>
      <c r="N12">
        <v>1</v>
      </c>
      <c r="O12">
        <v>1</v>
      </c>
      <c r="P12" s="3">
        <v>70000</v>
      </c>
      <c r="Q12">
        <v>0</v>
      </c>
      <c r="R12">
        <v>1</v>
      </c>
      <c r="S12">
        <v>1</v>
      </c>
      <c r="T12">
        <v>1</v>
      </c>
      <c r="U12">
        <v>0</v>
      </c>
      <c r="V12">
        <v>10200</v>
      </c>
      <c r="W12" s="3">
        <v>28888.888889999998</v>
      </c>
      <c r="X12">
        <v>1</v>
      </c>
      <c r="Y12">
        <v>70000</v>
      </c>
    </row>
    <row r="13" spans="1:25" x14ac:dyDescent="0.3">
      <c r="A13" s="3">
        <v>80000</v>
      </c>
      <c r="B13">
        <v>0</v>
      </c>
      <c r="C13">
        <v>0</v>
      </c>
      <c r="D13">
        <v>3</v>
      </c>
      <c r="E13">
        <v>1</v>
      </c>
      <c r="F13">
        <v>0</v>
      </c>
      <c r="G13">
        <v>0</v>
      </c>
      <c r="H13">
        <v>1</v>
      </c>
      <c r="I13">
        <v>0</v>
      </c>
      <c r="J13">
        <v>0</v>
      </c>
      <c r="K13">
        <v>1</v>
      </c>
      <c r="L13">
        <v>1</v>
      </c>
      <c r="M13">
        <v>0</v>
      </c>
      <c r="N13">
        <v>1</v>
      </c>
      <c r="O13">
        <v>1</v>
      </c>
      <c r="P13" s="3">
        <v>40000</v>
      </c>
      <c r="Q13">
        <v>0</v>
      </c>
      <c r="R13">
        <v>0</v>
      </c>
      <c r="S13">
        <v>0</v>
      </c>
      <c r="T13">
        <v>1</v>
      </c>
      <c r="U13">
        <v>0</v>
      </c>
      <c r="V13">
        <v>47000</v>
      </c>
      <c r="W13" s="3">
        <v>-12500</v>
      </c>
      <c r="X13">
        <v>1</v>
      </c>
      <c r="Y13">
        <v>40000</v>
      </c>
    </row>
    <row r="14" spans="1:25" x14ac:dyDescent="0.3">
      <c r="A14" s="3">
        <v>0</v>
      </c>
      <c r="B14">
        <v>1</v>
      </c>
      <c r="C14">
        <v>0</v>
      </c>
      <c r="D14">
        <v>3</v>
      </c>
      <c r="E14">
        <v>1</v>
      </c>
      <c r="F14">
        <v>0</v>
      </c>
      <c r="G14">
        <v>0</v>
      </c>
      <c r="H14">
        <v>0</v>
      </c>
      <c r="I14">
        <v>0</v>
      </c>
      <c r="J14">
        <v>0</v>
      </c>
      <c r="K14">
        <v>1</v>
      </c>
      <c r="L14">
        <v>1</v>
      </c>
      <c r="M14">
        <v>0</v>
      </c>
      <c r="N14">
        <v>1</v>
      </c>
      <c r="O14">
        <v>1</v>
      </c>
      <c r="P14">
        <v>25000</v>
      </c>
      <c r="Q14">
        <v>0</v>
      </c>
      <c r="R14">
        <v>0</v>
      </c>
      <c r="S14">
        <v>0</v>
      </c>
      <c r="T14">
        <v>1</v>
      </c>
      <c r="U14">
        <v>0</v>
      </c>
      <c r="V14">
        <v>172000</v>
      </c>
      <c r="W14" s="3">
        <v>-833.33333330000005</v>
      </c>
      <c r="X14">
        <v>0</v>
      </c>
      <c r="Y14">
        <v>25000</v>
      </c>
    </row>
    <row r="15" spans="1:25" x14ac:dyDescent="0.3">
      <c r="A15" s="3">
        <v>45000</v>
      </c>
      <c r="B15">
        <v>1</v>
      </c>
      <c r="C15">
        <v>0</v>
      </c>
      <c r="D15">
        <v>1</v>
      </c>
      <c r="E15">
        <v>1</v>
      </c>
      <c r="F15">
        <v>0</v>
      </c>
      <c r="G15">
        <v>0</v>
      </c>
      <c r="H15">
        <v>0</v>
      </c>
      <c r="I15">
        <v>0</v>
      </c>
      <c r="J15">
        <v>0</v>
      </c>
      <c r="K15">
        <v>1</v>
      </c>
      <c r="L15">
        <v>1</v>
      </c>
      <c r="M15">
        <v>0</v>
      </c>
      <c r="N15">
        <v>1</v>
      </c>
      <c r="O15">
        <v>1</v>
      </c>
      <c r="P15">
        <v>30000</v>
      </c>
      <c r="Q15">
        <v>0</v>
      </c>
      <c r="R15">
        <v>0</v>
      </c>
      <c r="S15">
        <v>0</v>
      </c>
      <c r="T15">
        <v>1</v>
      </c>
      <c r="U15">
        <v>0</v>
      </c>
      <c r="V15">
        <v>292500</v>
      </c>
      <c r="W15" s="3">
        <v>0</v>
      </c>
      <c r="X15">
        <v>0</v>
      </c>
      <c r="Y15">
        <v>30000</v>
      </c>
    </row>
    <row r="16" spans="1:25" x14ac:dyDescent="0.3">
      <c r="A16" s="3">
        <v>0</v>
      </c>
      <c r="B16">
        <v>1</v>
      </c>
      <c r="C16">
        <v>0</v>
      </c>
      <c r="D16">
        <v>3</v>
      </c>
      <c r="E16">
        <v>1</v>
      </c>
      <c r="F16">
        <v>0</v>
      </c>
      <c r="G16">
        <v>0</v>
      </c>
      <c r="H16">
        <v>0</v>
      </c>
      <c r="I16">
        <v>0</v>
      </c>
      <c r="J16">
        <v>0</v>
      </c>
      <c r="K16">
        <v>1</v>
      </c>
      <c r="L16">
        <v>1</v>
      </c>
      <c r="M16">
        <v>0</v>
      </c>
      <c r="N16">
        <v>1</v>
      </c>
      <c r="O16">
        <v>1</v>
      </c>
      <c r="P16">
        <v>35000</v>
      </c>
      <c r="Q16">
        <v>0</v>
      </c>
      <c r="R16">
        <v>0</v>
      </c>
      <c r="S16">
        <v>0</v>
      </c>
      <c r="T16">
        <v>1</v>
      </c>
      <c r="U16">
        <v>0</v>
      </c>
      <c r="V16">
        <v>93000</v>
      </c>
      <c r="W16" s="3">
        <v>-2500</v>
      </c>
      <c r="X16">
        <v>0</v>
      </c>
      <c r="Y16">
        <v>35000</v>
      </c>
    </row>
    <row r="17" spans="1:25" x14ac:dyDescent="0.3">
      <c r="A17" s="3">
        <v>0</v>
      </c>
      <c r="B17">
        <v>1</v>
      </c>
      <c r="C17">
        <v>0</v>
      </c>
      <c r="D17">
        <v>2</v>
      </c>
      <c r="E17">
        <v>0</v>
      </c>
      <c r="F17">
        <v>0</v>
      </c>
      <c r="G17">
        <v>0</v>
      </c>
      <c r="H17">
        <v>0</v>
      </c>
      <c r="I17">
        <v>0</v>
      </c>
      <c r="J17">
        <v>0</v>
      </c>
      <c r="K17">
        <v>1</v>
      </c>
      <c r="L17">
        <v>1</v>
      </c>
      <c r="M17">
        <v>0</v>
      </c>
      <c r="N17">
        <v>0</v>
      </c>
      <c r="O17">
        <v>0</v>
      </c>
      <c r="P17">
        <v>40000</v>
      </c>
      <c r="Q17">
        <v>0</v>
      </c>
      <c r="R17">
        <v>0</v>
      </c>
      <c r="S17">
        <v>0</v>
      </c>
      <c r="T17">
        <v>1</v>
      </c>
      <c r="U17">
        <v>0</v>
      </c>
      <c r="V17">
        <v>20000</v>
      </c>
      <c r="W17" s="3">
        <v>0</v>
      </c>
      <c r="X17">
        <v>1</v>
      </c>
      <c r="Y17">
        <v>40000</v>
      </c>
    </row>
    <row r="18" spans="1:25" x14ac:dyDescent="0.3">
      <c r="A18" s="3">
        <v>150000</v>
      </c>
      <c r="B18">
        <v>0</v>
      </c>
      <c r="C18">
        <v>0</v>
      </c>
      <c r="D18">
        <v>3</v>
      </c>
      <c r="E18">
        <v>1</v>
      </c>
      <c r="F18">
        <v>0</v>
      </c>
      <c r="G18">
        <v>0</v>
      </c>
      <c r="H18">
        <v>0</v>
      </c>
      <c r="I18">
        <v>0</v>
      </c>
      <c r="J18">
        <v>0</v>
      </c>
      <c r="K18">
        <v>1</v>
      </c>
      <c r="L18">
        <v>1</v>
      </c>
      <c r="M18">
        <v>1</v>
      </c>
      <c r="N18">
        <v>1</v>
      </c>
      <c r="O18">
        <v>1</v>
      </c>
      <c r="P18" s="3">
        <v>20000</v>
      </c>
      <c r="Q18">
        <v>0</v>
      </c>
      <c r="R18">
        <v>1</v>
      </c>
      <c r="S18">
        <v>1</v>
      </c>
      <c r="T18">
        <v>1</v>
      </c>
      <c r="U18">
        <v>0</v>
      </c>
      <c r="V18">
        <v>79000</v>
      </c>
      <c r="W18" s="3">
        <v>0</v>
      </c>
      <c r="X18">
        <v>1</v>
      </c>
      <c r="Y18">
        <v>20000</v>
      </c>
    </row>
    <row r="19" spans="1:25" x14ac:dyDescent="0.3">
      <c r="A19" s="3">
        <v>0</v>
      </c>
      <c r="B19">
        <v>1</v>
      </c>
      <c r="C19">
        <v>0</v>
      </c>
      <c r="D19">
        <v>2</v>
      </c>
      <c r="E19">
        <v>0</v>
      </c>
      <c r="F19">
        <v>0</v>
      </c>
      <c r="G19">
        <v>0</v>
      </c>
      <c r="H19">
        <v>0</v>
      </c>
      <c r="I19">
        <v>0</v>
      </c>
      <c r="J19">
        <v>0</v>
      </c>
      <c r="K19">
        <v>1</v>
      </c>
      <c r="L19">
        <v>0</v>
      </c>
      <c r="M19">
        <v>0</v>
      </c>
      <c r="N19">
        <v>0</v>
      </c>
      <c r="O19">
        <v>0</v>
      </c>
      <c r="P19">
        <v>40000</v>
      </c>
      <c r="Q19">
        <v>0</v>
      </c>
      <c r="R19">
        <v>1</v>
      </c>
      <c r="S19">
        <v>1</v>
      </c>
      <c r="T19">
        <v>1</v>
      </c>
      <c r="U19">
        <v>0</v>
      </c>
      <c r="V19">
        <v>107000</v>
      </c>
      <c r="W19" s="3">
        <v>50000</v>
      </c>
      <c r="X19">
        <v>1</v>
      </c>
      <c r="Y19">
        <v>40000</v>
      </c>
    </row>
    <row r="20" spans="1:25" x14ac:dyDescent="0.3">
      <c r="A20" s="3">
        <v>0</v>
      </c>
      <c r="B20">
        <v>1</v>
      </c>
      <c r="C20">
        <v>0</v>
      </c>
      <c r="D20">
        <v>2</v>
      </c>
      <c r="E20">
        <v>0</v>
      </c>
      <c r="F20">
        <v>0</v>
      </c>
      <c r="G20">
        <v>0</v>
      </c>
      <c r="H20">
        <v>0</v>
      </c>
      <c r="I20">
        <v>0</v>
      </c>
      <c r="J20">
        <v>0</v>
      </c>
      <c r="K20">
        <v>0</v>
      </c>
      <c r="L20">
        <v>0</v>
      </c>
      <c r="M20">
        <v>0</v>
      </c>
      <c r="N20">
        <v>0</v>
      </c>
      <c r="O20">
        <v>0</v>
      </c>
      <c r="P20">
        <v>40000</v>
      </c>
      <c r="Q20">
        <v>0</v>
      </c>
      <c r="R20">
        <v>1</v>
      </c>
      <c r="S20">
        <v>1</v>
      </c>
      <c r="T20">
        <v>1</v>
      </c>
      <c r="U20">
        <v>0</v>
      </c>
      <c r="V20">
        <v>267090</v>
      </c>
      <c r="W20" s="3">
        <v>60000</v>
      </c>
      <c r="X20">
        <v>1</v>
      </c>
      <c r="Y20">
        <v>40000</v>
      </c>
    </row>
    <row r="21" spans="1:25" x14ac:dyDescent="0.3">
      <c r="A21" s="3">
        <v>30000</v>
      </c>
      <c r="B21">
        <v>1</v>
      </c>
      <c r="C21">
        <v>0</v>
      </c>
      <c r="D21">
        <v>40</v>
      </c>
      <c r="E21">
        <v>1</v>
      </c>
      <c r="F21">
        <v>0</v>
      </c>
      <c r="G21">
        <v>0</v>
      </c>
      <c r="H21">
        <v>0</v>
      </c>
      <c r="I21">
        <v>1</v>
      </c>
      <c r="J21">
        <v>1</v>
      </c>
      <c r="K21">
        <v>1</v>
      </c>
      <c r="L21">
        <v>1</v>
      </c>
      <c r="M21">
        <v>1</v>
      </c>
      <c r="N21">
        <v>1</v>
      </c>
      <c r="O21">
        <v>1</v>
      </c>
      <c r="P21">
        <v>0</v>
      </c>
      <c r="Q21">
        <v>0</v>
      </c>
      <c r="R21">
        <v>0</v>
      </c>
      <c r="S21">
        <v>0</v>
      </c>
      <c r="T21">
        <v>1</v>
      </c>
      <c r="U21">
        <v>1</v>
      </c>
      <c r="V21">
        <v>0</v>
      </c>
      <c r="W21" s="3">
        <v>45000</v>
      </c>
      <c r="X21">
        <v>1</v>
      </c>
      <c r="Y21">
        <v>0</v>
      </c>
    </row>
    <row r="22" spans="1:25" x14ac:dyDescent="0.3">
      <c r="A22" s="3">
        <v>30000</v>
      </c>
      <c r="B22">
        <v>1</v>
      </c>
      <c r="C22">
        <v>1</v>
      </c>
      <c r="D22">
        <v>8</v>
      </c>
      <c r="E22">
        <v>1</v>
      </c>
      <c r="F22">
        <v>0</v>
      </c>
      <c r="G22">
        <v>0</v>
      </c>
      <c r="H22">
        <v>0</v>
      </c>
      <c r="I22">
        <v>0</v>
      </c>
      <c r="J22">
        <v>1</v>
      </c>
      <c r="K22">
        <v>0</v>
      </c>
      <c r="L22">
        <v>0</v>
      </c>
      <c r="M22">
        <v>1</v>
      </c>
      <c r="N22">
        <v>1</v>
      </c>
      <c r="O22">
        <v>1</v>
      </c>
      <c r="P22">
        <v>30000</v>
      </c>
      <c r="Q22">
        <v>20000</v>
      </c>
      <c r="R22">
        <v>1</v>
      </c>
      <c r="S22">
        <v>1</v>
      </c>
      <c r="T22">
        <v>1</v>
      </c>
      <c r="U22">
        <v>0</v>
      </c>
      <c r="V22">
        <v>0</v>
      </c>
      <c r="W22" s="3">
        <v>21739.130430000001</v>
      </c>
      <c r="X22">
        <v>1</v>
      </c>
      <c r="Y22">
        <v>30000</v>
      </c>
    </row>
    <row r="23" spans="1:25" x14ac:dyDescent="0.3">
      <c r="A23" s="3">
        <v>60000</v>
      </c>
      <c r="B23">
        <v>1</v>
      </c>
      <c r="C23">
        <v>0</v>
      </c>
      <c r="D23">
        <v>2</v>
      </c>
      <c r="E23">
        <v>1</v>
      </c>
      <c r="F23">
        <v>1</v>
      </c>
      <c r="G23">
        <v>0</v>
      </c>
      <c r="H23">
        <v>0</v>
      </c>
      <c r="I23">
        <v>0</v>
      </c>
      <c r="J23">
        <v>0</v>
      </c>
      <c r="K23">
        <v>0</v>
      </c>
      <c r="L23">
        <v>1</v>
      </c>
      <c r="M23">
        <v>0</v>
      </c>
      <c r="N23">
        <v>0</v>
      </c>
      <c r="O23">
        <v>0</v>
      </c>
      <c r="P23">
        <v>40000</v>
      </c>
      <c r="Q23">
        <v>0</v>
      </c>
      <c r="R23">
        <v>1</v>
      </c>
      <c r="S23">
        <v>1</v>
      </c>
      <c r="T23">
        <v>1</v>
      </c>
      <c r="U23">
        <v>0</v>
      </c>
      <c r="V23">
        <v>95090</v>
      </c>
      <c r="W23" s="3">
        <v>-7692.3076920000003</v>
      </c>
      <c r="X23">
        <v>1</v>
      </c>
    </row>
    <row r="24" spans="1:25" x14ac:dyDescent="0.3">
      <c r="A24" s="3">
        <v>100000</v>
      </c>
      <c r="B24">
        <v>1</v>
      </c>
      <c r="C24">
        <v>1</v>
      </c>
      <c r="D24">
        <v>0</v>
      </c>
      <c r="E24">
        <v>1</v>
      </c>
      <c r="F24">
        <v>0</v>
      </c>
      <c r="G24">
        <v>0</v>
      </c>
      <c r="H24">
        <v>0</v>
      </c>
      <c r="I24">
        <v>1</v>
      </c>
      <c r="J24">
        <v>1</v>
      </c>
      <c r="K24">
        <v>1</v>
      </c>
      <c r="L24">
        <v>0</v>
      </c>
      <c r="M24">
        <v>0</v>
      </c>
      <c r="N24">
        <v>1</v>
      </c>
      <c r="O24">
        <v>1</v>
      </c>
      <c r="P24">
        <v>38000</v>
      </c>
      <c r="Q24">
        <v>20000</v>
      </c>
      <c r="R24">
        <v>1</v>
      </c>
      <c r="S24">
        <v>1</v>
      </c>
      <c r="T24">
        <v>1</v>
      </c>
      <c r="U24">
        <v>1</v>
      </c>
      <c r="V24">
        <v>0</v>
      </c>
      <c r="W24" s="3">
        <v>13432.83582</v>
      </c>
      <c r="X24">
        <v>1</v>
      </c>
      <c r="Y24">
        <v>38000</v>
      </c>
    </row>
    <row r="25" spans="1:25" x14ac:dyDescent="0.3">
      <c r="A25" s="3">
        <v>200000</v>
      </c>
      <c r="B25">
        <v>1</v>
      </c>
      <c r="C25">
        <v>0</v>
      </c>
      <c r="D25">
        <v>20</v>
      </c>
      <c r="E25">
        <v>0</v>
      </c>
      <c r="F25">
        <v>0</v>
      </c>
      <c r="G25">
        <v>0</v>
      </c>
      <c r="H25">
        <v>0</v>
      </c>
      <c r="I25">
        <v>0</v>
      </c>
      <c r="J25">
        <v>0</v>
      </c>
      <c r="K25">
        <v>0</v>
      </c>
      <c r="L25">
        <v>0</v>
      </c>
      <c r="M25">
        <v>0</v>
      </c>
      <c r="N25">
        <v>1</v>
      </c>
      <c r="O25">
        <v>1</v>
      </c>
      <c r="P25">
        <v>80000</v>
      </c>
      <c r="Q25">
        <v>0</v>
      </c>
      <c r="R25">
        <v>0</v>
      </c>
      <c r="S25">
        <v>0</v>
      </c>
      <c r="T25">
        <v>0</v>
      </c>
      <c r="U25">
        <v>0</v>
      </c>
      <c r="V25">
        <v>41000</v>
      </c>
      <c r="W25" s="3">
        <v>40000</v>
      </c>
      <c r="X25">
        <v>1</v>
      </c>
    </row>
    <row r="26" spans="1:25" x14ac:dyDescent="0.3">
      <c r="A26" s="3">
        <v>0</v>
      </c>
      <c r="B26">
        <v>1</v>
      </c>
      <c r="C26">
        <v>0</v>
      </c>
      <c r="D26">
        <v>20</v>
      </c>
      <c r="E26">
        <v>1</v>
      </c>
      <c r="F26">
        <v>0</v>
      </c>
      <c r="G26">
        <v>0</v>
      </c>
      <c r="H26">
        <v>0</v>
      </c>
      <c r="I26">
        <v>0</v>
      </c>
      <c r="J26">
        <v>0</v>
      </c>
      <c r="K26">
        <v>0</v>
      </c>
      <c r="L26">
        <v>1</v>
      </c>
      <c r="M26">
        <v>0</v>
      </c>
      <c r="N26">
        <v>1</v>
      </c>
      <c r="O26">
        <v>0</v>
      </c>
      <c r="P26">
        <v>65000</v>
      </c>
      <c r="Q26">
        <v>0</v>
      </c>
      <c r="R26">
        <v>1</v>
      </c>
      <c r="S26">
        <v>1</v>
      </c>
      <c r="T26">
        <v>1</v>
      </c>
      <c r="U26">
        <v>1</v>
      </c>
      <c r="V26">
        <v>81500</v>
      </c>
      <c r="W26" s="3">
        <v>33333.333330000001</v>
      </c>
      <c r="X26">
        <v>0</v>
      </c>
      <c r="Y26">
        <v>65000</v>
      </c>
    </row>
    <row r="27" spans="1:25" x14ac:dyDescent="0.3">
      <c r="A27" s="3">
        <v>0</v>
      </c>
      <c r="B27">
        <v>1</v>
      </c>
      <c r="C27">
        <v>0</v>
      </c>
      <c r="D27">
        <v>10</v>
      </c>
      <c r="E27">
        <v>0</v>
      </c>
      <c r="F27">
        <v>0</v>
      </c>
      <c r="G27">
        <v>0</v>
      </c>
      <c r="H27">
        <v>0</v>
      </c>
      <c r="I27">
        <v>0</v>
      </c>
      <c r="J27">
        <v>0</v>
      </c>
      <c r="K27">
        <v>0</v>
      </c>
      <c r="L27">
        <v>1</v>
      </c>
      <c r="M27">
        <v>1</v>
      </c>
      <c r="N27">
        <v>1</v>
      </c>
      <c r="O27">
        <v>0</v>
      </c>
      <c r="P27">
        <v>50000</v>
      </c>
      <c r="Q27">
        <v>0</v>
      </c>
      <c r="R27">
        <v>1</v>
      </c>
      <c r="S27">
        <v>1</v>
      </c>
      <c r="T27">
        <v>0</v>
      </c>
      <c r="U27">
        <v>0</v>
      </c>
      <c r="V27">
        <v>63000</v>
      </c>
      <c r="W27" s="3">
        <v>33333.333330000001</v>
      </c>
      <c r="X27">
        <v>0</v>
      </c>
      <c r="Y27">
        <v>50000</v>
      </c>
    </row>
    <row r="28" spans="1:25" x14ac:dyDescent="0.3">
      <c r="A28" s="3">
        <v>0</v>
      </c>
      <c r="B28">
        <v>1</v>
      </c>
      <c r="C28">
        <v>0</v>
      </c>
      <c r="D28">
        <v>16</v>
      </c>
      <c r="E28">
        <v>1</v>
      </c>
      <c r="F28">
        <v>0</v>
      </c>
      <c r="G28">
        <v>1</v>
      </c>
      <c r="H28">
        <v>0</v>
      </c>
      <c r="I28">
        <v>1</v>
      </c>
      <c r="J28">
        <v>0</v>
      </c>
      <c r="K28">
        <v>0</v>
      </c>
      <c r="L28">
        <v>0</v>
      </c>
      <c r="M28">
        <v>0</v>
      </c>
      <c r="N28">
        <v>0</v>
      </c>
      <c r="O28">
        <v>0</v>
      </c>
      <c r="P28">
        <v>60000</v>
      </c>
      <c r="Q28">
        <v>500</v>
      </c>
      <c r="R28">
        <v>1</v>
      </c>
      <c r="S28">
        <v>1</v>
      </c>
      <c r="T28">
        <v>1</v>
      </c>
      <c r="U28">
        <v>1</v>
      </c>
      <c r="V28">
        <v>151200</v>
      </c>
      <c r="W28" s="3">
        <v>48000</v>
      </c>
      <c r="X28">
        <v>0</v>
      </c>
      <c r="Y28">
        <v>60000</v>
      </c>
    </row>
    <row r="29" spans="1:25" x14ac:dyDescent="0.3">
      <c r="A29" s="3">
        <v>0</v>
      </c>
      <c r="B29">
        <v>1</v>
      </c>
      <c r="C29">
        <v>0</v>
      </c>
      <c r="D29">
        <v>20</v>
      </c>
      <c r="E29">
        <v>1</v>
      </c>
      <c r="F29">
        <v>0</v>
      </c>
      <c r="G29">
        <v>0</v>
      </c>
      <c r="H29">
        <v>0</v>
      </c>
      <c r="I29">
        <v>1</v>
      </c>
      <c r="J29">
        <v>0</v>
      </c>
      <c r="K29">
        <v>0</v>
      </c>
      <c r="L29">
        <v>0</v>
      </c>
      <c r="M29">
        <v>0</v>
      </c>
      <c r="N29">
        <v>0</v>
      </c>
      <c r="O29">
        <v>1</v>
      </c>
      <c r="P29">
        <v>35000</v>
      </c>
      <c r="Q29">
        <v>500</v>
      </c>
      <c r="R29">
        <v>1</v>
      </c>
      <c r="S29">
        <v>1</v>
      </c>
      <c r="T29">
        <v>1</v>
      </c>
      <c r="U29">
        <v>0</v>
      </c>
      <c r="V29">
        <v>35000</v>
      </c>
      <c r="W29" s="3">
        <v>0</v>
      </c>
      <c r="X29">
        <v>0</v>
      </c>
      <c r="Y29">
        <v>35000</v>
      </c>
    </row>
    <row r="30" spans="1:25" x14ac:dyDescent="0.3">
      <c r="A30" s="3">
        <v>60000</v>
      </c>
      <c r="B30">
        <v>1</v>
      </c>
      <c r="C30">
        <v>1</v>
      </c>
      <c r="D30">
        <v>5</v>
      </c>
      <c r="E30">
        <v>1</v>
      </c>
      <c r="F30">
        <v>0</v>
      </c>
      <c r="G30">
        <v>0</v>
      </c>
      <c r="H30">
        <v>0</v>
      </c>
      <c r="I30">
        <v>0</v>
      </c>
      <c r="J30">
        <v>1</v>
      </c>
      <c r="K30">
        <v>1</v>
      </c>
      <c r="L30">
        <v>0</v>
      </c>
      <c r="M30">
        <v>1</v>
      </c>
      <c r="N30">
        <v>1</v>
      </c>
      <c r="O30">
        <v>1</v>
      </c>
      <c r="P30">
        <v>50000</v>
      </c>
      <c r="Q30">
        <v>20000</v>
      </c>
      <c r="R30">
        <v>1</v>
      </c>
      <c r="S30">
        <v>1</v>
      </c>
      <c r="T30">
        <v>1</v>
      </c>
      <c r="U30">
        <v>0</v>
      </c>
      <c r="V30">
        <v>10200</v>
      </c>
      <c r="W30" s="3">
        <v>21774.19355</v>
      </c>
      <c r="X30">
        <v>1</v>
      </c>
      <c r="Y30">
        <v>50000</v>
      </c>
    </row>
    <row r="31" spans="1:25" x14ac:dyDescent="0.3">
      <c r="A31" s="3">
        <v>30000</v>
      </c>
      <c r="B31">
        <v>1</v>
      </c>
      <c r="C31">
        <v>1</v>
      </c>
      <c r="D31">
        <v>5</v>
      </c>
      <c r="E31">
        <v>1</v>
      </c>
      <c r="F31">
        <v>0</v>
      </c>
      <c r="G31">
        <v>0</v>
      </c>
      <c r="H31">
        <v>0</v>
      </c>
      <c r="I31">
        <v>0</v>
      </c>
      <c r="J31">
        <v>0</v>
      </c>
      <c r="K31">
        <v>1</v>
      </c>
      <c r="L31">
        <v>0</v>
      </c>
      <c r="M31">
        <v>1</v>
      </c>
      <c r="N31">
        <v>1</v>
      </c>
      <c r="O31">
        <v>1</v>
      </c>
      <c r="P31">
        <v>60000</v>
      </c>
      <c r="Q31">
        <v>0</v>
      </c>
      <c r="R31">
        <v>1</v>
      </c>
      <c r="S31">
        <v>1</v>
      </c>
      <c r="T31">
        <v>1</v>
      </c>
      <c r="U31">
        <v>0</v>
      </c>
      <c r="V31">
        <v>10200</v>
      </c>
      <c r="W31" s="3">
        <v>30000</v>
      </c>
      <c r="X31">
        <v>1</v>
      </c>
      <c r="Y31">
        <v>60000</v>
      </c>
    </row>
    <row r="32" spans="1:25" x14ac:dyDescent="0.3">
      <c r="A32" s="3">
        <v>80000</v>
      </c>
      <c r="B32">
        <v>1</v>
      </c>
      <c r="C32">
        <v>1</v>
      </c>
      <c r="D32">
        <v>4</v>
      </c>
      <c r="E32">
        <v>1</v>
      </c>
      <c r="F32">
        <v>0</v>
      </c>
      <c r="G32">
        <v>0</v>
      </c>
      <c r="H32">
        <v>0</v>
      </c>
      <c r="I32">
        <v>0</v>
      </c>
      <c r="J32">
        <v>0</v>
      </c>
      <c r="K32">
        <v>1</v>
      </c>
      <c r="L32">
        <v>1</v>
      </c>
      <c r="M32">
        <v>1</v>
      </c>
      <c r="N32">
        <v>1</v>
      </c>
      <c r="O32">
        <v>1</v>
      </c>
      <c r="P32">
        <v>30000</v>
      </c>
      <c r="Q32">
        <v>20000</v>
      </c>
      <c r="R32">
        <v>1</v>
      </c>
      <c r="S32">
        <v>1</v>
      </c>
      <c r="T32">
        <v>1</v>
      </c>
      <c r="U32">
        <v>0</v>
      </c>
      <c r="V32">
        <v>85200</v>
      </c>
      <c r="W32" s="3">
        <v>15000</v>
      </c>
      <c r="X32">
        <v>1</v>
      </c>
      <c r="Y32">
        <v>30000</v>
      </c>
    </row>
    <row r="33" spans="1:25" x14ac:dyDescent="0.3">
      <c r="A33" s="3">
        <v>40000</v>
      </c>
      <c r="B33">
        <v>1</v>
      </c>
      <c r="C33">
        <v>1</v>
      </c>
      <c r="D33">
        <v>7</v>
      </c>
      <c r="E33">
        <v>1</v>
      </c>
      <c r="F33">
        <v>0</v>
      </c>
      <c r="G33">
        <v>0</v>
      </c>
      <c r="H33">
        <v>0</v>
      </c>
      <c r="I33">
        <v>0</v>
      </c>
      <c r="J33">
        <v>1</v>
      </c>
      <c r="K33">
        <v>0</v>
      </c>
      <c r="L33">
        <v>1</v>
      </c>
      <c r="M33">
        <v>0</v>
      </c>
      <c r="N33">
        <v>1</v>
      </c>
      <c r="O33">
        <v>1</v>
      </c>
      <c r="P33">
        <v>35000</v>
      </c>
      <c r="Q33">
        <v>20000</v>
      </c>
      <c r="R33">
        <v>1</v>
      </c>
      <c r="S33">
        <v>1</v>
      </c>
      <c r="T33">
        <v>1</v>
      </c>
      <c r="U33">
        <v>0</v>
      </c>
      <c r="V33">
        <v>10350</v>
      </c>
      <c r="W33" s="3">
        <v>22448.979589999999</v>
      </c>
      <c r="X33">
        <v>1</v>
      </c>
      <c r="Y33">
        <v>35000</v>
      </c>
    </row>
    <row r="34" spans="1:25" x14ac:dyDescent="0.3">
      <c r="A34" s="3">
        <v>0</v>
      </c>
      <c r="B34">
        <v>1</v>
      </c>
      <c r="C34">
        <v>0</v>
      </c>
      <c r="D34">
        <v>21</v>
      </c>
      <c r="E34">
        <v>1</v>
      </c>
      <c r="F34">
        <v>0</v>
      </c>
      <c r="G34">
        <v>0</v>
      </c>
      <c r="H34">
        <v>0</v>
      </c>
      <c r="I34">
        <v>1</v>
      </c>
      <c r="J34">
        <v>0</v>
      </c>
      <c r="K34">
        <v>0</v>
      </c>
      <c r="L34">
        <v>0</v>
      </c>
      <c r="M34">
        <v>0</v>
      </c>
      <c r="N34">
        <v>0</v>
      </c>
      <c r="O34">
        <v>1</v>
      </c>
      <c r="P34">
        <v>40000</v>
      </c>
      <c r="Q34">
        <v>500</v>
      </c>
      <c r="R34">
        <v>0</v>
      </c>
      <c r="S34">
        <v>0</v>
      </c>
      <c r="T34">
        <v>0</v>
      </c>
      <c r="U34">
        <v>0</v>
      </c>
      <c r="V34">
        <v>50000</v>
      </c>
      <c r="W34" s="3">
        <v>25000</v>
      </c>
      <c r="X34">
        <v>0</v>
      </c>
      <c r="Y34">
        <v>40000</v>
      </c>
    </row>
    <row r="35" spans="1:25" x14ac:dyDescent="0.3">
      <c r="A35" s="3">
        <v>0</v>
      </c>
      <c r="B35">
        <v>1</v>
      </c>
      <c r="C35">
        <v>0</v>
      </c>
      <c r="D35">
        <v>15</v>
      </c>
      <c r="E35">
        <v>1</v>
      </c>
      <c r="F35">
        <v>0</v>
      </c>
      <c r="G35">
        <v>0</v>
      </c>
      <c r="H35">
        <v>0</v>
      </c>
      <c r="I35">
        <v>1</v>
      </c>
      <c r="J35">
        <v>0</v>
      </c>
      <c r="K35">
        <v>0</v>
      </c>
      <c r="L35">
        <v>0</v>
      </c>
      <c r="M35">
        <v>0</v>
      </c>
      <c r="N35">
        <v>0</v>
      </c>
      <c r="O35">
        <v>1</v>
      </c>
      <c r="P35">
        <v>40000</v>
      </c>
      <c r="Q35">
        <v>500</v>
      </c>
      <c r="R35">
        <v>1</v>
      </c>
      <c r="S35">
        <v>1</v>
      </c>
      <c r="T35">
        <v>1</v>
      </c>
      <c r="U35">
        <v>1</v>
      </c>
      <c r="V35">
        <v>148000</v>
      </c>
      <c r="W35" s="3">
        <v>25000</v>
      </c>
      <c r="X35">
        <v>0</v>
      </c>
      <c r="Y35">
        <v>40000</v>
      </c>
    </row>
    <row r="36" spans="1:25" x14ac:dyDescent="0.3">
      <c r="A36" s="3">
        <v>150000</v>
      </c>
      <c r="B36">
        <v>1</v>
      </c>
      <c r="C36">
        <v>0</v>
      </c>
      <c r="D36">
        <v>7</v>
      </c>
      <c r="E36">
        <v>1</v>
      </c>
      <c r="F36">
        <v>1</v>
      </c>
      <c r="G36">
        <v>0</v>
      </c>
      <c r="H36">
        <v>0</v>
      </c>
      <c r="I36">
        <v>0</v>
      </c>
      <c r="J36">
        <v>0</v>
      </c>
      <c r="K36">
        <v>1</v>
      </c>
      <c r="L36">
        <v>0</v>
      </c>
      <c r="M36">
        <v>0</v>
      </c>
      <c r="N36">
        <v>0</v>
      </c>
      <c r="O36">
        <v>0</v>
      </c>
      <c r="P36">
        <v>35000</v>
      </c>
      <c r="Q36">
        <v>0</v>
      </c>
      <c r="R36">
        <v>1</v>
      </c>
      <c r="S36">
        <v>1</v>
      </c>
      <c r="T36">
        <v>1</v>
      </c>
      <c r="U36">
        <v>0</v>
      </c>
      <c r="V36">
        <v>170180</v>
      </c>
      <c r="W36" s="3">
        <v>50000</v>
      </c>
      <c r="X36">
        <v>1</v>
      </c>
      <c r="Y36">
        <v>35000</v>
      </c>
    </row>
    <row r="37" spans="1:25" x14ac:dyDescent="0.3">
      <c r="A37" s="3">
        <v>100000</v>
      </c>
      <c r="B37">
        <v>1</v>
      </c>
      <c r="C37">
        <v>0</v>
      </c>
      <c r="D37">
        <v>5</v>
      </c>
      <c r="E37">
        <v>1</v>
      </c>
      <c r="F37">
        <v>1</v>
      </c>
      <c r="G37">
        <v>0</v>
      </c>
      <c r="H37">
        <v>0</v>
      </c>
      <c r="I37">
        <v>0</v>
      </c>
      <c r="J37">
        <v>0</v>
      </c>
      <c r="K37">
        <v>0</v>
      </c>
      <c r="L37">
        <v>0</v>
      </c>
      <c r="M37">
        <v>0</v>
      </c>
      <c r="N37">
        <v>1</v>
      </c>
      <c r="O37">
        <v>0</v>
      </c>
      <c r="P37" s="2">
        <v>100000</v>
      </c>
      <c r="Q37">
        <v>0</v>
      </c>
      <c r="R37">
        <v>1</v>
      </c>
      <c r="S37">
        <v>1</v>
      </c>
      <c r="T37">
        <v>1</v>
      </c>
      <c r="U37">
        <v>1</v>
      </c>
      <c r="V37">
        <v>252590</v>
      </c>
      <c r="W37" s="3">
        <v>14285.71429</v>
      </c>
      <c r="X37">
        <v>1</v>
      </c>
      <c r="Y37" s="2">
        <v>100000</v>
      </c>
    </row>
    <row r="38" spans="1:25" x14ac:dyDescent="0.3">
      <c r="A38" s="3">
        <v>50000</v>
      </c>
      <c r="B38">
        <v>1</v>
      </c>
      <c r="C38">
        <v>0</v>
      </c>
      <c r="D38">
        <v>2</v>
      </c>
      <c r="E38">
        <v>0</v>
      </c>
      <c r="F38">
        <v>0</v>
      </c>
      <c r="G38">
        <v>1</v>
      </c>
      <c r="H38">
        <v>0</v>
      </c>
      <c r="I38">
        <v>0</v>
      </c>
      <c r="J38">
        <v>0</v>
      </c>
      <c r="K38">
        <v>0</v>
      </c>
      <c r="L38">
        <v>1</v>
      </c>
      <c r="M38">
        <v>1</v>
      </c>
      <c r="N38">
        <v>1</v>
      </c>
      <c r="O38">
        <v>0</v>
      </c>
      <c r="P38">
        <v>25000</v>
      </c>
      <c r="Q38">
        <v>1200</v>
      </c>
      <c r="R38">
        <v>0</v>
      </c>
      <c r="S38">
        <v>0</v>
      </c>
      <c r="T38">
        <v>0</v>
      </c>
      <c r="U38">
        <v>0</v>
      </c>
      <c r="V38">
        <v>104000</v>
      </c>
      <c r="W38" s="3">
        <v>36250</v>
      </c>
      <c r="X38">
        <v>1</v>
      </c>
      <c r="Y38">
        <v>25000</v>
      </c>
    </row>
    <row r="39" spans="1:25" x14ac:dyDescent="0.3">
      <c r="A39" s="3">
        <v>0</v>
      </c>
      <c r="B39">
        <v>1</v>
      </c>
      <c r="C39">
        <v>0</v>
      </c>
      <c r="D39">
        <v>22</v>
      </c>
      <c r="E39">
        <v>1</v>
      </c>
      <c r="F39">
        <v>0</v>
      </c>
      <c r="G39">
        <v>1</v>
      </c>
      <c r="H39">
        <v>0</v>
      </c>
      <c r="I39">
        <v>1</v>
      </c>
      <c r="J39">
        <v>1</v>
      </c>
      <c r="K39">
        <v>1</v>
      </c>
      <c r="L39">
        <v>1</v>
      </c>
      <c r="M39">
        <v>0</v>
      </c>
      <c r="N39">
        <v>1</v>
      </c>
      <c r="O39">
        <v>1</v>
      </c>
      <c r="P39">
        <v>25000</v>
      </c>
      <c r="Q39">
        <v>0</v>
      </c>
      <c r="R39">
        <v>1</v>
      </c>
      <c r="S39">
        <v>1</v>
      </c>
      <c r="T39">
        <v>1</v>
      </c>
      <c r="U39">
        <v>0</v>
      </c>
      <c r="V39">
        <v>127500</v>
      </c>
      <c r="W39" s="3">
        <v>6000</v>
      </c>
      <c r="X39">
        <v>1</v>
      </c>
      <c r="Y39">
        <v>25000</v>
      </c>
    </row>
    <row r="40" spans="1:25" x14ac:dyDescent="0.3">
      <c r="A40" s="3">
        <v>10000</v>
      </c>
      <c r="B40">
        <v>0</v>
      </c>
      <c r="C40">
        <v>0</v>
      </c>
      <c r="D40">
        <v>10</v>
      </c>
      <c r="E40">
        <v>0</v>
      </c>
      <c r="F40">
        <v>0</v>
      </c>
      <c r="G40">
        <v>0</v>
      </c>
      <c r="H40">
        <v>0</v>
      </c>
      <c r="I40">
        <v>0</v>
      </c>
      <c r="J40">
        <v>0</v>
      </c>
      <c r="K40">
        <v>0</v>
      </c>
      <c r="L40">
        <v>0</v>
      </c>
      <c r="M40">
        <v>0</v>
      </c>
      <c r="N40">
        <v>1</v>
      </c>
      <c r="O40">
        <v>1</v>
      </c>
      <c r="P40" s="3">
        <v>30000</v>
      </c>
      <c r="Q40">
        <v>4000</v>
      </c>
      <c r="R40">
        <v>0</v>
      </c>
      <c r="S40">
        <v>0</v>
      </c>
      <c r="T40">
        <v>0</v>
      </c>
      <c r="U40">
        <v>0</v>
      </c>
      <c r="V40">
        <v>90000</v>
      </c>
      <c r="W40" s="3">
        <v>10000</v>
      </c>
      <c r="X40">
        <v>0</v>
      </c>
      <c r="Y40">
        <v>30000</v>
      </c>
    </row>
    <row r="41" spans="1:25" x14ac:dyDescent="0.3">
      <c r="A41" s="3">
        <v>50000</v>
      </c>
      <c r="B41">
        <v>1</v>
      </c>
      <c r="C41">
        <v>0</v>
      </c>
      <c r="D41">
        <v>2</v>
      </c>
      <c r="E41">
        <v>1</v>
      </c>
      <c r="F41">
        <v>0</v>
      </c>
      <c r="G41">
        <v>0</v>
      </c>
      <c r="H41">
        <v>0</v>
      </c>
      <c r="I41">
        <v>0</v>
      </c>
      <c r="J41">
        <v>1</v>
      </c>
      <c r="K41">
        <v>0</v>
      </c>
      <c r="L41">
        <v>1</v>
      </c>
      <c r="M41">
        <v>0</v>
      </c>
      <c r="N41">
        <v>1</v>
      </c>
      <c r="O41">
        <v>0</v>
      </c>
      <c r="P41">
        <v>20000</v>
      </c>
      <c r="Q41">
        <v>10000</v>
      </c>
      <c r="R41">
        <v>0</v>
      </c>
      <c r="S41">
        <v>0</v>
      </c>
      <c r="T41">
        <v>1</v>
      </c>
      <c r="U41">
        <v>0</v>
      </c>
      <c r="V41">
        <v>106000</v>
      </c>
      <c r="W41" s="3">
        <v>18750</v>
      </c>
      <c r="X41">
        <v>1</v>
      </c>
      <c r="Y41">
        <v>20000</v>
      </c>
    </row>
    <row r="42" spans="1:25" x14ac:dyDescent="0.3">
      <c r="A42" s="3">
        <v>10000</v>
      </c>
      <c r="B42">
        <v>1</v>
      </c>
      <c r="C42">
        <v>0</v>
      </c>
      <c r="D42">
        <v>15</v>
      </c>
      <c r="E42">
        <v>1</v>
      </c>
      <c r="F42">
        <v>0</v>
      </c>
      <c r="G42">
        <v>0</v>
      </c>
      <c r="H42">
        <v>0</v>
      </c>
      <c r="I42">
        <v>0</v>
      </c>
      <c r="J42">
        <v>0</v>
      </c>
      <c r="K42">
        <v>0</v>
      </c>
      <c r="L42">
        <v>0</v>
      </c>
      <c r="M42">
        <v>1</v>
      </c>
      <c r="N42">
        <v>0</v>
      </c>
      <c r="O42">
        <v>1</v>
      </c>
      <c r="P42">
        <v>25000</v>
      </c>
      <c r="Q42">
        <v>0</v>
      </c>
      <c r="R42">
        <v>1</v>
      </c>
      <c r="S42">
        <v>1</v>
      </c>
      <c r="T42">
        <v>1</v>
      </c>
      <c r="U42">
        <v>0</v>
      </c>
      <c r="V42">
        <v>85000</v>
      </c>
      <c r="W42" s="3">
        <v>25000</v>
      </c>
      <c r="X42">
        <v>1</v>
      </c>
      <c r="Y42">
        <v>25000</v>
      </c>
    </row>
    <row r="43" spans="1:25" x14ac:dyDescent="0.3">
      <c r="A43" s="3">
        <v>30</v>
      </c>
      <c r="B43">
        <v>1</v>
      </c>
      <c r="C43">
        <v>0</v>
      </c>
      <c r="D43">
        <v>3</v>
      </c>
      <c r="E43">
        <v>1</v>
      </c>
      <c r="F43">
        <v>1</v>
      </c>
      <c r="G43">
        <v>0</v>
      </c>
      <c r="H43">
        <v>0</v>
      </c>
      <c r="I43">
        <v>0</v>
      </c>
      <c r="J43">
        <v>0</v>
      </c>
      <c r="K43">
        <v>1</v>
      </c>
      <c r="L43">
        <v>1</v>
      </c>
      <c r="M43">
        <v>0</v>
      </c>
      <c r="N43">
        <v>1</v>
      </c>
      <c r="O43">
        <v>1</v>
      </c>
      <c r="P43">
        <v>25000</v>
      </c>
      <c r="Q43">
        <v>0</v>
      </c>
      <c r="R43">
        <v>0</v>
      </c>
      <c r="S43">
        <v>1</v>
      </c>
      <c r="T43">
        <v>1</v>
      </c>
      <c r="U43">
        <v>1</v>
      </c>
      <c r="V43">
        <v>127000</v>
      </c>
      <c r="W43" s="3">
        <v>-5833.3333329999996</v>
      </c>
      <c r="X43">
        <v>0</v>
      </c>
      <c r="Y43">
        <v>25000</v>
      </c>
    </row>
    <row r="44" spans="1:25" x14ac:dyDescent="0.3">
      <c r="A44" s="3">
        <v>30000</v>
      </c>
      <c r="B44">
        <v>1</v>
      </c>
      <c r="C44">
        <v>0</v>
      </c>
      <c r="D44">
        <v>3</v>
      </c>
      <c r="E44">
        <v>1</v>
      </c>
      <c r="F44">
        <v>0</v>
      </c>
      <c r="G44">
        <v>0</v>
      </c>
      <c r="H44">
        <v>0</v>
      </c>
      <c r="I44">
        <v>0</v>
      </c>
      <c r="J44">
        <v>0</v>
      </c>
      <c r="K44">
        <v>0</v>
      </c>
      <c r="L44">
        <v>1</v>
      </c>
      <c r="M44">
        <v>0</v>
      </c>
      <c r="N44">
        <v>0</v>
      </c>
      <c r="O44">
        <v>0</v>
      </c>
      <c r="P44">
        <v>30000</v>
      </c>
      <c r="Q44">
        <v>1200</v>
      </c>
      <c r="R44">
        <v>1</v>
      </c>
      <c r="S44">
        <v>1</v>
      </c>
      <c r="T44">
        <v>1</v>
      </c>
      <c r="U44">
        <v>1</v>
      </c>
      <c r="V44">
        <v>10200</v>
      </c>
      <c r="W44" s="3">
        <v>26666.666669999999</v>
      </c>
      <c r="X44">
        <v>1</v>
      </c>
      <c r="Y44">
        <v>30000</v>
      </c>
    </row>
    <row r="45" spans="1:25" x14ac:dyDescent="0.3">
      <c r="A45" s="3">
        <v>50000</v>
      </c>
      <c r="B45">
        <v>1</v>
      </c>
      <c r="C45">
        <v>0</v>
      </c>
      <c r="D45">
        <v>7</v>
      </c>
      <c r="E45">
        <v>1</v>
      </c>
      <c r="F45">
        <v>0</v>
      </c>
      <c r="G45">
        <v>0</v>
      </c>
      <c r="H45">
        <v>0</v>
      </c>
      <c r="I45">
        <v>0</v>
      </c>
      <c r="J45">
        <v>1</v>
      </c>
      <c r="K45">
        <v>1</v>
      </c>
      <c r="L45">
        <v>1</v>
      </c>
      <c r="M45">
        <v>0</v>
      </c>
      <c r="N45">
        <v>1</v>
      </c>
      <c r="O45">
        <v>0</v>
      </c>
      <c r="P45">
        <v>0</v>
      </c>
      <c r="Q45">
        <v>15000</v>
      </c>
      <c r="R45">
        <v>1</v>
      </c>
      <c r="S45">
        <v>1</v>
      </c>
      <c r="T45">
        <v>1</v>
      </c>
      <c r="U45">
        <v>1</v>
      </c>
      <c r="V45">
        <v>60200</v>
      </c>
      <c r="W45" s="3">
        <v>33333.333330000001</v>
      </c>
      <c r="X45">
        <v>1</v>
      </c>
      <c r="Y45">
        <v>0</v>
      </c>
    </row>
    <row r="46" spans="1:25" x14ac:dyDescent="0.3">
      <c r="A46" s="3">
        <v>70000</v>
      </c>
      <c r="B46">
        <v>1</v>
      </c>
      <c r="C46">
        <v>0</v>
      </c>
      <c r="D46">
        <v>8</v>
      </c>
      <c r="E46">
        <v>1</v>
      </c>
      <c r="F46">
        <v>0</v>
      </c>
      <c r="G46">
        <v>0</v>
      </c>
      <c r="H46">
        <v>0</v>
      </c>
      <c r="I46">
        <v>0</v>
      </c>
      <c r="J46">
        <v>0</v>
      </c>
      <c r="K46">
        <v>1</v>
      </c>
      <c r="L46">
        <v>1</v>
      </c>
      <c r="M46">
        <v>0</v>
      </c>
      <c r="N46">
        <v>1</v>
      </c>
      <c r="O46">
        <v>1</v>
      </c>
      <c r="P46">
        <v>0</v>
      </c>
      <c r="Q46">
        <v>1500</v>
      </c>
      <c r="R46">
        <v>1</v>
      </c>
      <c r="S46">
        <v>1</v>
      </c>
      <c r="T46">
        <v>1</v>
      </c>
      <c r="U46">
        <v>1</v>
      </c>
      <c r="V46">
        <v>10200</v>
      </c>
      <c r="W46" s="3">
        <v>15066.666670000001</v>
      </c>
      <c r="X46">
        <v>1</v>
      </c>
      <c r="Y46">
        <v>0</v>
      </c>
    </row>
    <row r="47" spans="1:25" x14ac:dyDescent="0.3">
      <c r="A47" s="3">
        <v>50000</v>
      </c>
      <c r="B47">
        <v>1</v>
      </c>
      <c r="C47">
        <v>1</v>
      </c>
      <c r="D47">
        <v>6</v>
      </c>
      <c r="E47">
        <v>0</v>
      </c>
      <c r="F47">
        <v>0</v>
      </c>
      <c r="G47">
        <v>0</v>
      </c>
      <c r="H47">
        <v>0</v>
      </c>
      <c r="I47">
        <v>1</v>
      </c>
      <c r="J47">
        <v>0</v>
      </c>
      <c r="K47">
        <v>1</v>
      </c>
      <c r="L47">
        <v>1</v>
      </c>
      <c r="M47">
        <v>1</v>
      </c>
      <c r="N47">
        <v>1</v>
      </c>
      <c r="O47">
        <v>0</v>
      </c>
      <c r="P47">
        <v>50000</v>
      </c>
      <c r="Q47">
        <v>10000</v>
      </c>
      <c r="R47">
        <v>1</v>
      </c>
      <c r="S47">
        <v>1</v>
      </c>
      <c r="T47">
        <v>1</v>
      </c>
      <c r="U47">
        <v>1</v>
      </c>
      <c r="V47">
        <v>10200</v>
      </c>
      <c r="W47" s="3">
        <v>18181.818179999998</v>
      </c>
      <c r="X47">
        <v>1</v>
      </c>
      <c r="Y47">
        <v>50000</v>
      </c>
    </row>
    <row r="48" spans="1:25" x14ac:dyDescent="0.3">
      <c r="A48" s="3">
        <v>30000</v>
      </c>
      <c r="B48">
        <v>1</v>
      </c>
      <c r="C48">
        <v>0</v>
      </c>
      <c r="D48">
        <v>8</v>
      </c>
      <c r="E48">
        <v>1</v>
      </c>
      <c r="F48">
        <v>0</v>
      </c>
      <c r="G48">
        <v>0</v>
      </c>
      <c r="H48">
        <v>0</v>
      </c>
      <c r="I48">
        <v>0</v>
      </c>
      <c r="J48">
        <v>1</v>
      </c>
      <c r="K48">
        <v>0</v>
      </c>
      <c r="L48">
        <v>1</v>
      </c>
      <c r="M48">
        <v>0</v>
      </c>
      <c r="N48">
        <v>1</v>
      </c>
      <c r="O48">
        <v>0</v>
      </c>
      <c r="P48">
        <v>12000</v>
      </c>
      <c r="Q48">
        <v>1100</v>
      </c>
      <c r="R48">
        <v>1</v>
      </c>
      <c r="S48">
        <v>1</v>
      </c>
      <c r="T48">
        <v>1</v>
      </c>
      <c r="U48">
        <v>1</v>
      </c>
      <c r="V48">
        <v>0</v>
      </c>
      <c r="W48" s="3">
        <v>20000</v>
      </c>
      <c r="X48">
        <v>1</v>
      </c>
      <c r="Y48">
        <v>12000</v>
      </c>
    </row>
    <row r="49" spans="1:25" x14ac:dyDescent="0.3">
      <c r="A49" s="3">
        <v>50000</v>
      </c>
      <c r="B49">
        <v>1</v>
      </c>
      <c r="C49">
        <v>1</v>
      </c>
      <c r="D49">
        <v>10</v>
      </c>
      <c r="E49">
        <v>1</v>
      </c>
      <c r="F49">
        <v>0</v>
      </c>
      <c r="G49">
        <v>0</v>
      </c>
      <c r="H49">
        <v>0</v>
      </c>
      <c r="I49">
        <v>1</v>
      </c>
      <c r="J49">
        <v>0</v>
      </c>
      <c r="K49">
        <v>0</v>
      </c>
      <c r="L49">
        <v>1</v>
      </c>
      <c r="M49">
        <v>1</v>
      </c>
      <c r="N49">
        <v>1</v>
      </c>
      <c r="O49">
        <v>1</v>
      </c>
      <c r="P49">
        <v>60000</v>
      </c>
      <c r="Q49">
        <v>20000</v>
      </c>
      <c r="R49">
        <v>1</v>
      </c>
      <c r="S49">
        <v>1</v>
      </c>
      <c r="T49">
        <v>1</v>
      </c>
      <c r="U49">
        <v>0</v>
      </c>
      <c r="V49">
        <v>10200</v>
      </c>
      <c r="W49" s="3">
        <v>25000</v>
      </c>
      <c r="X49">
        <v>1</v>
      </c>
      <c r="Y49">
        <v>60000</v>
      </c>
    </row>
    <row r="50" spans="1:25" x14ac:dyDescent="0.3">
      <c r="A50" s="3">
        <v>80000</v>
      </c>
      <c r="B50">
        <v>1</v>
      </c>
      <c r="C50">
        <v>1</v>
      </c>
      <c r="D50">
        <v>8</v>
      </c>
      <c r="E50">
        <v>1</v>
      </c>
      <c r="F50">
        <v>0</v>
      </c>
      <c r="G50">
        <v>0</v>
      </c>
      <c r="H50">
        <v>0</v>
      </c>
      <c r="I50">
        <v>0</v>
      </c>
      <c r="J50">
        <v>0</v>
      </c>
      <c r="K50">
        <v>1</v>
      </c>
      <c r="L50">
        <v>0</v>
      </c>
      <c r="M50">
        <v>0</v>
      </c>
      <c r="N50">
        <v>1</v>
      </c>
      <c r="O50">
        <v>1</v>
      </c>
      <c r="P50">
        <v>45000</v>
      </c>
      <c r="Q50">
        <v>20000</v>
      </c>
      <c r="R50">
        <v>1</v>
      </c>
      <c r="S50">
        <v>1</v>
      </c>
      <c r="T50">
        <v>1</v>
      </c>
      <c r="U50">
        <v>0</v>
      </c>
      <c r="V50">
        <v>10200</v>
      </c>
      <c r="W50" s="3">
        <v>31428.57143</v>
      </c>
      <c r="X50">
        <v>1</v>
      </c>
      <c r="Y50">
        <v>45000</v>
      </c>
    </row>
    <row r="51" spans="1:25" x14ac:dyDescent="0.3">
      <c r="A51" s="3">
        <v>70000</v>
      </c>
      <c r="B51">
        <v>1</v>
      </c>
      <c r="C51">
        <v>0</v>
      </c>
      <c r="D51">
        <v>7</v>
      </c>
      <c r="E51">
        <v>1</v>
      </c>
      <c r="F51">
        <v>0</v>
      </c>
      <c r="G51">
        <v>0</v>
      </c>
      <c r="H51">
        <v>0</v>
      </c>
      <c r="I51">
        <v>1</v>
      </c>
      <c r="J51">
        <v>0</v>
      </c>
      <c r="K51">
        <v>1</v>
      </c>
      <c r="L51">
        <v>1</v>
      </c>
      <c r="M51">
        <v>0</v>
      </c>
      <c r="N51">
        <v>1</v>
      </c>
      <c r="O51">
        <v>1</v>
      </c>
      <c r="P51">
        <v>40000</v>
      </c>
      <c r="Q51">
        <v>15000</v>
      </c>
      <c r="R51">
        <v>1</v>
      </c>
      <c r="S51">
        <v>1</v>
      </c>
      <c r="T51">
        <v>1</v>
      </c>
      <c r="U51">
        <v>0</v>
      </c>
      <c r="V51">
        <v>75000</v>
      </c>
      <c r="W51" s="3">
        <v>21538.46154</v>
      </c>
      <c r="X51">
        <v>1</v>
      </c>
      <c r="Y51">
        <v>40000</v>
      </c>
    </row>
    <row r="52" spans="1:25" x14ac:dyDescent="0.3">
      <c r="A52" s="3">
        <v>200000</v>
      </c>
      <c r="B52">
        <v>1</v>
      </c>
      <c r="C52">
        <v>0</v>
      </c>
      <c r="D52">
        <v>15</v>
      </c>
      <c r="E52">
        <v>1</v>
      </c>
      <c r="F52">
        <v>0</v>
      </c>
      <c r="G52">
        <v>0</v>
      </c>
      <c r="H52">
        <v>0</v>
      </c>
      <c r="I52">
        <v>1</v>
      </c>
      <c r="J52">
        <v>0</v>
      </c>
      <c r="K52">
        <v>1</v>
      </c>
      <c r="L52">
        <v>1</v>
      </c>
      <c r="M52">
        <v>0</v>
      </c>
      <c r="N52">
        <v>1</v>
      </c>
      <c r="O52">
        <v>0</v>
      </c>
      <c r="P52">
        <v>50000</v>
      </c>
      <c r="Q52">
        <v>0</v>
      </c>
      <c r="R52">
        <v>0</v>
      </c>
      <c r="S52">
        <v>0</v>
      </c>
      <c r="T52">
        <v>1</v>
      </c>
      <c r="U52">
        <v>0</v>
      </c>
      <c r="V52">
        <v>10200</v>
      </c>
      <c r="W52" s="3">
        <v>31250</v>
      </c>
      <c r="X52">
        <v>1</v>
      </c>
      <c r="Y52">
        <v>50000</v>
      </c>
    </row>
    <row r="53" spans="1:25" x14ac:dyDescent="0.3">
      <c r="A53" s="3">
        <v>50000</v>
      </c>
      <c r="B53">
        <v>1</v>
      </c>
      <c r="C53">
        <v>0</v>
      </c>
      <c r="D53">
        <v>18</v>
      </c>
      <c r="E53">
        <v>1</v>
      </c>
      <c r="F53">
        <v>0</v>
      </c>
      <c r="G53">
        <v>0</v>
      </c>
      <c r="H53">
        <v>0</v>
      </c>
      <c r="I53">
        <v>0</v>
      </c>
      <c r="J53">
        <v>0</v>
      </c>
      <c r="K53">
        <v>1</v>
      </c>
      <c r="L53">
        <v>0</v>
      </c>
      <c r="M53">
        <v>1</v>
      </c>
      <c r="N53">
        <v>1</v>
      </c>
      <c r="O53">
        <v>0</v>
      </c>
      <c r="P53">
        <v>50000</v>
      </c>
      <c r="Q53">
        <v>0</v>
      </c>
      <c r="R53">
        <v>1</v>
      </c>
      <c r="S53">
        <v>1</v>
      </c>
      <c r="T53">
        <v>1</v>
      </c>
      <c r="U53">
        <v>0</v>
      </c>
      <c r="V53">
        <v>10200</v>
      </c>
      <c r="W53" s="3">
        <v>30000</v>
      </c>
      <c r="X53">
        <v>1</v>
      </c>
      <c r="Y53">
        <v>50000</v>
      </c>
    </row>
    <row r="54" spans="1:25" x14ac:dyDescent="0.3">
      <c r="A54" s="3">
        <v>35000</v>
      </c>
      <c r="B54">
        <v>1</v>
      </c>
      <c r="C54">
        <v>1</v>
      </c>
      <c r="D54">
        <v>8</v>
      </c>
      <c r="E54">
        <v>1</v>
      </c>
      <c r="F54">
        <v>0</v>
      </c>
      <c r="G54">
        <v>0</v>
      </c>
      <c r="H54">
        <v>0</v>
      </c>
      <c r="I54">
        <v>1</v>
      </c>
      <c r="J54">
        <v>0</v>
      </c>
      <c r="K54">
        <v>1</v>
      </c>
      <c r="L54">
        <v>0</v>
      </c>
      <c r="M54">
        <v>1</v>
      </c>
      <c r="N54">
        <v>0</v>
      </c>
      <c r="O54">
        <v>0</v>
      </c>
      <c r="P54">
        <v>60000</v>
      </c>
      <c r="Q54">
        <v>20000</v>
      </c>
      <c r="R54">
        <v>1</v>
      </c>
      <c r="S54">
        <v>1</v>
      </c>
      <c r="T54">
        <v>1</v>
      </c>
      <c r="U54">
        <v>0</v>
      </c>
      <c r="V54">
        <v>85200</v>
      </c>
      <c r="W54" s="3">
        <v>33333.333330000001</v>
      </c>
      <c r="X54">
        <v>1</v>
      </c>
    </row>
    <row r="55" spans="1:25" x14ac:dyDescent="0.3">
      <c r="A55" s="3">
        <v>60000</v>
      </c>
      <c r="B55">
        <v>1</v>
      </c>
      <c r="C55">
        <v>1</v>
      </c>
      <c r="D55">
        <v>10</v>
      </c>
      <c r="E55">
        <v>1</v>
      </c>
      <c r="F55">
        <v>0</v>
      </c>
      <c r="G55">
        <v>0</v>
      </c>
      <c r="H55">
        <v>0</v>
      </c>
      <c r="I55">
        <v>0</v>
      </c>
      <c r="J55">
        <v>0</v>
      </c>
      <c r="K55">
        <v>1</v>
      </c>
      <c r="L55">
        <v>0</v>
      </c>
      <c r="M55">
        <v>1</v>
      </c>
      <c r="N55">
        <v>1</v>
      </c>
      <c r="O55">
        <v>1</v>
      </c>
      <c r="P55">
        <v>50000</v>
      </c>
      <c r="Q55">
        <v>0</v>
      </c>
      <c r="R55">
        <v>1</v>
      </c>
      <c r="S55">
        <v>1</v>
      </c>
      <c r="T55">
        <v>1</v>
      </c>
      <c r="U55">
        <v>0</v>
      </c>
      <c r="V55">
        <v>110200</v>
      </c>
      <c r="W55" s="3">
        <v>52222.222220000003</v>
      </c>
      <c r="X55">
        <v>1</v>
      </c>
      <c r="Y55">
        <v>50000</v>
      </c>
    </row>
    <row r="56" spans="1:25" x14ac:dyDescent="0.3">
      <c r="A56" s="3">
        <v>30000</v>
      </c>
      <c r="B56">
        <v>1</v>
      </c>
      <c r="C56">
        <v>1</v>
      </c>
      <c r="D56">
        <v>5</v>
      </c>
      <c r="E56">
        <v>1</v>
      </c>
      <c r="F56">
        <v>0</v>
      </c>
      <c r="G56">
        <v>0</v>
      </c>
      <c r="H56">
        <v>0</v>
      </c>
      <c r="I56">
        <v>0</v>
      </c>
      <c r="J56">
        <v>0</v>
      </c>
      <c r="K56">
        <v>0</v>
      </c>
      <c r="L56">
        <v>0</v>
      </c>
      <c r="M56">
        <v>1</v>
      </c>
      <c r="N56">
        <v>1</v>
      </c>
      <c r="O56">
        <v>1</v>
      </c>
      <c r="P56">
        <v>50000</v>
      </c>
      <c r="Q56">
        <v>15000</v>
      </c>
      <c r="R56">
        <v>1</v>
      </c>
      <c r="S56">
        <v>1</v>
      </c>
      <c r="T56">
        <v>1</v>
      </c>
      <c r="U56">
        <v>0</v>
      </c>
      <c r="V56">
        <v>0</v>
      </c>
      <c r="W56" s="3">
        <v>28571.42857</v>
      </c>
      <c r="X56">
        <v>1</v>
      </c>
      <c r="Y56">
        <v>50000</v>
      </c>
    </row>
    <row r="57" spans="1:25" x14ac:dyDescent="0.3">
      <c r="A57" s="3">
        <v>70000</v>
      </c>
      <c r="B57">
        <v>1</v>
      </c>
      <c r="C57">
        <v>1</v>
      </c>
      <c r="D57">
        <v>8</v>
      </c>
      <c r="E57">
        <v>1</v>
      </c>
      <c r="F57">
        <v>0</v>
      </c>
      <c r="G57">
        <v>0</v>
      </c>
      <c r="H57">
        <v>0</v>
      </c>
      <c r="I57">
        <v>1</v>
      </c>
      <c r="J57">
        <v>1</v>
      </c>
      <c r="K57">
        <v>0</v>
      </c>
      <c r="L57">
        <v>0</v>
      </c>
      <c r="M57">
        <v>1</v>
      </c>
      <c r="N57">
        <v>1</v>
      </c>
      <c r="O57">
        <v>1</v>
      </c>
      <c r="P57">
        <v>50000</v>
      </c>
      <c r="Q57">
        <v>20000</v>
      </c>
      <c r="R57">
        <v>1</v>
      </c>
      <c r="S57">
        <v>1</v>
      </c>
      <c r="T57">
        <v>1</v>
      </c>
      <c r="U57">
        <v>0</v>
      </c>
      <c r="V57">
        <v>0</v>
      </c>
      <c r="W57" s="3">
        <v>31250</v>
      </c>
      <c r="X57">
        <v>1</v>
      </c>
      <c r="Y57">
        <v>50000</v>
      </c>
    </row>
    <row r="58" spans="1:25" x14ac:dyDescent="0.3">
      <c r="A58" s="3">
        <v>30000</v>
      </c>
      <c r="B58">
        <v>1</v>
      </c>
      <c r="C58">
        <v>1</v>
      </c>
      <c r="D58">
        <v>5</v>
      </c>
      <c r="E58">
        <v>1</v>
      </c>
      <c r="F58">
        <v>0</v>
      </c>
      <c r="G58">
        <v>0</v>
      </c>
      <c r="H58">
        <v>0</v>
      </c>
      <c r="I58">
        <v>0</v>
      </c>
      <c r="J58">
        <v>0</v>
      </c>
      <c r="K58">
        <v>0</v>
      </c>
      <c r="L58">
        <v>0</v>
      </c>
      <c r="M58">
        <v>1</v>
      </c>
      <c r="N58">
        <v>0</v>
      </c>
      <c r="O58">
        <v>0</v>
      </c>
      <c r="P58">
        <v>50000</v>
      </c>
      <c r="Q58">
        <v>15000</v>
      </c>
      <c r="R58">
        <v>1</v>
      </c>
      <c r="S58">
        <v>1</v>
      </c>
      <c r="T58">
        <v>1</v>
      </c>
      <c r="U58">
        <v>0</v>
      </c>
      <c r="V58">
        <v>0</v>
      </c>
      <c r="W58" s="3">
        <v>22500</v>
      </c>
      <c r="X58">
        <v>1</v>
      </c>
      <c r="Y58">
        <v>50000</v>
      </c>
    </row>
    <row r="59" spans="1:25" x14ac:dyDescent="0.3">
      <c r="A59" s="3">
        <v>70000</v>
      </c>
      <c r="B59">
        <v>0</v>
      </c>
      <c r="C59">
        <v>1</v>
      </c>
      <c r="D59">
        <v>15</v>
      </c>
      <c r="E59">
        <v>1</v>
      </c>
      <c r="F59">
        <v>0</v>
      </c>
      <c r="G59">
        <v>0</v>
      </c>
      <c r="H59">
        <v>0</v>
      </c>
      <c r="I59">
        <v>0</v>
      </c>
      <c r="J59">
        <v>1</v>
      </c>
      <c r="K59">
        <v>0</v>
      </c>
      <c r="L59">
        <v>1</v>
      </c>
      <c r="M59">
        <v>1</v>
      </c>
      <c r="N59">
        <v>1</v>
      </c>
      <c r="O59">
        <v>1</v>
      </c>
      <c r="P59" s="3">
        <v>40000</v>
      </c>
      <c r="Q59">
        <v>20000</v>
      </c>
      <c r="R59">
        <v>1</v>
      </c>
      <c r="S59">
        <v>1</v>
      </c>
      <c r="T59">
        <v>1</v>
      </c>
      <c r="U59">
        <v>0</v>
      </c>
      <c r="V59">
        <v>0</v>
      </c>
      <c r="W59" s="3">
        <v>21818.181820000002</v>
      </c>
      <c r="X59">
        <v>1</v>
      </c>
      <c r="Y59">
        <v>40000</v>
      </c>
    </row>
    <row r="60" spans="1:25" x14ac:dyDescent="0.3">
      <c r="A60" s="3">
        <v>50000</v>
      </c>
      <c r="B60">
        <v>0</v>
      </c>
      <c r="C60">
        <v>0</v>
      </c>
      <c r="D60">
        <v>9</v>
      </c>
      <c r="E60">
        <v>1</v>
      </c>
      <c r="F60">
        <v>1</v>
      </c>
      <c r="G60">
        <v>0</v>
      </c>
      <c r="H60">
        <v>0</v>
      </c>
      <c r="I60">
        <v>0</v>
      </c>
      <c r="J60">
        <v>0</v>
      </c>
      <c r="K60">
        <v>1</v>
      </c>
      <c r="L60">
        <v>0</v>
      </c>
      <c r="M60">
        <v>1</v>
      </c>
      <c r="N60">
        <v>1</v>
      </c>
      <c r="O60">
        <v>1</v>
      </c>
      <c r="P60" s="3">
        <v>30000</v>
      </c>
      <c r="Q60">
        <v>20000</v>
      </c>
      <c r="R60">
        <v>1</v>
      </c>
      <c r="S60">
        <v>1</v>
      </c>
      <c r="T60">
        <v>1</v>
      </c>
      <c r="U60">
        <v>0</v>
      </c>
      <c r="V60">
        <v>10200</v>
      </c>
      <c r="W60" s="3">
        <v>21818.181820000002</v>
      </c>
      <c r="X60">
        <v>1</v>
      </c>
      <c r="Y60">
        <v>30000</v>
      </c>
    </row>
    <row r="61" spans="1:25" x14ac:dyDescent="0.3">
      <c r="A61" s="3">
        <v>70000</v>
      </c>
      <c r="B61">
        <v>1</v>
      </c>
      <c r="C61">
        <v>1</v>
      </c>
      <c r="D61">
        <v>10</v>
      </c>
      <c r="E61">
        <v>1</v>
      </c>
      <c r="F61">
        <v>0</v>
      </c>
      <c r="G61">
        <v>0</v>
      </c>
      <c r="H61">
        <v>0</v>
      </c>
      <c r="I61">
        <v>0</v>
      </c>
      <c r="J61">
        <v>0</v>
      </c>
      <c r="K61">
        <v>0</v>
      </c>
      <c r="L61">
        <v>0</v>
      </c>
      <c r="M61">
        <v>0</v>
      </c>
      <c r="N61">
        <v>1</v>
      </c>
      <c r="O61">
        <v>1</v>
      </c>
      <c r="P61">
        <v>0</v>
      </c>
      <c r="Q61">
        <v>15000</v>
      </c>
      <c r="R61">
        <v>1</v>
      </c>
      <c r="S61">
        <v>1</v>
      </c>
      <c r="T61">
        <v>1</v>
      </c>
      <c r="U61">
        <v>0</v>
      </c>
      <c r="V61">
        <v>0</v>
      </c>
      <c r="W61" s="3">
        <v>27272.727269999999</v>
      </c>
      <c r="X61">
        <v>1</v>
      </c>
      <c r="Y61">
        <v>0</v>
      </c>
    </row>
    <row r="62" spans="1:25" x14ac:dyDescent="0.3">
      <c r="A62" s="3">
        <v>30000</v>
      </c>
      <c r="B62">
        <v>1</v>
      </c>
      <c r="C62">
        <v>0</v>
      </c>
      <c r="D62">
        <v>8</v>
      </c>
      <c r="E62">
        <v>1</v>
      </c>
      <c r="F62">
        <v>0</v>
      </c>
      <c r="G62">
        <v>0</v>
      </c>
      <c r="H62">
        <v>0</v>
      </c>
      <c r="I62">
        <v>0</v>
      </c>
      <c r="J62">
        <v>1</v>
      </c>
      <c r="K62">
        <v>0</v>
      </c>
      <c r="L62">
        <v>0</v>
      </c>
      <c r="M62">
        <v>1</v>
      </c>
      <c r="N62">
        <v>1</v>
      </c>
      <c r="O62">
        <v>1</v>
      </c>
      <c r="P62">
        <v>30000</v>
      </c>
      <c r="Q62">
        <v>15000</v>
      </c>
      <c r="R62">
        <v>1</v>
      </c>
      <c r="S62">
        <v>1</v>
      </c>
      <c r="T62">
        <v>1</v>
      </c>
      <c r="U62">
        <v>0</v>
      </c>
      <c r="V62">
        <v>0</v>
      </c>
      <c r="W62" s="3">
        <v>28750</v>
      </c>
      <c r="X62">
        <v>1</v>
      </c>
      <c r="Y62">
        <v>30000</v>
      </c>
    </row>
    <row r="63" spans="1:25" x14ac:dyDescent="0.3">
      <c r="A63" s="3">
        <v>50000</v>
      </c>
      <c r="B63">
        <v>1</v>
      </c>
      <c r="C63">
        <v>1</v>
      </c>
      <c r="D63">
        <v>5</v>
      </c>
      <c r="E63">
        <v>1</v>
      </c>
      <c r="F63">
        <v>0</v>
      </c>
      <c r="G63">
        <v>0</v>
      </c>
      <c r="H63">
        <v>0</v>
      </c>
      <c r="I63">
        <v>1</v>
      </c>
      <c r="J63">
        <v>0</v>
      </c>
      <c r="K63">
        <v>0</v>
      </c>
      <c r="L63">
        <v>1</v>
      </c>
      <c r="M63">
        <v>1</v>
      </c>
      <c r="N63">
        <v>1</v>
      </c>
      <c r="O63">
        <v>1</v>
      </c>
      <c r="P63">
        <v>30000</v>
      </c>
      <c r="Q63">
        <v>20000</v>
      </c>
      <c r="R63">
        <v>1</v>
      </c>
      <c r="S63">
        <v>1</v>
      </c>
      <c r="T63">
        <v>1</v>
      </c>
      <c r="U63">
        <v>0</v>
      </c>
      <c r="V63">
        <v>0</v>
      </c>
      <c r="W63" s="3">
        <v>37142.85714</v>
      </c>
      <c r="X63">
        <v>1</v>
      </c>
      <c r="Y63">
        <v>30000</v>
      </c>
    </row>
    <row r="64" spans="1:25" x14ac:dyDescent="0.3">
      <c r="A64" s="3">
        <v>50000</v>
      </c>
      <c r="B64">
        <v>1</v>
      </c>
      <c r="C64">
        <v>0</v>
      </c>
      <c r="D64">
        <v>10</v>
      </c>
      <c r="E64">
        <v>1</v>
      </c>
      <c r="F64">
        <v>0</v>
      </c>
      <c r="G64">
        <v>0</v>
      </c>
      <c r="H64">
        <v>0</v>
      </c>
      <c r="I64">
        <v>1</v>
      </c>
      <c r="J64">
        <v>1</v>
      </c>
      <c r="K64">
        <v>1</v>
      </c>
      <c r="L64">
        <v>1</v>
      </c>
      <c r="M64">
        <v>1</v>
      </c>
      <c r="N64">
        <v>1</v>
      </c>
      <c r="O64">
        <v>1</v>
      </c>
      <c r="P64">
        <v>38000</v>
      </c>
      <c r="Q64">
        <v>0</v>
      </c>
      <c r="R64">
        <v>1</v>
      </c>
      <c r="S64">
        <v>1</v>
      </c>
      <c r="T64">
        <v>1</v>
      </c>
      <c r="U64">
        <v>0</v>
      </c>
      <c r="V64">
        <v>85200</v>
      </c>
      <c r="W64" s="3">
        <v>19565.217390000002</v>
      </c>
      <c r="X64">
        <v>1</v>
      </c>
      <c r="Y64">
        <v>38000</v>
      </c>
    </row>
    <row r="65" spans="1:25" x14ac:dyDescent="0.3">
      <c r="A65" s="3">
        <v>50000</v>
      </c>
      <c r="B65">
        <v>1</v>
      </c>
      <c r="C65">
        <v>1</v>
      </c>
      <c r="D65">
        <v>15</v>
      </c>
      <c r="E65">
        <v>1</v>
      </c>
      <c r="F65">
        <v>0</v>
      </c>
      <c r="G65">
        <v>0</v>
      </c>
      <c r="H65">
        <v>0</v>
      </c>
      <c r="I65">
        <v>1</v>
      </c>
      <c r="J65">
        <v>1</v>
      </c>
      <c r="K65">
        <v>1</v>
      </c>
      <c r="L65">
        <v>0</v>
      </c>
      <c r="M65">
        <v>0</v>
      </c>
      <c r="N65">
        <v>1</v>
      </c>
      <c r="O65">
        <v>0</v>
      </c>
      <c r="P65">
        <v>10000</v>
      </c>
      <c r="Q65">
        <v>1000</v>
      </c>
      <c r="R65">
        <v>1</v>
      </c>
      <c r="S65">
        <v>1</v>
      </c>
      <c r="T65">
        <v>1</v>
      </c>
      <c r="U65">
        <v>1</v>
      </c>
      <c r="V65">
        <v>10200</v>
      </c>
      <c r="W65" s="3">
        <v>47500</v>
      </c>
      <c r="X65">
        <v>0</v>
      </c>
      <c r="Y65">
        <v>10000</v>
      </c>
    </row>
    <row r="66" spans="1:25" x14ac:dyDescent="0.3">
      <c r="A66" s="3">
        <v>50000</v>
      </c>
      <c r="B66">
        <v>0</v>
      </c>
      <c r="C66">
        <v>0</v>
      </c>
      <c r="D66">
        <v>10</v>
      </c>
      <c r="E66">
        <v>1</v>
      </c>
      <c r="F66">
        <v>0</v>
      </c>
      <c r="G66">
        <v>0</v>
      </c>
      <c r="H66">
        <v>0</v>
      </c>
      <c r="I66">
        <v>0</v>
      </c>
      <c r="J66">
        <v>1</v>
      </c>
      <c r="K66">
        <v>1</v>
      </c>
      <c r="L66">
        <v>0</v>
      </c>
      <c r="M66">
        <v>0</v>
      </c>
      <c r="N66">
        <v>1</v>
      </c>
      <c r="O66">
        <v>1</v>
      </c>
      <c r="P66" s="3">
        <v>30000</v>
      </c>
      <c r="Q66">
        <v>20000</v>
      </c>
      <c r="R66">
        <v>1</v>
      </c>
      <c r="S66">
        <v>1</v>
      </c>
      <c r="T66">
        <v>1</v>
      </c>
      <c r="U66">
        <v>0</v>
      </c>
      <c r="V66">
        <v>60000</v>
      </c>
      <c r="W66" s="3">
        <v>27380.952379999999</v>
      </c>
      <c r="X66">
        <v>1</v>
      </c>
      <c r="Y66">
        <v>30000</v>
      </c>
    </row>
    <row r="67" spans="1:25" x14ac:dyDescent="0.3">
      <c r="A67" s="3">
        <v>50000</v>
      </c>
      <c r="B67">
        <v>1</v>
      </c>
      <c r="C67">
        <v>0</v>
      </c>
      <c r="D67">
        <v>10</v>
      </c>
      <c r="E67">
        <v>1</v>
      </c>
      <c r="F67">
        <v>0</v>
      </c>
      <c r="G67">
        <v>0</v>
      </c>
      <c r="H67">
        <v>0</v>
      </c>
      <c r="I67">
        <v>0</v>
      </c>
      <c r="J67">
        <v>0</v>
      </c>
      <c r="K67">
        <v>1</v>
      </c>
      <c r="L67">
        <v>1</v>
      </c>
      <c r="M67">
        <v>1</v>
      </c>
      <c r="N67">
        <v>1</v>
      </c>
      <c r="O67">
        <v>1</v>
      </c>
      <c r="P67">
        <v>50000</v>
      </c>
      <c r="Q67">
        <v>1100</v>
      </c>
      <c r="R67">
        <v>1</v>
      </c>
      <c r="S67">
        <v>1</v>
      </c>
      <c r="T67">
        <v>1</v>
      </c>
      <c r="U67">
        <v>0</v>
      </c>
      <c r="V67">
        <v>60200</v>
      </c>
      <c r="W67" s="3">
        <v>37777.777779999997</v>
      </c>
      <c r="X67">
        <v>1</v>
      </c>
      <c r="Y67">
        <v>50000</v>
      </c>
    </row>
    <row r="68" spans="1:25" x14ac:dyDescent="0.3">
      <c r="A68" s="3">
        <v>50000</v>
      </c>
      <c r="B68">
        <v>1</v>
      </c>
      <c r="C68">
        <v>0</v>
      </c>
      <c r="D68">
        <v>1</v>
      </c>
      <c r="E68">
        <v>0</v>
      </c>
      <c r="F68">
        <v>0</v>
      </c>
      <c r="G68">
        <v>0</v>
      </c>
      <c r="H68">
        <v>0</v>
      </c>
      <c r="I68">
        <v>1</v>
      </c>
      <c r="J68">
        <v>0</v>
      </c>
      <c r="K68">
        <v>0</v>
      </c>
      <c r="L68">
        <v>1</v>
      </c>
      <c r="M68">
        <v>0</v>
      </c>
      <c r="N68">
        <v>1</v>
      </c>
      <c r="O68">
        <v>0</v>
      </c>
      <c r="P68">
        <v>15000</v>
      </c>
      <c r="Q68">
        <v>0</v>
      </c>
      <c r="R68">
        <v>1</v>
      </c>
      <c r="S68">
        <v>1</v>
      </c>
      <c r="T68">
        <v>1</v>
      </c>
      <c r="U68">
        <v>0</v>
      </c>
      <c r="V68">
        <v>10200</v>
      </c>
      <c r="W68" s="3">
        <v>17000</v>
      </c>
      <c r="X68">
        <v>1</v>
      </c>
      <c r="Y68">
        <v>15000</v>
      </c>
    </row>
    <row r="69" spans="1:25" x14ac:dyDescent="0.3">
      <c r="A69" s="3">
        <v>50000</v>
      </c>
      <c r="B69">
        <v>1</v>
      </c>
      <c r="C69">
        <v>0</v>
      </c>
      <c r="D69">
        <v>8</v>
      </c>
      <c r="E69">
        <v>1</v>
      </c>
      <c r="F69">
        <v>0</v>
      </c>
      <c r="G69">
        <v>0</v>
      </c>
      <c r="H69">
        <v>0</v>
      </c>
      <c r="I69">
        <v>0</v>
      </c>
      <c r="J69">
        <v>0</v>
      </c>
      <c r="K69">
        <v>0</v>
      </c>
      <c r="L69">
        <v>1</v>
      </c>
      <c r="M69">
        <v>1</v>
      </c>
      <c r="N69">
        <v>1</v>
      </c>
      <c r="O69">
        <v>1</v>
      </c>
      <c r="P69">
        <v>50000</v>
      </c>
      <c r="Q69">
        <v>20000</v>
      </c>
      <c r="R69">
        <v>1</v>
      </c>
      <c r="S69">
        <v>1</v>
      </c>
      <c r="T69">
        <v>1</v>
      </c>
      <c r="U69">
        <v>0</v>
      </c>
      <c r="V69">
        <v>0</v>
      </c>
      <c r="W69" s="3">
        <v>40909.090909999999</v>
      </c>
      <c r="X69">
        <v>1</v>
      </c>
      <c r="Y69">
        <v>50000</v>
      </c>
    </row>
    <row r="70" spans="1:25" x14ac:dyDescent="0.3">
      <c r="A70" s="3">
        <v>50000</v>
      </c>
      <c r="B70">
        <v>1</v>
      </c>
      <c r="C70">
        <v>1</v>
      </c>
      <c r="D70">
        <v>8</v>
      </c>
      <c r="E70">
        <v>1</v>
      </c>
      <c r="F70">
        <v>0</v>
      </c>
      <c r="G70">
        <v>0</v>
      </c>
      <c r="H70">
        <v>0</v>
      </c>
      <c r="I70">
        <v>1</v>
      </c>
      <c r="J70">
        <v>0</v>
      </c>
      <c r="K70">
        <v>1</v>
      </c>
      <c r="L70">
        <v>0</v>
      </c>
      <c r="M70">
        <v>1</v>
      </c>
      <c r="N70">
        <v>1</v>
      </c>
      <c r="O70">
        <v>1</v>
      </c>
      <c r="P70">
        <v>70000</v>
      </c>
      <c r="Q70">
        <v>0</v>
      </c>
      <c r="R70">
        <v>1</v>
      </c>
      <c r="S70">
        <v>1</v>
      </c>
      <c r="T70">
        <v>1</v>
      </c>
      <c r="U70">
        <v>0</v>
      </c>
      <c r="V70">
        <v>0</v>
      </c>
      <c r="W70" s="3">
        <v>21818.181820000002</v>
      </c>
      <c r="X70">
        <v>1</v>
      </c>
      <c r="Y70">
        <v>70000</v>
      </c>
    </row>
    <row r="71" spans="1:25" x14ac:dyDescent="0.3">
      <c r="A71" s="3">
        <v>70000</v>
      </c>
      <c r="B71">
        <v>1</v>
      </c>
      <c r="C71">
        <v>1</v>
      </c>
      <c r="D71">
        <v>10</v>
      </c>
      <c r="E71">
        <v>1</v>
      </c>
      <c r="F71">
        <v>0</v>
      </c>
      <c r="G71">
        <v>0</v>
      </c>
      <c r="H71">
        <v>0</v>
      </c>
      <c r="I71">
        <v>0</v>
      </c>
      <c r="J71">
        <v>0</v>
      </c>
      <c r="K71">
        <v>0</v>
      </c>
      <c r="L71">
        <v>1</v>
      </c>
      <c r="M71">
        <v>1</v>
      </c>
      <c r="N71">
        <v>1</v>
      </c>
      <c r="O71">
        <v>1</v>
      </c>
      <c r="P71">
        <v>38000</v>
      </c>
      <c r="Q71">
        <v>20000</v>
      </c>
      <c r="R71">
        <v>1</v>
      </c>
      <c r="S71">
        <v>1</v>
      </c>
      <c r="T71">
        <v>1</v>
      </c>
      <c r="U71">
        <v>0</v>
      </c>
      <c r="V71">
        <v>60200</v>
      </c>
      <c r="W71" s="3">
        <v>27906.976739999998</v>
      </c>
      <c r="X71">
        <v>1</v>
      </c>
      <c r="Y71">
        <v>38000</v>
      </c>
    </row>
    <row r="72" spans="1:25" x14ac:dyDescent="0.3">
      <c r="A72" s="3">
        <v>50000</v>
      </c>
      <c r="B72">
        <v>1</v>
      </c>
      <c r="C72">
        <v>1</v>
      </c>
      <c r="D72">
        <v>8</v>
      </c>
      <c r="E72">
        <v>1</v>
      </c>
      <c r="F72">
        <v>0</v>
      </c>
      <c r="G72">
        <v>0</v>
      </c>
      <c r="H72">
        <v>0</v>
      </c>
      <c r="I72">
        <v>1</v>
      </c>
      <c r="J72">
        <v>0</v>
      </c>
      <c r="K72">
        <v>0</v>
      </c>
      <c r="L72">
        <v>1</v>
      </c>
      <c r="M72">
        <v>0</v>
      </c>
      <c r="N72">
        <v>1</v>
      </c>
      <c r="O72">
        <v>1</v>
      </c>
      <c r="P72">
        <v>50000</v>
      </c>
      <c r="Q72">
        <v>20000</v>
      </c>
      <c r="R72">
        <v>1</v>
      </c>
      <c r="S72">
        <v>1</v>
      </c>
      <c r="T72">
        <v>1</v>
      </c>
      <c r="U72">
        <v>0</v>
      </c>
      <c r="V72">
        <v>60200</v>
      </c>
      <c r="W72" s="3">
        <v>31818.181820000002</v>
      </c>
      <c r="X72">
        <v>1</v>
      </c>
      <c r="Y72">
        <v>50000</v>
      </c>
    </row>
    <row r="73" spans="1:25" x14ac:dyDescent="0.3">
      <c r="A73" s="3">
        <v>100000</v>
      </c>
      <c r="B73">
        <v>0</v>
      </c>
      <c r="C73">
        <v>0</v>
      </c>
      <c r="D73">
        <v>2</v>
      </c>
      <c r="E73">
        <v>0</v>
      </c>
      <c r="F73">
        <v>1</v>
      </c>
      <c r="G73">
        <v>0</v>
      </c>
      <c r="H73">
        <v>0</v>
      </c>
      <c r="I73">
        <v>1</v>
      </c>
      <c r="J73">
        <v>0</v>
      </c>
      <c r="K73">
        <v>0</v>
      </c>
      <c r="L73">
        <v>1</v>
      </c>
      <c r="M73">
        <v>0</v>
      </c>
      <c r="N73">
        <v>1</v>
      </c>
      <c r="O73">
        <v>1</v>
      </c>
      <c r="P73" s="3">
        <v>40000</v>
      </c>
      <c r="Q73">
        <v>5000</v>
      </c>
      <c r="R73">
        <v>0</v>
      </c>
      <c r="S73">
        <v>0</v>
      </c>
      <c r="T73">
        <v>0</v>
      </c>
      <c r="U73">
        <v>0</v>
      </c>
      <c r="V73">
        <v>20000</v>
      </c>
      <c r="W73" s="3">
        <v>20000</v>
      </c>
      <c r="X73">
        <v>1</v>
      </c>
      <c r="Y73">
        <v>40000</v>
      </c>
    </row>
    <row r="74" spans="1:25" x14ac:dyDescent="0.3">
      <c r="A74" s="3">
        <v>35000</v>
      </c>
      <c r="B74">
        <v>1</v>
      </c>
      <c r="C74">
        <v>0</v>
      </c>
      <c r="D74">
        <v>8</v>
      </c>
      <c r="E74">
        <v>1</v>
      </c>
      <c r="F74">
        <v>0</v>
      </c>
      <c r="G74">
        <v>0</v>
      </c>
      <c r="H74">
        <v>0</v>
      </c>
      <c r="I74">
        <v>0</v>
      </c>
      <c r="J74">
        <v>0</v>
      </c>
      <c r="K74">
        <v>0</v>
      </c>
      <c r="L74">
        <v>0</v>
      </c>
      <c r="M74">
        <v>1</v>
      </c>
      <c r="N74">
        <v>1</v>
      </c>
      <c r="O74">
        <v>1</v>
      </c>
      <c r="P74">
        <v>50000</v>
      </c>
      <c r="Q74">
        <v>20000</v>
      </c>
      <c r="R74">
        <v>1</v>
      </c>
      <c r="S74">
        <v>1</v>
      </c>
      <c r="T74">
        <v>1</v>
      </c>
      <c r="U74">
        <v>0</v>
      </c>
      <c r="V74">
        <v>0</v>
      </c>
      <c r="W74" s="3">
        <v>20338.983049999999</v>
      </c>
      <c r="X74">
        <v>1</v>
      </c>
      <c r="Y74">
        <v>50000</v>
      </c>
    </row>
    <row r="75" spans="1:25" x14ac:dyDescent="0.3">
      <c r="A75" s="3">
        <v>80000</v>
      </c>
      <c r="B75">
        <v>1</v>
      </c>
      <c r="C75">
        <v>0</v>
      </c>
      <c r="D75">
        <v>15</v>
      </c>
      <c r="E75">
        <v>0</v>
      </c>
      <c r="F75">
        <v>0</v>
      </c>
      <c r="G75">
        <v>0</v>
      </c>
      <c r="H75">
        <v>0</v>
      </c>
      <c r="I75">
        <v>0</v>
      </c>
      <c r="J75">
        <v>1</v>
      </c>
      <c r="K75">
        <v>0</v>
      </c>
      <c r="L75">
        <v>0</v>
      </c>
      <c r="M75">
        <v>1</v>
      </c>
      <c r="N75">
        <v>1</v>
      </c>
      <c r="O75">
        <v>1</v>
      </c>
      <c r="P75">
        <v>20000</v>
      </c>
      <c r="Q75">
        <v>5000</v>
      </c>
      <c r="R75">
        <v>1</v>
      </c>
      <c r="S75">
        <v>1</v>
      </c>
      <c r="T75">
        <v>1</v>
      </c>
      <c r="U75">
        <v>0</v>
      </c>
      <c r="V75">
        <v>20000</v>
      </c>
      <c r="W75" s="3">
        <v>34000</v>
      </c>
      <c r="X75">
        <v>0</v>
      </c>
      <c r="Y75">
        <v>20000</v>
      </c>
    </row>
    <row r="76" spans="1:25" x14ac:dyDescent="0.3">
      <c r="A76" s="3">
        <v>120000</v>
      </c>
      <c r="B76">
        <v>0</v>
      </c>
      <c r="C76">
        <v>0</v>
      </c>
      <c r="D76">
        <v>10</v>
      </c>
      <c r="E76">
        <v>0</v>
      </c>
      <c r="F76">
        <v>0</v>
      </c>
      <c r="G76">
        <v>0</v>
      </c>
      <c r="H76">
        <v>0</v>
      </c>
      <c r="I76">
        <v>1</v>
      </c>
      <c r="J76">
        <v>0</v>
      </c>
      <c r="K76">
        <v>1</v>
      </c>
      <c r="L76">
        <v>1</v>
      </c>
      <c r="M76">
        <v>1</v>
      </c>
      <c r="N76">
        <v>1</v>
      </c>
      <c r="O76">
        <v>1</v>
      </c>
      <c r="P76" s="3">
        <v>20000</v>
      </c>
      <c r="Q76">
        <v>4000</v>
      </c>
      <c r="R76">
        <v>1</v>
      </c>
      <c r="S76">
        <v>1</v>
      </c>
      <c r="T76">
        <v>1</v>
      </c>
      <c r="U76">
        <v>0</v>
      </c>
      <c r="V76">
        <v>0</v>
      </c>
      <c r="W76" s="3">
        <v>43478.260869999998</v>
      </c>
      <c r="X76">
        <v>0</v>
      </c>
      <c r="Y76">
        <v>20000</v>
      </c>
    </row>
    <row r="77" spans="1:25" x14ac:dyDescent="0.3">
      <c r="A77" s="3">
        <v>0</v>
      </c>
      <c r="B77">
        <v>1</v>
      </c>
      <c r="C77">
        <v>0</v>
      </c>
      <c r="D77">
        <v>15</v>
      </c>
      <c r="E77">
        <v>0</v>
      </c>
      <c r="F77">
        <v>0</v>
      </c>
      <c r="G77">
        <v>0</v>
      </c>
      <c r="H77">
        <v>0</v>
      </c>
      <c r="I77">
        <v>0</v>
      </c>
      <c r="J77">
        <v>0</v>
      </c>
      <c r="K77">
        <v>0</v>
      </c>
      <c r="L77">
        <v>1</v>
      </c>
      <c r="M77">
        <v>1</v>
      </c>
      <c r="N77">
        <v>1</v>
      </c>
      <c r="O77">
        <v>1</v>
      </c>
      <c r="P77">
        <v>40000</v>
      </c>
      <c r="Q77">
        <v>3000</v>
      </c>
      <c r="R77">
        <v>1</v>
      </c>
      <c r="S77">
        <v>1</v>
      </c>
      <c r="T77">
        <v>1</v>
      </c>
      <c r="U77">
        <v>0</v>
      </c>
      <c r="V77">
        <v>75000</v>
      </c>
      <c r="W77" s="3">
        <v>8333.3333330000005</v>
      </c>
      <c r="X77">
        <v>0</v>
      </c>
      <c r="Y77">
        <v>40000</v>
      </c>
    </row>
    <row r="78" spans="1:25" x14ac:dyDescent="0.3">
      <c r="A78" s="3">
        <v>0</v>
      </c>
      <c r="B78">
        <v>1</v>
      </c>
      <c r="C78">
        <v>0</v>
      </c>
      <c r="D78">
        <v>10</v>
      </c>
      <c r="E78">
        <v>0</v>
      </c>
      <c r="F78">
        <v>0</v>
      </c>
      <c r="G78">
        <v>0</v>
      </c>
      <c r="H78">
        <v>0</v>
      </c>
      <c r="I78">
        <v>0</v>
      </c>
      <c r="J78">
        <v>1</v>
      </c>
      <c r="K78">
        <v>0</v>
      </c>
      <c r="L78">
        <v>1</v>
      </c>
      <c r="M78">
        <v>0</v>
      </c>
      <c r="N78">
        <v>1</v>
      </c>
      <c r="O78">
        <v>1</v>
      </c>
      <c r="P78">
        <v>40000</v>
      </c>
      <c r="Q78">
        <v>3000</v>
      </c>
      <c r="R78">
        <v>1</v>
      </c>
      <c r="S78">
        <v>1</v>
      </c>
      <c r="T78">
        <v>1</v>
      </c>
      <c r="U78">
        <v>0</v>
      </c>
      <c r="V78">
        <v>0</v>
      </c>
      <c r="W78" s="3">
        <v>78695.652170000001</v>
      </c>
      <c r="X78">
        <v>0</v>
      </c>
      <c r="Y78">
        <v>40000</v>
      </c>
    </row>
    <row r="79" spans="1:25" x14ac:dyDescent="0.3">
      <c r="A79" s="3">
        <v>0</v>
      </c>
      <c r="B79">
        <v>1</v>
      </c>
      <c r="C79">
        <v>0</v>
      </c>
      <c r="D79">
        <v>20</v>
      </c>
      <c r="E79">
        <v>0</v>
      </c>
      <c r="F79">
        <v>1</v>
      </c>
      <c r="G79">
        <v>0</v>
      </c>
      <c r="H79">
        <v>0</v>
      </c>
      <c r="I79">
        <v>0</v>
      </c>
      <c r="J79">
        <v>1</v>
      </c>
      <c r="K79">
        <v>0</v>
      </c>
      <c r="L79">
        <v>0</v>
      </c>
      <c r="M79">
        <v>0</v>
      </c>
      <c r="N79">
        <v>1</v>
      </c>
      <c r="O79">
        <v>1</v>
      </c>
      <c r="P79">
        <v>25000</v>
      </c>
      <c r="Q79">
        <v>5000</v>
      </c>
      <c r="R79">
        <v>1</v>
      </c>
      <c r="S79">
        <v>1</v>
      </c>
      <c r="T79">
        <v>1</v>
      </c>
      <c r="U79">
        <v>0</v>
      </c>
      <c r="V79">
        <v>0</v>
      </c>
      <c r="W79" s="3">
        <v>33854.166669999999</v>
      </c>
      <c r="X79">
        <v>0</v>
      </c>
      <c r="Y79">
        <v>25000</v>
      </c>
    </row>
    <row r="80" spans="1:25" x14ac:dyDescent="0.3">
      <c r="A80" s="3">
        <v>0</v>
      </c>
      <c r="B80">
        <v>1</v>
      </c>
      <c r="C80">
        <v>0</v>
      </c>
      <c r="D80">
        <v>40</v>
      </c>
      <c r="E80">
        <v>0</v>
      </c>
      <c r="F80">
        <v>0</v>
      </c>
      <c r="G80">
        <v>0</v>
      </c>
      <c r="H80">
        <v>0</v>
      </c>
      <c r="I80">
        <v>0</v>
      </c>
      <c r="J80">
        <v>1</v>
      </c>
      <c r="K80">
        <v>0</v>
      </c>
      <c r="L80">
        <v>0</v>
      </c>
      <c r="M80">
        <v>1</v>
      </c>
      <c r="N80">
        <v>1</v>
      </c>
      <c r="O80">
        <v>1</v>
      </c>
      <c r="P80">
        <v>30000</v>
      </c>
      <c r="Q80">
        <v>3000</v>
      </c>
      <c r="R80">
        <v>1</v>
      </c>
      <c r="S80">
        <v>1</v>
      </c>
      <c r="T80">
        <v>1</v>
      </c>
      <c r="U80">
        <v>0</v>
      </c>
      <c r="V80">
        <v>0</v>
      </c>
      <c r="W80" s="3">
        <v>44166.666669999999</v>
      </c>
      <c r="X80">
        <v>0</v>
      </c>
      <c r="Y80">
        <v>30000</v>
      </c>
    </row>
    <row r="81" spans="1:25" x14ac:dyDescent="0.3">
      <c r="A81" s="3">
        <v>0</v>
      </c>
      <c r="B81">
        <v>1</v>
      </c>
      <c r="C81">
        <v>0</v>
      </c>
      <c r="D81">
        <v>20</v>
      </c>
      <c r="E81">
        <v>0</v>
      </c>
      <c r="F81">
        <v>0</v>
      </c>
      <c r="G81">
        <v>0</v>
      </c>
      <c r="H81">
        <v>0</v>
      </c>
      <c r="I81">
        <v>0</v>
      </c>
      <c r="J81">
        <v>1</v>
      </c>
      <c r="K81">
        <v>0</v>
      </c>
      <c r="L81">
        <v>0</v>
      </c>
      <c r="M81">
        <v>1</v>
      </c>
      <c r="N81">
        <v>0</v>
      </c>
      <c r="O81">
        <v>0</v>
      </c>
      <c r="P81">
        <v>30000</v>
      </c>
      <c r="Q81">
        <v>3000</v>
      </c>
      <c r="R81">
        <v>1</v>
      </c>
      <c r="S81">
        <v>1</v>
      </c>
      <c r="T81">
        <v>1</v>
      </c>
      <c r="U81">
        <v>0</v>
      </c>
      <c r="V81">
        <v>0</v>
      </c>
      <c r="W81" s="3">
        <v>16540.75547</v>
      </c>
      <c r="X81">
        <v>0</v>
      </c>
      <c r="Y81">
        <v>30000</v>
      </c>
    </row>
    <row r="82" spans="1:25" x14ac:dyDescent="0.3">
      <c r="A82" s="3">
        <v>50000</v>
      </c>
      <c r="B82">
        <v>1</v>
      </c>
      <c r="C82">
        <v>0</v>
      </c>
      <c r="D82">
        <v>10</v>
      </c>
      <c r="E82">
        <v>0</v>
      </c>
      <c r="F82">
        <v>1</v>
      </c>
      <c r="G82">
        <v>0</v>
      </c>
      <c r="H82">
        <v>0</v>
      </c>
      <c r="I82">
        <v>0</v>
      </c>
      <c r="J82">
        <v>1</v>
      </c>
      <c r="K82">
        <v>0</v>
      </c>
      <c r="L82">
        <v>0</v>
      </c>
      <c r="M82">
        <v>1</v>
      </c>
      <c r="N82">
        <v>1</v>
      </c>
      <c r="O82">
        <v>1</v>
      </c>
      <c r="P82">
        <v>20000</v>
      </c>
      <c r="Q82">
        <v>5000</v>
      </c>
      <c r="R82">
        <v>1</v>
      </c>
      <c r="S82">
        <v>1</v>
      </c>
      <c r="T82">
        <v>1</v>
      </c>
      <c r="U82">
        <v>0</v>
      </c>
      <c r="V82">
        <v>0</v>
      </c>
      <c r="W82" s="3">
        <v>12000</v>
      </c>
      <c r="X82">
        <v>0</v>
      </c>
      <c r="Y82">
        <v>20000</v>
      </c>
    </row>
    <row r="83" spans="1:25" x14ac:dyDescent="0.3">
      <c r="A83" s="3">
        <v>0</v>
      </c>
      <c r="B83">
        <v>1</v>
      </c>
      <c r="C83">
        <v>1</v>
      </c>
      <c r="D83">
        <v>15</v>
      </c>
      <c r="E83">
        <v>0</v>
      </c>
      <c r="F83">
        <v>1</v>
      </c>
      <c r="G83">
        <v>0</v>
      </c>
      <c r="H83">
        <v>0</v>
      </c>
      <c r="I83">
        <v>1</v>
      </c>
      <c r="J83">
        <v>1</v>
      </c>
      <c r="K83">
        <v>0</v>
      </c>
      <c r="L83">
        <v>0</v>
      </c>
      <c r="M83">
        <v>0</v>
      </c>
      <c r="N83">
        <v>1</v>
      </c>
      <c r="O83">
        <v>1</v>
      </c>
      <c r="P83">
        <v>30000</v>
      </c>
      <c r="Q83">
        <v>3000</v>
      </c>
      <c r="R83">
        <v>1</v>
      </c>
      <c r="S83">
        <v>1</v>
      </c>
      <c r="T83">
        <v>1</v>
      </c>
      <c r="U83">
        <v>0</v>
      </c>
      <c r="V83">
        <v>75000</v>
      </c>
      <c r="W83" s="3">
        <v>14705.88235</v>
      </c>
      <c r="X83">
        <v>0</v>
      </c>
      <c r="Y83">
        <v>30000</v>
      </c>
    </row>
    <row r="84" spans="1:25" x14ac:dyDescent="0.3">
      <c r="A84" s="3">
        <v>150000</v>
      </c>
      <c r="B84">
        <v>1</v>
      </c>
      <c r="C84">
        <v>0</v>
      </c>
      <c r="D84">
        <v>20</v>
      </c>
      <c r="E84">
        <v>0</v>
      </c>
      <c r="F84">
        <v>0</v>
      </c>
      <c r="G84">
        <v>0</v>
      </c>
      <c r="H84">
        <v>0</v>
      </c>
      <c r="I84">
        <v>1</v>
      </c>
      <c r="J84">
        <v>0</v>
      </c>
      <c r="K84">
        <v>1</v>
      </c>
      <c r="L84">
        <v>1</v>
      </c>
      <c r="M84">
        <v>1</v>
      </c>
      <c r="N84">
        <v>1</v>
      </c>
      <c r="O84">
        <v>1</v>
      </c>
      <c r="P84">
        <v>30000</v>
      </c>
      <c r="Q84">
        <v>5000</v>
      </c>
      <c r="R84">
        <v>1</v>
      </c>
      <c r="S84">
        <v>1</v>
      </c>
      <c r="T84">
        <v>1</v>
      </c>
      <c r="U84">
        <v>0</v>
      </c>
      <c r="V84">
        <v>85000</v>
      </c>
      <c r="W84" s="3">
        <v>73130.841119999997</v>
      </c>
      <c r="X84">
        <v>0</v>
      </c>
      <c r="Y84">
        <v>30000</v>
      </c>
    </row>
    <row r="85" spans="1:25" x14ac:dyDescent="0.3">
      <c r="A85" s="3">
        <v>100000</v>
      </c>
      <c r="B85">
        <v>1</v>
      </c>
      <c r="C85">
        <v>0</v>
      </c>
      <c r="D85">
        <v>25</v>
      </c>
      <c r="E85">
        <v>0</v>
      </c>
      <c r="F85">
        <v>0</v>
      </c>
      <c r="G85">
        <v>0</v>
      </c>
      <c r="H85">
        <v>0</v>
      </c>
      <c r="I85">
        <v>0</v>
      </c>
      <c r="J85">
        <v>1</v>
      </c>
      <c r="K85">
        <v>0</v>
      </c>
      <c r="L85">
        <v>0</v>
      </c>
      <c r="M85">
        <v>1</v>
      </c>
      <c r="N85">
        <v>1</v>
      </c>
      <c r="O85">
        <v>1</v>
      </c>
      <c r="P85">
        <v>50000</v>
      </c>
      <c r="Q85">
        <v>5000</v>
      </c>
      <c r="R85">
        <v>1</v>
      </c>
      <c r="S85">
        <v>1</v>
      </c>
      <c r="T85">
        <v>1</v>
      </c>
      <c r="U85">
        <v>0</v>
      </c>
      <c r="V85">
        <v>0</v>
      </c>
      <c r="W85" s="3">
        <v>95000</v>
      </c>
      <c r="X85">
        <v>0</v>
      </c>
      <c r="Y85">
        <v>50000</v>
      </c>
    </row>
    <row r="86" spans="1:25" x14ac:dyDescent="0.3">
      <c r="A86" s="3">
        <v>0</v>
      </c>
      <c r="B86">
        <v>1</v>
      </c>
      <c r="C86">
        <v>0</v>
      </c>
      <c r="D86">
        <v>30</v>
      </c>
      <c r="E86">
        <v>0</v>
      </c>
      <c r="F86">
        <v>0</v>
      </c>
      <c r="G86">
        <v>0</v>
      </c>
      <c r="H86">
        <v>0</v>
      </c>
      <c r="I86">
        <v>1</v>
      </c>
      <c r="J86">
        <v>1</v>
      </c>
      <c r="K86">
        <v>0</v>
      </c>
      <c r="L86">
        <v>0</v>
      </c>
      <c r="M86">
        <v>1</v>
      </c>
      <c r="N86">
        <v>1</v>
      </c>
      <c r="O86">
        <v>1</v>
      </c>
      <c r="P86">
        <v>50000</v>
      </c>
      <c r="Q86">
        <v>4000</v>
      </c>
      <c r="R86">
        <v>1</v>
      </c>
      <c r="S86">
        <v>1</v>
      </c>
      <c r="T86">
        <v>1</v>
      </c>
      <c r="U86">
        <v>0</v>
      </c>
      <c r="V86">
        <v>30000</v>
      </c>
      <c r="W86" s="3">
        <v>20000</v>
      </c>
      <c r="X86">
        <v>0</v>
      </c>
      <c r="Y86">
        <v>50000</v>
      </c>
    </row>
    <row r="87" spans="1:25" x14ac:dyDescent="0.3">
      <c r="A87" s="3">
        <v>90000</v>
      </c>
      <c r="B87">
        <v>0</v>
      </c>
      <c r="C87">
        <v>0</v>
      </c>
      <c r="D87">
        <v>30</v>
      </c>
      <c r="E87">
        <v>0</v>
      </c>
      <c r="F87">
        <v>0</v>
      </c>
      <c r="G87">
        <v>0</v>
      </c>
      <c r="H87">
        <v>0</v>
      </c>
      <c r="I87">
        <v>1</v>
      </c>
      <c r="J87">
        <v>1</v>
      </c>
      <c r="K87">
        <v>0</v>
      </c>
      <c r="L87">
        <v>0</v>
      </c>
      <c r="M87">
        <v>1</v>
      </c>
      <c r="N87">
        <v>1</v>
      </c>
      <c r="O87">
        <v>1</v>
      </c>
      <c r="P87" s="3">
        <v>30000</v>
      </c>
      <c r="Q87">
        <v>5000</v>
      </c>
      <c r="R87">
        <v>1</v>
      </c>
      <c r="S87">
        <v>1</v>
      </c>
      <c r="T87">
        <v>1</v>
      </c>
      <c r="U87">
        <v>0</v>
      </c>
      <c r="V87">
        <v>11500</v>
      </c>
      <c r="W87" s="3">
        <v>11090.909089999999</v>
      </c>
      <c r="X87">
        <v>0</v>
      </c>
      <c r="Y87">
        <v>30000</v>
      </c>
    </row>
    <row r="88" spans="1:25" x14ac:dyDescent="0.3">
      <c r="A88" s="3">
        <v>0</v>
      </c>
      <c r="B88">
        <v>1</v>
      </c>
      <c r="C88">
        <v>0</v>
      </c>
      <c r="D88">
        <v>20</v>
      </c>
      <c r="E88">
        <v>0</v>
      </c>
      <c r="F88">
        <v>0</v>
      </c>
      <c r="G88">
        <v>0</v>
      </c>
      <c r="H88">
        <v>0</v>
      </c>
      <c r="I88">
        <v>0</v>
      </c>
      <c r="J88">
        <v>1</v>
      </c>
      <c r="K88">
        <v>0</v>
      </c>
      <c r="L88">
        <v>0</v>
      </c>
      <c r="M88">
        <v>1</v>
      </c>
      <c r="N88">
        <v>1</v>
      </c>
      <c r="O88">
        <v>1</v>
      </c>
      <c r="P88">
        <v>40000</v>
      </c>
      <c r="Q88">
        <v>3000</v>
      </c>
      <c r="R88">
        <v>1</v>
      </c>
      <c r="S88">
        <v>1</v>
      </c>
      <c r="T88">
        <v>1</v>
      </c>
      <c r="U88">
        <v>0</v>
      </c>
      <c r="V88">
        <v>0</v>
      </c>
      <c r="W88" s="3">
        <v>63833.333330000001</v>
      </c>
      <c r="X88">
        <v>0</v>
      </c>
      <c r="Y88">
        <v>40000</v>
      </c>
    </row>
    <row r="89" spans="1:25" x14ac:dyDescent="0.3">
      <c r="A89" s="3">
        <v>0</v>
      </c>
      <c r="B89">
        <v>1</v>
      </c>
      <c r="C89">
        <v>0</v>
      </c>
      <c r="D89">
        <v>20</v>
      </c>
      <c r="E89">
        <v>0</v>
      </c>
      <c r="F89">
        <v>0</v>
      </c>
      <c r="G89">
        <v>0</v>
      </c>
      <c r="H89">
        <v>0</v>
      </c>
      <c r="I89">
        <v>0</v>
      </c>
      <c r="J89">
        <v>1</v>
      </c>
      <c r="K89">
        <v>0</v>
      </c>
      <c r="L89">
        <v>0</v>
      </c>
      <c r="M89">
        <v>1</v>
      </c>
      <c r="N89">
        <v>1</v>
      </c>
      <c r="O89">
        <v>1</v>
      </c>
      <c r="P89">
        <v>40000</v>
      </c>
      <c r="Q89">
        <v>300</v>
      </c>
      <c r="R89">
        <v>1</v>
      </c>
      <c r="S89">
        <v>1</v>
      </c>
      <c r="T89">
        <v>1</v>
      </c>
      <c r="U89">
        <v>0</v>
      </c>
      <c r="V89">
        <v>0</v>
      </c>
      <c r="W89" s="3">
        <v>63058.823530000001</v>
      </c>
      <c r="X89">
        <v>0</v>
      </c>
      <c r="Y89">
        <v>40000</v>
      </c>
    </row>
    <row r="90" spans="1:25" x14ac:dyDescent="0.3">
      <c r="A90" s="3">
        <v>0</v>
      </c>
      <c r="B90">
        <v>1</v>
      </c>
      <c r="C90">
        <v>0</v>
      </c>
      <c r="D90">
        <v>20</v>
      </c>
      <c r="E90">
        <v>0</v>
      </c>
      <c r="F90">
        <v>1</v>
      </c>
      <c r="G90">
        <v>0</v>
      </c>
      <c r="H90">
        <v>0</v>
      </c>
      <c r="I90">
        <v>0</v>
      </c>
      <c r="J90">
        <v>1</v>
      </c>
      <c r="K90">
        <v>0</v>
      </c>
      <c r="L90">
        <v>0</v>
      </c>
      <c r="M90">
        <v>1</v>
      </c>
      <c r="N90">
        <v>1</v>
      </c>
      <c r="O90">
        <v>1</v>
      </c>
      <c r="P90">
        <v>50000</v>
      </c>
      <c r="Q90">
        <v>2000</v>
      </c>
      <c r="R90">
        <v>1</v>
      </c>
      <c r="S90">
        <v>1</v>
      </c>
      <c r="T90">
        <v>1</v>
      </c>
      <c r="U90">
        <v>0</v>
      </c>
      <c r="V90">
        <v>0</v>
      </c>
      <c r="W90" s="3">
        <v>16400</v>
      </c>
      <c r="X90">
        <v>0</v>
      </c>
      <c r="Y90">
        <v>50000</v>
      </c>
    </row>
    <row r="91" spans="1:25" x14ac:dyDescent="0.3">
      <c r="A91" s="3">
        <v>0</v>
      </c>
      <c r="B91">
        <v>1</v>
      </c>
      <c r="C91">
        <v>0</v>
      </c>
      <c r="D91">
        <v>20</v>
      </c>
      <c r="E91">
        <v>1</v>
      </c>
      <c r="F91">
        <v>1</v>
      </c>
      <c r="G91">
        <v>0</v>
      </c>
      <c r="H91">
        <v>0</v>
      </c>
      <c r="I91">
        <v>0</v>
      </c>
      <c r="J91">
        <v>0</v>
      </c>
      <c r="K91">
        <v>1</v>
      </c>
      <c r="L91">
        <v>1</v>
      </c>
      <c r="M91">
        <v>1</v>
      </c>
      <c r="N91">
        <v>1</v>
      </c>
      <c r="O91">
        <v>1</v>
      </c>
      <c r="P91">
        <v>30000</v>
      </c>
      <c r="Q91">
        <v>5000</v>
      </c>
      <c r="R91">
        <v>1</v>
      </c>
      <c r="S91">
        <v>1</v>
      </c>
      <c r="T91">
        <v>1</v>
      </c>
      <c r="U91">
        <v>0</v>
      </c>
      <c r="V91">
        <v>0</v>
      </c>
      <c r="W91" s="3">
        <v>50909.090909999999</v>
      </c>
      <c r="X91">
        <v>0</v>
      </c>
      <c r="Y91">
        <v>30000</v>
      </c>
    </row>
    <row r="92" spans="1:25" x14ac:dyDescent="0.3">
      <c r="A92" s="3">
        <v>0</v>
      </c>
      <c r="B92">
        <v>1</v>
      </c>
      <c r="C92">
        <v>0</v>
      </c>
      <c r="D92">
        <v>25</v>
      </c>
      <c r="E92">
        <v>1</v>
      </c>
      <c r="F92">
        <v>0</v>
      </c>
      <c r="G92">
        <v>0</v>
      </c>
      <c r="H92">
        <v>0</v>
      </c>
      <c r="I92">
        <v>0</v>
      </c>
      <c r="J92">
        <v>1</v>
      </c>
      <c r="K92">
        <v>0</v>
      </c>
      <c r="L92">
        <v>0</v>
      </c>
      <c r="M92">
        <v>0</v>
      </c>
      <c r="N92">
        <v>1</v>
      </c>
      <c r="O92">
        <v>1</v>
      </c>
      <c r="P92">
        <v>40000</v>
      </c>
      <c r="Q92">
        <v>5000</v>
      </c>
      <c r="R92">
        <v>1</v>
      </c>
      <c r="S92">
        <v>1</v>
      </c>
      <c r="T92">
        <v>1</v>
      </c>
      <c r="U92">
        <v>0</v>
      </c>
      <c r="V92">
        <v>0</v>
      </c>
      <c r="W92" s="3">
        <v>69230.769230000005</v>
      </c>
      <c r="X92">
        <v>0</v>
      </c>
      <c r="Y92">
        <v>40000</v>
      </c>
    </row>
    <row r="93" spans="1:25" x14ac:dyDescent="0.3">
      <c r="A93" s="3">
        <v>200000</v>
      </c>
      <c r="B93">
        <v>0</v>
      </c>
      <c r="C93">
        <v>0</v>
      </c>
      <c r="D93">
        <v>10</v>
      </c>
      <c r="E93">
        <v>0</v>
      </c>
      <c r="F93">
        <v>0</v>
      </c>
      <c r="G93">
        <v>0</v>
      </c>
      <c r="H93">
        <v>0</v>
      </c>
      <c r="I93">
        <v>1</v>
      </c>
      <c r="J93">
        <v>1</v>
      </c>
      <c r="K93">
        <v>0</v>
      </c>
      <c r="L93">
        <v>1</v>
      </c>
      <c r="M93">
        <v>1</v>
      </c>
      <c r="N93">
        <v>1</v>
      </c>
      <c r="O93">
        <v>1</v>
      </c>
      <c r="P93" s="3">
        <v>50000</v>
      </c>
      <c r="Q93">
        <v>3000</v>
      </c>
      <c r="R93">
        <v>1</v>
      </c>
      <c r="S93">
        <v>1</v>
      </c>
      <c r="T93">
        <v>1</v>
      </c>
      <c r="U93">
        <v>0</v>
      </c>
      <c r="V93">
        <v>110000</v>
      </c>
      <c r="W93" s="3">
        <v>85600</v>
      </c>
      <c r="X93">
        <v>0</v>
      </c>
      <c r="Y93">
        <v>50000</v>
      </c>
    </row>
    <row r="94" spans="1:25" x14ac:dyDescent="0.3">
      <c r="A94" s="3">
        <v>0</v>
      </c>
      <c r="B94">
        <v>1</v>
      </c>
      <c r="C94">
        <v>1</v>
      </c>
      <c r="D94">
        <v>20</v>
      </c>
      <c r="E94">
        <v>0</v>
      </c>
      <c r="F94">
        <v>0</v>
      </c>
      <c r="G94">
        <v>0</v>
      </c>
      <c r="H94">
        <v>0</v>
      </c>
      <c r="I94">
        <v>1</v>
      </c>
      <c r="J94">
        <v>1</v>
      </c>
      <c r="K94">
        <v>0</v>
      </c>
      <c r="L94">
        <v>1</v>
      </c>
      <c r="M94">
        <v>1</v>
      </c>
      <c r="N94">
        <v>1</v>
      </c>
      <c r="O94">
        <v>1</v>
      </c>
      <c r="P94">
        <v>45000</v>
      </c>
      <c r="Q94">
        <v>5000</v>
      </c>
      <c r="R94">
        <v>1</v>
      </c>
      <c r="S94">
        <v>1</v>
      </c>
      <c r="T94">
        <v>1</v>
      </c>
      <c r="U94">
        <v>0</v>
      </c>
      <c r="V94">
        <v>0</v>
      </c>
      <c r="W94" s="3">
        <v>40000</v>
      </c>
      <c r="X94">
        <v>1</v>
      </c>
      <c r="Y94">
        <v>45000</v>
      </c>
    </row>
    <row r="95" spans="1:25" x14ac:dyDescent="0.3">
      <c r="A95" s="3">
        <v>100000</v>
      </c>
      <c r="B95">
        <v>1</v>
      </c>
      <c r="C95">
        <v>0</v>
      </c>
      <c r="D95">
        <v>25</v>
      </c>
      <c r="E95">
        <v>0</v>
      </c>
      <c r="F95">
        <v>0</v>
      </c>
      <c r="G95">
        <v>0</v>
      </c>
      <c r="H95">
        <v>0</v>
      </c>
      <c r="I95">
        <v>1</v>
      </c>
      <c r="J95">
        <v>1</v>
      </c>
      <c r="K95">
        <v>0</v>
      </c>
      <c r="L95">
        <v>0</v>
      </c>
      <c r="M95">
        <v>1</v>
      </c>
      <c r="N95">
        <v>1</v>
      </c>
      <c r="O95">
        <v>1</v>
      </c>
      <c r="P95">
        <v>60000</v>
      </c>
      <c r="Q95">
        <v>2000</v>
      </c>
      <c r="R95">
        <v>1</v>
      </c>
      <c r="S95">
        <v>0</v>
      </c>
      <c r="T95">
        <v>1</v>
      </c>
      <c r="U95">
        <v>0</v>
      </c>
      <c r="V95">
        <v>24000</v>
      </c>
      <c r="W95" s="3">
        <v>84158.415840000001</v>
      </c>
      <c r="X95">
        <v>0</v>
      </c>
      <c r="Y95">
        <v>60000</v>
      </c>
    </row>
    <row r="96" spans="1:25" x14ac:dyDescent="0.3">
      <c r="A96" s="3">
        <v>100000</v>
      </c>
      <c r="B96">
        <v>0</v>
      </c>
      <c r="C96">
        <v>0</v>
      </c>
      <c r="D96">
        <v>25</v>
      </c>
      <c r="E96">
        <v>0</v>
      </c>
      <c r="F96">
        <v>0</v>
      </c>
      <c r="G96">
        <v>0</v>
      </c>
      <c r="H96">
        <v>0</v>
      </c>
      <c r="I96">
        <v>1</v>
      </c>
      <c r="J96">
        <v>1</v>
      </c>
      <c r="K96">
        <v>0</v>
      </c>
      <c r="L96">
        <v>0</v>
      </c>
      <c r="M96">
        <v>1</v>
      </c>
      <c r="N96">
        <v>1</v>
      </c>
      <c r="O96">
        <v>1</v>
      </c>
      <c r="P96" s="3">
        <v>15000</v>
      </c>
      <c r="Q96">
        <v>2600</v>
      </c>
      <c r="R96">
        <v>1</v>
      </c>
      <c r="S96">
        <v>1</v>
      </c>
      <c r="T96">
        <v>1</v>
      </c>
      <c r="U96">
        <v>0</v>
      </c>
      <c r="V96">
        <v>0</v>
      </c>
      <c r="W96" s="3">
        <v>81102.362200000003</v>
      </c>
      <c r="X96">
        <v>0</v>
      </c>
      <c r="Y96">
        <v>15000</v>
      </c>
    </row>
    <row r="97" spans="1:25" x14ac:dyDescent="0.3">
      <c r="A97" s="3">
        <v>60000</v>
      </c>
      <c r="B97">
        <v>0</v>
      </c>
      <c r="C97">
        <v>0</v>
      </c>
      <c r="D97">
        <v>15</v>
      </c>
      <c r="E97">
        <v>0</v>
      </c>
      <c r="F97">
        <v>0</v>
      </c>
      <c r="G97">
        <v>0</v>
      </c>
      <c r="H97">
        <v>0</v>
      </c>
      <c r="I97">
        <v>0</v>
      </c>
      <c r="J97">
        <v>1</v>
      </c>
      <c r="K97">
        <v>0</v>
      </c>
      <c r="L97">
        <v>1</v>
      </c>
      <c r="M97">
        <v>1</v>
      </c>
      <c r="N97">
        <v>1</v>
      </c>
      <c r="O97">
        <v>1</v>
      </c>
      <c r="P97" s="3">
        <v>16000</v>
      </c>
      <c r="Q97">
        <v>2000</v>
      </c>
      <c r="R97">
        <v>1</v>
      </c>
      <c r="S97">
        <v>1</v>
      </c>
      <c r="T97">
        <v>1</v>
      </c>
      <c r="U97">
        <v>0</v>
      </c>
      <c r="V97">
        <v>12500</v>
      </c>
      <c r="W97" s="3">
        <v>55000</v>
      </c>
      <c r="X97">
        <v>0</v>
      </c>
      <c r="Y97">
        <v>16000</v>
      </c>
    </row>
    <row r="98" spans="1:25" x14ac:dyDescent="0.3">
      <c r="A98" s="3">
        <v>100000</v>
      </c>
      <c r="B98">
        <v>0</v>
      </c>
      <c r="C98">
        <v>0</v>
      </c>
      <c r="D98">
        <v>15</v>
      </c>
      <c r="E98">
        <v>0</v>
      </c>
      <c r="F98">
        <v>0</v>
      </c>
      <c r="G98">
        <v>0</v>
      </c>
      <c r="H98">
        <v>0</v>
      </c>
      <c r="I98">
        <v>0</v>
      </c>
      <c r="J98">
        <v>1</v>
      </c>
      <c r="K98">
        <v>0</v>
      </c>
      <c r="L98">
        <v>0</v>
      </c>
      <c r="M98">
        <v>1</v>
      </c>
      <c r="N98">
        <v>1</v>
      </c>
      <c r="O98">
        <v>1</v>
      </c>
      <c r="P98" s="3">
        <v>30000</v>
      </c>
      <c r="Q98">
        <v>4000</v>
      </c>
      <c r="R98">
        <v>1</v>
      </c>
      <c r="S98">
        <v>0</v>
      </c>
      <c r="T98">
        <v>1</v>
      </c>
      <c r="U98">
        <v>0</v>
      </c>
      <c r="V98">
        <v>0</v>
      </c>
      <c r="W98" s="3">
        <v>41500</v>
      </c>
      <c r="X98">
        <v>0</v>
      </c>
      <c r="Y98">
        <v>30000</v>
      </c>
    </row>
    <row r="99" spans="1:25" x14ac:dyDescent="0.3">
      <c r="A99" s="3">
        <v>0</v>
      </c>
      <c r="B99">
        <v>1</v>
      </c>
      <c r="C99">
        <v>0</v>
      </c>
      <c r="D99">
        <v>20</v>
      </c>
      <c r="E99">
        <v>0</v>
      </c>
      <c r="F99">
        <v>0</v>
      </c>
      <c r="G99">
        <v>0</v>
      </c>
      <c r="H99">
        <v>0</v>
      </c>
      <c r="I99">
        <v>0</v>
      </c>
      <c r="J99">
        <v>1</v>
      </c>
      <c r="K99">
        <v>0</v>
      </c>
      <c r="L99">
        <v>0</v>
      </c>
      <c r="M99">
        <v>1</v>
      </c>
      <c r="N99">
        <v>1</v>
      </c>
      <c r="O99">
        <v>1</v>
      </c>
      <c r="P99">
        <v>30000</v>
      </c>
      <c r="Q99">
        <v>4000</v>
      </c>
      <c r="R99">
        <v>1</v>
      </c>
      <c r="S99">
        <v>0</v>
      </c>
      <c r="T99">
        <v>1</v>
      </c>
      <c r="U99">
        <v>0</v>
      </c>
      <c r="V99">
        <v>60000</v>
      </c>
      <c r="W99" s="3">
        <v>40000</v>
      </c>
      <c r="X99">
        <v>0</v>
      </c>
      <c r="Y99">
        <v>30000</v>
      </c>
    </row>
    <row r="100" spans="1:25" x14ac:dyDescent="0.3">
      <c r="A100" s="3">
        <v>200000</v>
      </c>
      <c r="B100">
        <v>0</v>
      </c>
      <c r="C100">
        <v>0</v>
      </c>
      <c r="D100">
        <v>25</v>
      </c>
      <c r="E100">
        <v>1</v>
      </c>
      <c r="F100">
        <v>0</v>
      </c>
      <c r="G100">
        <v>0</v>
      </c>
      <c r="H100">
        <v>0</v>
      </c>
      <c r="I100">
        <v>0</v>
      </c>
      <c r="J100">
        <v>0</v>
      </c>
      <c r="K100">
        <v>0</v>
      </c>
      <c r="L100">
        <v>0</v>
      </c>
      <c r="M100">
        <v>1</v>
      </c>
      <c r="N100">
        <v>1</v>
      </c>
      <c r="O100">
        <v>1</v>
      </c>
      <c r="P100" s="3">
        <v>40000</v>
      </c>
      <c r="Q100">
        <v>12000</v>
      </c>
      <c r="R100">
        <v>1</v>
      </c>
      <c r="S100">
        <v>1</v>
      </c>
      <c r="T100">
        <v>1</v>
      </c>
      <c r="U100">
        <v>0</v>
      </c>
      <c r="V100">
        <v>95000</v>
      </c>
      <c r="W100" s="3">
        <v>75000</v>
      </c>
      <c r="X100">
        <v>0</v>
      </c>
      <c r="Y100">
        <v>40000</v>
      </c>
    </row>
    <row r="101" spans="1:25" x14ac:dyDescent="0.3">
      <c r="A101" s="3">
        <v>0</v>
      </c>
      <c r="B101">
        <v>1</v>
      </c>
      <c r="C101">
        <v>0</v>
      </c>
      <c r="D101">
        <v>10</v>
      </c>
      <c r="E101">
        <v>0</v>
      </c>
      <c r="F101">
        <v>0</v>
      </c>
      <c r="G101">
        <v>0</v>
      </c>
      <c r="H101">
        <v>0</v>
      </c>
      <c r="I101">
        <v>1</v>
      </c>
      <c r="J101">
        <v>1</v>
      </c>
      <c r="K101">
        <v>0</v>
      </c>
      <c r="L101">
        <v>0</v>
      </c>
      <c r="M101">
        <v>1</v>
      </c>
      <c r="N101">
        <v>0</v>
      </c>
      <c r="O101">
        <v>0</v>
      </c>
      <c r="P101">
        <v>25000</v>
      </c>
      <c r="Q101">
        <v>1500</v>
      </c>
      <c r="R101">
        <v>1</v>
      </c>
      <c r="S101">
        <v>1</v>
      </c>
      <c r="T101">
        <v>1</v>
      </c>
      <c r="U101">
        <v>1</v>
      </c>
      <c r="V101">
        <v>0</v>
      </c>
      <c r="W101" s="3">
        <v>90909.090909999999</v>
      </c>
      <c r="X101">
        <v>0</v>
      </c>
      <c r="Y101">
        <v>25000</v>
      </c>
    </row>
    <row r="102" spans="1:25" x14ac:dyDescent="0.3">
      <c r="A102" s="3">
        <v>160000</v>
      </c>
      <c r="B102">
        <v>1</v>
      </c>
      <c r="C102">
        <v>0</v>
      </c>
      <c r="D102">
        <v>25</v>
      </c>
      <c r="E102">
        <v>1</v>
      </c>
      <c r="F102">
        <v>0</v>
      </c>
      <c r="G102">
        <v>0</v>
      </c>
      <c r="H102">
        <v>0</v>
      </c>
      <c r="I102">
        <v>1</v>
      </c>
      <c r="J102">
        <v>0</v>
      </c>
      <c r="K102">
        <v>0</v>
      </c>
      <c r="L102">
        <v>1</v>
      </c>
      <c r="M102">
        <v>1</v>
      </c>
      <c r="N102">
        <v>1</v>
      </c>
      <c r="O102">
        <v>0</v>
      </c>
      <c r="P102">
        <v>30000</v>
      </c>
      <c r="Q102">
        <v>1500</v>
      </c>
      <c r="R102">
        <v>1</v>
      </c>
      <c r="S102">
        <v>1</v>
      </c>
      <c r="T102">
        <v>1</v>
      </c>
      <c r="U102">
        <v>0</v>
      </c>
      <c r="V102">
        <v>43000</v>
      </c>
      <c r="W102" s="3">
        <v>13043.47826</v>
      </c>
      <c r="X102">
        <v>0</v>
      </c>
      <c r="Y102">
        <v>30000</v>
      </c>
    </row>
    <row r="103" spans="1:25" x14ac:dyDescent="0.3">
      <c r="A103" s="3">
        <v>200000</v>
      </c>
      <c r="B103">
        <v>0</v>
      </c>
      <c r="C103">
        <v>0</v>
      </c>
      <c r="D103">
        <v>20</v>
      </c>
      <c r="E103">
        <v>0</v>
      </c>
      <c r="F103">
        <v>0</v>
      </c>
      <c r="G103">
        <v>0</v>
      </c>
      <c r="H103">
        <v>0</v>
      </c>
      <c r="I103">
        <v>1</v>
      </c>
      <c r="J103">
        <v>0</v>
      </c>
      <c r="K103">
        <v>1</v>
      </c>
      <c r="L103">
        <v>1</v>
      </c>
      <c r="M103">
        <v>1</v>
      </c>
      <c r="N103">
        <v>1</v>
      </c>
      <c r="O103">
        <v>1</v>
      </c>
      <c r="P103" s="3">
        <v>38000</v>
      </c>
      <c r="Q103">
        <v>5000</v>
      </c>
      <c r="R103">
        <v>1</v>
      </c>
      <c r="S103">
        <v>1</v>
      </c>
      <c r="T103">
        <v>1</v>
      </c>
      <c r="U103">
        <v>0</v>
      </c>
      <c r="V103">
        <v>16000</v>
      </c>
      <c r="W103" s="3">
        <v>59090.909090000001</v>
      </c>
      <c r="X103">
        <v>0</v>
      </c>
      <c r="Y103">
        <v>38000</v>
      </c>
    </row>
    <row r="104" spans="1:25" x14ac:dyDescent="0.3">
      <c r="A104" s="3">
        <v>100000</v>
      </c>
      <c r="B104">
        <v>0</v>
      </c>
      <c r="C104">
        <v>0</v>
      </c>
      <c r="D104">
        <v>20</v>
      </c>
      <c r="E104">
        <v>0</v>
      </c>
      <c r="F104">
        <v>0</v>
      </c>
      <c r="G104">
        <v>0</v>
      </c>
      <c r="H104">
        <v>0</v>
      </c>
      <c r="I104">
        <v>0</v>
      </c>
      <c r="J104">
        <v>0</v>
      </c>
      <c r="K104">
        <v>0</v>
      </c>
      <c r="L104">
        <v>1</v>
      </c>
      <c r="M104">
        <v>0</v>
      </c>
      <c r="N104">
        <v>0</v>
      </c>
      <c r="O104">
        <v>1</v>
      </c>
      <c r="P104" s="3">
        <v>30000</v>
      </c>
      <c r="Q104">
        <v>2000</v>
      </c>
      <c r="R104">
        <v>1</v>
      </c>
      <c r="S104">
        <v>1</v>
      </c>
      <c r="T104">
        <v>1</v>
      </c>
      <c r="U104">
        <v>0</v>
      </c>
      <c r="V104">
        <v>0</v>
      </c>
      <c r="W104" s="3">
        <v>86666.666670000006</v>
      </c>
      <c r="X104">
        <v>0</v>
      </c>
      <c r="Y104">
        <v>30000</v>
      </c>
    </row>
    <row r="105" spans="1:25" x14ac:dyDescent="0.3">
      <c r="A105" s="3">
        <v>0</v>
      </c>
      <c r="B105">
        <v>1</v>
      </c>
      <c r="C105">
        <v>0</v>
      </c>
      <c r="D105">
        <v>30</v>
      </c>
      <c r="E105">
        <v>0</v>
      </c>
      <c r="F105">
        <v>0</v>
      </c>
      <c r="G105">
        <v>0</v>
      </c>
      <c r="H105">
        <v>0</v>
      </c>
      <c r="I105">
        <v>0</v>
      </c>
      <c r="J105">
        <v>0</v>
      </c>
      <c r="K105">
        <v>0</v>
      </c>
      <c r="L105">
        <v>1</v>
      </c>
      <c r="M105">
        <v>1</v>
      </c>
      <c r="N105">
        <v>0</v>
      </c>
      <c r="O105">
        <v>1</v>
      </c>
      <c r="P105">
        <v>40000</v>
      </c>
      <c r="Q105">
        <v>6000</v>
      </c>
      <c r="R105">
        <v>1</v>
      </c>
      <c r="S105">
        <v>1</v>
      </c>
      <c r="T105">
        <v>1</v>
      </c>
      <c r="U105">
        <v>0</v>
      </c>
      <c r="V105">
        <v>18000</v>
      </c>
      <c r="W105" s="3">
        <v>100000</v>
      </c>
      <c r="X105">
        <v>0</v>
      </c>
      <c r="Y105">
        <v>40000</v>
      </c>
    </row>
    <row r="106" spans="1:25" x14ac:dyDescent="0.3">
      <c r="A106" s="3">
        <v>0</v>
      </c>
      <c r="B106">
        <v>1</v>
      </c>
      <c r="C106">
        <v>0</v>
      </c>
      <c r="D106">
        <v>20</v>
      </c>
      <c r="E106">
        <v>0</v>
      </c>
      <c r="F106">
        <v>0</v>
      </c>
      <c r="G106">
        <v>0</v>
      </c>
      <c r="H106">
        <v>0</v>
      </c>
      <c r="I106">
        <v>0</v>
      </c>
      <c r="J106">
        <v>0</v>
      </c>
      <c r="K106">
        <v>0</v>
      </c>
      <c r="L106">
        <v>1</v>
      </c>
      <c r="M106">
        <v>1</v>
      </c>
      <c r="N106">
        <v>1</v>
      </c>
      <c r="O106">
        <v>0</v>
      </c>
      <c r="P106">
        <v>0</v>
      </c>
      <c r="Q106">
        <v>6000</v>
      </c>
      <c r="R106">
        <v>1</v>
      </c>
      <c r="S106">
        <v>1</v>
      </c>
      <c r="T106">
        <v>1</v>
      </c>
      <c r="U106">
        <v>0</v>
      </c>
      <c r="V106">
        <v>0</v>
      </c>
      <c r="W106" s="3">
        <v>31250</v>
      </c>
      <c r="X106">
        <v>0</v>
      </c>
      <c r="Y106">
        <v>0</v>
      </c>
    </row>
    <row r="107" spans="1:25" x14ac:dyDescent="0.3">
      <c r="A107" s="3">
        <v>0</v>
      </c>
      <c r="B107">
        <v>1</v>
      </c>
      <c r="C107">
        <v>0</v>
      </c>
      <c r="D107">
        <v>30</v>
      </c>
      <c r="E107">
        <v>0</v>
      </c>
      <c r="F107">
        <v>0</v>
      </c>
      <c r="G107">
        <v>0</v>
      </c>
      <c r="H107">
        <v>0</v>
      </c>
      <c r="I107">
        <v>0</v>
      </c>
      <c r="J107">
        <v>1</v>
      </c>
      <c r="K107">
        <v>0</v>
      </c>
      <c r="L107">
        <v>0</v>
      </c>
      <c r="M107">
        <v>1</v>
      </c>
      <c r="N107">
        <v>1</v>
      </c>
      <c r="O107">
        <v>1</v>
      </c>
      <c r="P107">
        <v>30000</v>
      </c>
      <c r="Q107">
        <v>3000</v>
      </c>
      <c r="R107">
        <v>1</v>
      </c>
      <c r="S107">
        <v>1</v>
      </c>
      <c r="T107">
        <v>1</v>
      </c>
      <c r="U107">
        <v>1</v>
      </c>
      <c r="V107">
        <v>0</v>
      </c>
      <c r="W107" s="3">
        <v>98800</v>
      </c>
      <c r="X107">
        <v>0</v>
      </c>
      <c r="Y107">
        <v>30000</v>
      </c>
    </row>
    <row r="108" spans="1:25" x14ac:dyDescent="0.3">
      <c r="A108" s="3">
        <v>0</v>
      </c>
      <c r="B108">
        <v>1</v>
      </c>
      <c r="C108">
        <v>0</v>
      </c>
      <c r="D108">
        <v>30</v>
      </c>
      <c r="E108">
        <v>0</v>
      </c>
      <c r="F108">
        <v>0</v>
      </c>
      <c r="G108">
        <v>0</v>
      </c>
      <c r="H108">
        <v>0</v>
      </c>
      <c r="I108">
        <v>0</v>
      </c>
      <c r="J108">
        <v>1</v>
      </c>
      <c r="K108">
        <v>0</v>
      </c>
      <c r="L108">
        <v>0</v>
      </c>
      <c r="M108">
        <v>1</v>
      </c>
      <c r="N108">
        <v>0</v>
      </c>
      <c r="O108">
        <v>1</v>
      </c>
      <c r="P108">
        <v>30000</v>
      </c>
      <c r="Q108">
        <v>2000</v>
      </c>
      <c r="R108">
        <v>1</v>
      </c>
      <c r="S108">
        <v>1</v>
      </c>
      <c r="T108">
        <v>1</v>
      </c>
      <c r="U108">
        <v>0</v>
      </c>
      <c r="V108">
        <v>0</v>
      </c>
      <c r="W108" s="3">
        <v>79454.545450000005</v>
      </c>
      <c r="X108">
        <v>0</v>
      </c>
      <c r="Y108">
        <v>30000</v>
      </c>
    </row>
    <row r="109" spans="1:25" x14ac:dyDescent="0.3">
      <c r="A109" s="3">
        <v>0</v>
      </c>
      <c r="B109">
        <v>1</v>
      </c>
      <c r="C109">
        <v>0</v>
      </c>
      <c r="D109">
        <v>40</v>
      </c>
      <c r="E109">
        <v>0</v>
      </c>
      <c r="F109">
        <v>0</v>
      </c>
      <c r="G109">
        <v>0</v>
      </c>
      <c r="H109">
        <v>0</v>
      </c>
      <c r="I109">
        <v>0</v>
      </c>
      <c r="J109">
        <v>0</v>
      </c>
      <c r="K109">
        <v>1</v>
      </c>
      <c r="L109">
        <v>1</v>
      </c>
      <c r="M109">
        <v>1</v>
      </c>
      <c r="N109">
        <v>0</v>
      </c>
      <c r="O109">
        <v>0</v>
      </c>
      <c r="P109">
        <v>20000</v>
      </c>
      <c r="Q109">
        <v>4000</v>
      </c>
      <c r="R109">
        <v>1</v>
      </c>
      <c r="S109">
        <v>1</v>
      </c>
      <c r="T109">
        <v>1</v>
      </c>
      <c r="U109">
        <v>0</v>
      </c>
      <c r="V109">
        <v>65000</v>
      </c>
      <c r="W109" s="3">
        <v>50000</v>
      </c>
      <c r="X109">
        <v>0</v>
      </c>
      <c r="Y109">
        <v>20000</v>
      </c>
    </row>
    <row r="110" spans="1:25" x14ac:dyDescent="0.3">
      <c r="A110" s="3">
        <v>0</v>
      </c>
      <c r="B110">
        <v>1</v>
      </c>
      <c r="C110">
        <v>0</v>
      </c>
      <c r="D110">
        <v>30</v>
      </c>
      <c r="E110">
        <v>0</v>
      </c>
      <c r="F110">
        <v>1</v>
      </c>
      <c r="G110">
        <v>0</v>
      </c>
      <c r="H110">
        <v>0</v>
      </c>
      <c r="I110">
        <v>0</v>
      </c>
      <c r="J110">
        <v>0</v>
      </c>
      <c r="K110">
        <v>0</v>
      </c>
      <c r="L110">
        <v>0</v>
      </c>
      <c r="M110">
        <v>0</v>
      </c>
      <c r="N110">
        <v>1</v>
      </c>
      <c r="O110">
        <v>0</v>
      </c>
      <c r="P110">
        <v>11200</v>
      </c>
      <c r="Q110">
        <v>4000</v>
      </c>
      <c r="R110">
        <v>1</v>
      </c>
      <c r="S110">
        <v>1</v>
      </c>
      <c r="T110">
        <v>1</v>
      </c>
      <c r="U110">
        <v>0</v>
      </c>
      <c r="V110">
        <v>12000</v>
      </c>
      <c r="W110" s="3">
        <v>16279.06977</v>
      </c>
      <c r="X110">
        <v>0</v>
      </c>
      <c r="Y110">
        <v>11200</v>
      </c>
    </row>
    <row r="111" spans="1:25" x14ac:dyDescent="0.3">
      <c r="A111" s="3">
        <v>20000</v>
      </c>
      <c r="B111">
        <v>1</v>
      </c>
      <c r="C111">
        <v>0</v>
      </c>
      <c r="D111">
        <v>0</v>
      </c>
      <c r="E111">
        <v>0</v>
      </c>
      <c r="F111">
        <v>0</v>
      </c>
      <c r="G111">
        <v>0</v>
      </c>
      <c r="H111">
        <v>0</v>
      </c>
      <c r="I111">
        <v>0</v>
      </c>
      <c r="J111">
        <v>0</v>
      </c>
      <c r="K111">
        <v>0</v>
      </c>
      <c r="L111">
        <v>1</v>
      </c>
      <c r="M111">
        <v>1</v>
      </c>
      <c r="N111">
        <v>1</v>
      </c>
      <c r="O111">
        <v>0</v>
      </c>
      <c r="P111">
        <v>60000</v>
      </c>
      <c r="Q111">
        <v>2500</v>
      </c>
      <c r="R111">
        <v>1</v>
      </c>
      <c r="S111">
        <v>1</v>
      </c>
      <c r="T111">
        <v>1</v>
      </c>
      <c r="U111">
        <v>0</v>
      </c>
      <c r="V111">
        <v>0</v>
      </c>
      <c r="W111" s="3">
        <v>83333.333329999994</v>
      </c>
      <c r="X111">
        <v>0</v>
      </c>
      <c r="Y111">
        <v>60000</v>
      </c>
    </row>
    <row r="112" spans="1:25" x14ac:dyDescent="0.3">
      <c r="A112" s="3">
        <v>100000</v>
      </c>
      <c r="B112">
        <v>0</v>
      </c>
      <c r="C112">
        <v>0</v>
      </c>
      <c r="D112">
        <v>20</v>
      </c>
      <c r="E112">
        <v>0</v>
      </c>
      <c r="F112">
        <v>0</v>
      </c>
      <c r="G112">
        <v>0</v>
      </c>
      <c r="H112">
        <v>0</v>
      </c>
      <c r="I112">
        <v>0</v>
      </c>
      <c r="J112">
        <v>0</v>
      </c>
      <c r="K112">
        <v>1</v>
      </c>
      <c r="L112">
        <v>1</v>
      </c>
      <c r="M112">
        <v>0</v>
      </c>
      <c r="N112">
        <v>0</v>
      </c>
      <c r="O112">
        <v>1</v>
      </c>
      <c r="P112" s="3">
        <v>30000</v>
      </c>
      <c r="Q112">
        <v>2000</v>
      </c>
      <c r="R112">
        <v>1</v>
      </c>
      <c r="S112">
        <v>1</v>
      </c>
      <c r="T112">
        <v>1</v>
      </c>
      <c r="U112">
        <v>0</v>
      </c>
      <c r="V112">
        <v>0</v>
      </c>
      <c r="W112" s="3">
        <v>99200</v>
      </c>
      <c r="X112">
        <v>0</v>
      </c>
      <c r="Y112">
        <v>30000</v>
      </c>
    </row>
    <row r="113" spans="1:25" x14ac:dyDescent="0.3">
      <c r="A113" s="3">
        <v>160000</v>
      </c>
      <c r="B113">
        <v>0</v>
      </c>
      <c r="C113">
        <v>0</v>
      </c>
      <c r="D113">
        <v>40</v>
      </c>
      <c r="E113">
        <v>0</v>
      </c>
      <c r="F113">
        <v>0</v>
      </c>
      <c r="G113">
        <v>0</v>
      </c>
      <c r="H113">
        <v>0</v>
      </c>
      <c r="I113">
        <v>0</v>
      </c>
      <c r="J113">
        <v>0</v>
      </c>
      <c r="K113">
        <v>1</v>
      </c>
      <c r="L113">
        <v>0</v>
      </c>
      <c r="M113">
        <v>0</v>
      </c>
      <c r="N113">
        <v>0</v>
      </c>
      <c r="O113">
        <v>1</v>
      </c>
      <c r="P113" s="3">
        <v>50000</v>
      </c>
      <c r="Q113">
        <v>3000</v>
      </c>
      <c r="R113">
        <v>1</v>
      </c>
      <c r="S113">
        <v>0</v>
      </c>
      <c r="T113">
        <v>1</v>
      </c>
      <c r="U113">
        <v>0</v>
      </c>
      <c r="V113">
        <v>12000</v>
      </c>
      <c r="W113" s="3">
        <v>23529.411759999999</v>
      </c>
      <c r="X113">
        <v>0</v>
      </c>
      <c r="Y113">
        <v>50000</v>
      </c>
    </row>
    <row r="114" spans="1:25" x14ac:dyDescent="0.3">
      <c r="A114" s="3">
        <v>0</v>
      </c>
      <c r="B114">
        <v>1</v>
      </c>
      <c r="C114">
        <v>0</v>
      </c>
      <c r="D114">
        <v>25</v>
      </c>
      <c r="E114">
        <v>0</v>
      </c>
      <c r="F114">
        <v>0</v>
      </c>
      <c r="G114">
        <v>0</v>
      </c>
      <c r="H114">
        <v>0</v>
      </c>
      <c r="I114">
        <v>0</v>
      </c>
      <c r="J114">
        <v>0</v>
      </c>
      <c r="K114">
        <v>0</v>
      </c>
      <c r="L114">
        <v>1</v>
      </c>
      <c r="M114">
        <v>1</v>
      </c>
      <c r="N114">
        <v>1</v>
      </c>
      <c r="O114">
        <v>0</v>
      </c>
      <c r="P114">
        <v>20000</v>
      </c>
      <c r="Q114">
        <v>10000</v>
      </c>
      <c r="R114">
        <v>1</v>
      </c>
      <c r="S114">
        <v>1</v>
      </c>
      <c r="T114">
        <v>1</v>
      </c>
      <c r="U114">
        <v>0</v>
      </c>
      <c r="V114">
        <v>90000</v>
      </c>
      <c r="W114" s="3">
        <v>50000</v>
      </c>
      <c r="X114">
        <v>0</v>
      </c>
      <c r="Y114">
        <v>20000</v>
      </c>
    </row>
    <row r="115" spans="1:25" x14ac:dyDescent="0.3">
      <c r="A115" s="3">
        <v>0</v>
      </c>
      <c r="B115">
        <v>1</v>
      </c>
      <c r="C115">
        <v>0</v>
      </c>
      <c r="D115">
        <v>20</v>
      </c>
      <c r="E115">
        <v>0</v>
      </c>
      <c r="F115">
        <v>0</v>
      </c>
      <c r="G115">
        <v>0</v>
      </c>
      <c r="H115">
        <v>0</v>
      </c>
      <c r="I115">
        <v>0</v>
      </c>
      <c r="J115">
        <v>0</v>
      </c>
      <c r="K115">
        <v>0</v>
      </c>
      <c r="L115">
        <v>0</v>
      </c>
      <c r="M115">
        <v>1</v>
      </c>
      <c r="N115">
        <v>0</v>
      </c>
      <c r="O115">
        <v>1</v>
      </c>
      <c r="P115">
        <v>30000</v>
      </c>
      <c r="Q115">
        <v>1000</v>
      </c>
      <c r="R115">
        <v>1</v>
      </c>
      <c r="S115">
        <v>1</v>
      </c>
      <c r="T115">
        <v>1</v>
      </c>
      <c r="U115">
        <v>0</v>
      </c>
      <c r="V115">
        <v>35000</v>
      </c>
      <c r="W115" s="3">
        <v>10000</v>
      </c>
      <c r="X115">
        <v>0</v>
      </c>
      <c r="Y115">
        <v>30000</v>
      </c>
    </row>
    <row r="116" spans="1:25" x14ac:dyDescent="0.3">
      <c r="A116" s="3">
        <v>0</v>
      </c>
      <c r="B116">
        <v>1</v>
      </c>
      <c r="C116">
        <v>0</v>
      </c>
      <c r="D116">
        <v>12</v>
      </c>
      <c r="E116">
        <v>0</v>
      </c>
      <c r="F116">
        <v>0</v>
      </c>
      <c r="G116">
        <v>0</v>
      </c>
      <c r="H116">
        <v>0</v>
      </c>
      <c r="I116">
        <v>0</v>
      </c>
      <c r="J116">
        <v>0</v>
      </c>
      <c r="K116">
        <v>0</v>
      </c>
      <c r="L116">
        <v>0</v>
      </c>
      <c r="M116">
        <v>0</v>
      </c>
      <c r="N116">
        <v>0</v>
      </c>
      <c r="O116">
        <v>1</v>
      </c>
      <c r="P116">
        <v>38000</v>
      </c>
      <c r="Q116">
        <v>2000</v>
      </c>
      <c r="R116">
        <v>1</v>
      </c>
      <c r="S116">
        <v>1</v>
      </c>
      <c r="T116">
        <v>1</v>
      </c>
      <c r="U116">
        <v>0</v>
      </c>
      <c r="V116">
        <v>0</v>
      </c>
      <c r="W116" s="3">
        <v>4347.8260870000004</v>
      </c>
      <c r="X116">
        <v>0</v>
      </c>
      <c r="Y116">
        <v>38000</v>
      </c>
    </row>
    <row r="117" spans="1:25" x14ac:dyDescent="0.3">
      <c r="A117" s="3">
        <v>0</v>
      </c>
      <c r="B117">
        <v>1</v>
      </c>
      <c r="C117">
        <v>0</v>
      </c>
      <c r="D117">
        <v>15</v>
      </c>
      <c r="E117">
        <v>0</v>
      </c>
      <c r="F117">
        <v>0</v>
      </c>
      <c r="G117">
        <v>0</v>
      </c>
      <c r="H117">
        <v>0</v>
      </c>
      <c r="I117">
        <v>0</v>
      </c>
      <c r="J117">
        <v>0</v>
      </c>
      <c r="K117">
        <v>0</v>
      </c>
      <c r="L117">
        <v>1</v>
      </c>
      <c r="M117">
        <v>1</v>
      </c>
      <c r="N117">
        <v>1</v>
      </c>
      <c r="O117">
        <v>0</v>
      </c>
      <c r="P117" s="2">
        <v>100000</v>
      </c>
      <c r="Q117">
        <v>6000</v>
      </c>
      <c r="R117">
        <v>1</v>
      </c>
      <c r="S117">
        <v>1</v>
      </c>
      <c r="T117">
        <v>1</v>
      </c>
      <c r="U117">
        <v>0</v>
      </c>
      <c r="V117">
        <v>15000</v>
      </c>
      <c r="W117" s="3">
        <v>50000</v>
      </c>
      <c r="X117">
        <v>0</v>
      </c>
      <c r="Y117" s="2">
        <v>100000</v>
      </c>
    </row>
    <row r="118" spans="1:25" x14ac:dyDescent="0.3">
      <c r="A118" s="3">
        <v>0</v>
      </c>
      <c r="B118">
        <v>1</v>
      </c>
      <c r="C118">
        <v>0</v>
      </c>
      <c r="D118">
        <v>2</v>
      </c>
      <c r="E118">
        <v>0</v>
      </c>
      <c r="F118">
        <v>0</v>
      </c>
      <c r="G118">
        <v>0</v>
      </c>
      <c r="H118">
        <v>0</v>
      </c>
      <c r="I118">
        <v>0</v>
      </c>
      <c r="J118">
        <v>0</v>
      </c>
      <c r="K118">
        <v>0</v>
      </c>
      <c r="L118">
        <v>1</v>
      </c>
      <c r="M118">
        <v>0</v>
      </c>
      <c r="N118">
        <v>0</v>
      </c>
      <c r="O118">
        <v>0</v>
      </c>
      <c r="P118">
        <v>18000</v>
      </c>
      <c r="Q118">
        <v>1500</v>
      </c>
      <c r="R118">
        <v>1</v>
      </c>
      <c r="S118">
        <v>1</v>
      </c>
      <c r="T118">
        <v>1</v>
      </c>
      <c r="U118">
        <v>0</v>
      </c>
      <c r="V118">
        <v>0</v>
      </c>
      <c r="W118" s="3">
        <v>87500</v>
      </c>
      <c r="X118">
        <v>0</v>
      </c>
      <c r="Y118">
        <v>18000</v>
      </c>
    </row>
    <row r="119" spans="1:25" x14ac:dyDescent="0.3">
      <c r="A119" s="3">
        <v>0</v>
      </c>
      <c r="B119">
        <v>1</v>
      </c>
      <c r="C119">
        <v>0</v>
      </c>
      <c r="D119">
        <v>20</v>
      </c>
      <c r="E119">
        <v>0</v>
      </c>
      <c r="F119">
        <v>0</v>
      </c>
      <c r="G119">
        <v>0</v>
      </c>
      <c r="H119">
        <v>0</v>
      </c>
      <c r="I119">
        <v>0</v>
      </c>
      <c r="J119">
        <v>0</v>
      </c>
      <c r="K119">
        <v>0</v>
      </c>
      <c r="L119">
        <v>1</v>
      </c>
      <c r="M119">
        <v>1</v>
      </c>
      <c r="N119">
        <v>1</v>
      </c>
      <c r="O119">
        <v>1</v>
      </c>
      <c r="P119">
        <v>30000</v>
      </c>
      <c r="Q119">
        <v>600</v>
      </c>
      <c r="R119">
        <v>1</v>
      </c>
      <c r="S119">
        <v>1</v>
      </c>
      <c r="T119">
        <v>1</v>
      </c>
      <c r="U119">
        <v>0</v>
      </c>
      <c r="V119">
        <v>0</v>
      </c>
      <c r="W119" s="3">
        <v>68181.818180000002</v>
      </c>
      <c r="X119">
        <v>0</v>
      </c>
      <c r="Y119">
        <v>30000</v>
      </c>
    </row>
    <row r="120" spans="1:25" x14ac:dyDescent="0.3">
      <c r="A120" s="3">
        <v>0</v>
      </c>
      <c r="B120">
        <v>1</v>
      </c>
      <c r="C120">
        <v>0</v>
      </c>
      <c r="D120">
        <v>30</v>
      </c>
      <c r="E120">
        <v>0</v>
      </c>
      <c r="F120">
        <v>0</v>
      </c>
      <c r="G120">
        <v>0</v>
      </c>
      <c r="H120">
        <v>0</v>
      </c>
      <c r="I120">
        <v>0</v>
      </c>
      <c r="J120">
        <v>0</v>
      </c>
      <c r="K120">
        <v>0</v>
      </c>
      <c r="L120">
        <v>1</v>
      </c>
      <c r="M120">
        <v>0</v>
      </c>
      <c r="N120">
        <v>0</v>
      </c>
      <c r="O120">
        <v>1</v>
      </c>
      <c r="P120">
        <v>30000</v>
      </c>
      <c r="Q120">
        <v>2000</v>
      </c>
      <c r="R120">
        <v>0</v>
      </c>
      <c r="S120">
        <v>1</v>
      </c>
      <c r="T120">
        <v>1</v>
      </c>
      <c r="U120">
        <v>0</v>
      </c>
      <c r="V120">
        <v>85000</v>
      </c>
      <c r="W120" s="3">
        <v>19047.619050000001</v>
      </c>
      <c r="X120">
        <v>0</v>
      </c>
      <c r="Y120">
        <v>30000</v>
      </c>
    </row>
    <row r="121" spans="1:25" x14ac:dyDescent="0.3">
      <c r="A121" s="3">
        <v>80000</v>
      </c>
      <c r="B121">
        <v>0</v>
      </c>
      <c r="C121">
        <v>0</v>
      </c>
      <c r="D121">
        <v>30</v>
      </c>
      <c r="E121">
        <v>0</v>
      </c>
      <c r="F121">
        <v>0</v>
      </c>
      <c r="G121">
        <v>0</v>
      </c>
      <c r="H121">
        <v>0</v>
      </c>
      <c r="I121">
        <v>0</v>
      </c>
      <c r="J121">
        <v>0</v>
      </c>
      <c r="K121">
        <v>0</v>
      </c>
      <c r="L121">
        <v>1</v>
      </c>
      <c r="M121">
        <v>0</v>
      </c>
      <c r="N121">
        <v>0</v>
      </c>
      <c r="O121">
        <v>0</v>
      </c>
      <c r="P121" s="3">
        <v>15000</v>
      </c>
      <c r="Q121">
        <v>700</v>
      </c>
      <c r="R121">
        <v>1</v>
      </c>
      <c r="S121">
        <v>1</v>
      </c>
      <c r="T121">
        <v>1</v>
      </c>
      <c r="U121">
        <v>0</v>
      </c>
      <c r="V121">
        <v>30000</v>
      </c>
      <c r="W121" s="3">
        <v>104545.45450000001</v>
      </c>
      <c r="X121">
        <v>0</v>
      </c>
      <c r="Y121">
        <v>15000</v>
      </c>
    </row>
    <row r="122" spans="1:25" x14ac:dyDescent="0.3">
      <c r="A122" s="3">
        <v>0</v>
      </c>
      <c r="B122">
        <v>1</v>
      </c>
      <c r="C122">
        <v>0</v>
      </c>
      <c r="D122">
        <v>10</v>
      </c>
      <c r="E122">
        <v>0</v>
      </c>
      <c r="F122">
        <v>0</v>
      </c>
      <c r="G122">
        <v>0</v>
      </c>
      <c r="H122">
        <v>0</v>
      </c>
      <c r="I122">
        <v>1</v>
      </c>
      <c r="J122">
        <v>1</v>
      </c>
      <c r="K122">
        <v>0</v>
      </c>
      <c r="L122">
        <v>0</v>
      </c>
      <c r="M122">
        <v>1</v>
      </c>
      <c r="N122">
        <v>0</v>
      </c>
      <c r="O122">
        <v>0</v>
      </c>
      <c r="P122">
        <v>80000</v>
      </c>
      <c r="Q122">
        <v>1500</v>
      </c>
      <c r="R122">
        <v>1</v>
      </c>
      <c r="S122">
        <v>1</v>
      </c>
      <c r="T122">
        <v>1</v>
      </c>
      <c r="U122">
        <v>0</v>
      </c>
      <c r="V122">
        <v>0</v>
      </c>
      <c r="W122" s="3">
        <v>50000</v>
      </c>
      <c r="X122">
        <v>0</v>
      </c>
      <c r="Y122">
        <v>80000</v>
      </c>
    </row>
    <row r="123" spans="1:25" x14ac:dyDescent="0.3">
      <c r="A123" s="3">
        <v>200000</v>
      </c>
      <c r="B123">
        <v>1</v>
      </c>
      <c r="C123">
        <v>0</v>
      </c>
      <c r="D123">
        <v>0</v>
      </c>
      <c r="E123">
        <v>0</v>
      </c>
      <c r="F123">
        <v>0</v>
      </c>
      <c r="G123">
        <v>0</v>
      </c>
      <c r="H123">
        <v>0</v>
      </c>
      <c r="I123">
        <v>1</v>
      </c>
      <c r="J123">
        <v>1</v>
      </c>
      <c r="K123">
        <v>0</v>
      </c>
      <c r="L123">
        <v>0</v>
      </c>
      <c r="M123">
        <v>1</v>
      </c>
      <c r="N123">
        <v>0</v>
      </c>
      <c r="O123">
        <v>1</v>
      </c>
      <c r="P123">
        <v>45000</v>
      </c>
      <c r="Q123">
        <v>3000</v>
      </c>
      <c r="R123">
        <v>1</v>
      </c>
      <c r="S123">
        <v>1</v>
      </c>
      <c r="T123">
        <v>1</v>
      </c>
      <c r="U123">
        <v>0</v>
      </c>
      <c r="V123">
        <v>150000</v>
      </c>
      <c r="W123" s="3">
        <v>20930.23256</v>
      </c>
      <c r="X123">
        <v>0</v>
      </c>
      <c r="Y123">
        <v>45000</v>
      </c>
    </row>
    <row r="124" spans="1:25" x14ac:dyDescent="0.3">
      <c r="A124" s="3">
        <v>50000</v>
      </c>
      <c r="B124">
        <v>0</v>
      </c>
      <c r="C124">
        <v>0</v>
      </c>
      <c r="D124">
        <v>12</v>
      </c>
      <c r="E124">
        <v>0</v>
      </c>
      <c r="F124">
        <v>0</v>
      </c>
      <c r="G124">
        <v>0</v>
      </c>
      <c r="H124">
        <v>0</v>
      </c>
      <c r="I124">
        <v>1</v>
      </c>
      <c r="J124">
        <v>1</v>
      </c>
      <c r="K124">
        <v>0</v>
      </c>
      <c r="L124">
        <v>1</v>
      </c>
      <c r="M124">
        <v>1</v>
      </c>
      <c r="N124">
        <v>0</v>
      </c>
      <c r="O124">
        <v>1</v>
      </c>
      <c r="P124" s="3">
        <v>30000</v>
      </c>
      <c r="Q124">
        <v>6000</v>
      </c>
      <c r="R124">
        <v>1</v>
      </c>
      <c r="S124">
        <v>1</v>
      </c>
      <c r="T124">
        <v>1</v>
      </c>
      <c r="U124">
        <v>0</v>
      </c>
      <c r="V124">
        <v>35000</v>
      </c>
      <c r="W124" s="3">
        <v>30303.030299999999</v>
      </c>
      <c r="X124">
        <v>0</v>
      </c>
      <c r="Y124">
        <v>30000</v>
      </c>
    </row>
    <row r="125" spans="1:25" x14ac:dyDescent="0.3">
      <c r="A125" s="3">
        <v>0</v>
      </c>
      <c r="B125">
        <v>1</v>
      </c>
      <c r="C125">
        <v>0</v>
      </c>
      <c r="D125">
        <v>20</v>
      </c>
      <c r="E125">
        <v>0</v>
      </c>
      <c r="F125">
        <v>0</v>
      </c>
      <c r="G125">
        <v>0</v>
      </c>
      <c r="H125">
        <v>0</v>
      </c>
      <c r="I125">
        <v>0</v>
      </c>
      <c r="J125">
        <v>0</v>
      </c>
      <c r="K125">
        <v>0</v>
      </c>
      <c r="L125">
        <v>0</v>
      </c>
      <c r="M125">
        <v>1</v>
      </c>
      <c r="N125">
        <v>1</v>
      </c>
      <c r="O125">
        <v>1</v>
      </c>
      <c r="P125">
        <v>20000</v>
      </c>
      <c r="Q125">
        <v>1000</v>
      </c>
      <c r="R125">
        <v>1</v>
      </c>
      <c r="S125">
        <v>1</v>
      </c>
      <c r="T125">
        <v>1</v>
      </c>
      <c r="U125">
        <v>0</v>
      </c>
      <c r="V125">
        <v>0</v>
      </c>
      <c r="W125" s="3">
        <v>5714.2857139999996</v>
      </c>
      <c r="X125">
        <v>0</v>
      </c>
      <c r="Y125">
        <v>20000</v>
      </c>
    </row>
    <row r="126" spans="1:25" x14ac:dyDescent="0.3">
      <c r="A126" s="3">
        <v>0</v>
      </c>
      <c r="B126">
        <v>1</v>
      </c>
      <c r="C126">
        <v>0</v>
      </c>
      <c r="D126">
        <v>40</v>
      </c>
      <c r="E126">
        <v>0</v>
      </c>
      <c r="F126">
        <v>1</v>
      </c>
      <c r="G126">
        <v>0</v>
      </c>
      <c r="H126">
        <v>1</v>
      </c>
      <c r="I126">
        <v>1</v>
      </c>
      <c r="J126">
        <v>1</v>
      </c>
      <c r="K126">
        <v>0</v>
      </c>
      <c r="L126">
        <v>1</v>
      </c>
      <c r="M126">
        <v>1</v>
      </c>
      <c r="N126">
        <v>1</v>
      </c>
      <c r="O126">
        <v>1</v>
      </c>
      <c r="P126">
        <v>20000</v>
      </c>
      <c r="Q126">
        <v>2800</v>
      </c>
      <c r="R126">
        <v>1</v>
      </c>
      <c r="S126">
        <v>1</v>
      </c>
      <c r="T126">
        <v>1</v>
      </c>
      <c r="U126">
        <v>0</v>
      </c>
      <c r="V126">
        <v>0</v>
      </c>
      <c r="W126" s="3">
        <v>61674.008809999999</v>
      </c>
      <c r="X126">
        <v>0</v>
      </c>
      <c r="Y126">
        <v>20000</v>
      </c>
    </row>
    <row r="127" spans="1:25" x14ac:dyDescent="0.3">
      <c r="A127" s="3">
        <v>0</v>
      </c>
      <c r="B127">
        <v>1</v>
      </c>
      <c r="C127">
        <v>0</v>
      </c>
      <c r="D127">
        <v>6</v>
      </c>
      <c r="E127">
        <v>0</v>
      </c>
      <c r="F127">
        <v>0</v>
      </c>
      <c r="G127">
        <v>0</v>
      </c>
      <c r="H127">
        <v>0</v>
      </c>
      <c r="I127">
        <v>1</v>
      </c>
      <c r="J127">
        <v>0</v>
      </c>
      <c r="K127">
        <v>1</v>
      </c>
      <c r="L127">
        <v>1</v>
      </c>
      <c r="M127">
        <v>1</v>
      </c>
      <c r="N127">
        <v>0</v>
      </c>
      <c r="O127">
        <v>1</v>
      </c>
      <c r="P127">
        <v>25000</v>
      </c>
      <c r="Q127">
        <v>6000</v>
      </c>
      <c r="R127">
        <v>1</v>
      </c>
      <c r="S127">
        <v>1</v>
      </c>
      <c r="T127">
        <v>1</v>
      </c>
      <c r="U127">
        <v>0</v>
      </c>
      <c r="V127">
        <v>0</v>
      </c>
      <c r="W127" s="3">
        <v>62500</v>
      </c>
      <c r="X127">
        <v>0</v>
      </c>
    </row>
    <row r="128" spans="1:25" x14ac:dyDescent="0.3">
      <c r="A128" s="3">
        <v>40000</v>
      </c>
      <c r="B128">
        <v>0</v>
      </c>
      <c r="C128">
        <v>0</v>
      </c>
      <c r="D128">
        <v>10</v>
      </c>
      <c r="E128">
        <v>0</v>
      </c>
      <c r="F128">
        <v>0</v>
      </c>
      <c r="G128">
        <v>0</v>
      </c>
      <c r="H128">
        <v>0</v>
      </c>
      <c r="I128">
        <v>0</v>
      </c>
      <c r="J128">
        <v>0</v>
      </c>
      <c r="K128">
        <v>0</v>
      </c>
      <c r="L128">
        <v>0</v>
      </c>
      <c r="M128">
        <v>0</v>
      </c>
      <c r="N128">
        <v>0</v>
      </c>
      <c r="O128">
        <v>1</v>
      </c>
      <c r="P128" s="3">
        <v>80000</v>
      </c>
      <c r="Q128">
        <v>2000</v>
      </c>
      <c r="R128">
        <v>1</v>
      </c>
      <c r="S128">
        <v>1</v>
      </c>
      <c r="T128">
        <v>1</v>
      </c>
      <c r="U128">
        <v>0</v>
      </c>
      <c r="V128">
        <v>10000</v>
      </c>
      <c r="W128" s="3">
        <v>45454.545449999998</v>
      </c>
      <c r="X128">
        <v>0</v>
      </c>
      <c r="Y128">
        <v>80000</v>
      </c>
    </row>
    <row r="129" spans="1:25" x14ac:dyDescent="0.3">
      <c r="A129" s="3">
        <v>0</v>
      </c>
      <c r="B129">
        <v>1</v>
      </c>
      <c r="C129">
        <v>0</v>
      </c>
      <c r="D129">
        <v>15</v>
      </c>
      <c r="E129">
        <v>0</v>
      </c>
      <c r="F129">
        <v>0</v>
      </c>
      <c r="G129">
        <v>0</v>
      </c>
      <c r="H129">
        <v>0</v>
      </c>
      <c r="I129">
        <v>0</v>
      </c>
      <c r="J129">
        <v>0</v>
      </c>
      <c r="K129">
        <v>0</v>
      </c>
      <c r="L129">
        <v>1</v>
      </c>
      <c r="M129">
        <v>0</v>
      </c>
      <c r="N129">
        <v>0</v>
      </c>
      <c r="O129">
        <v>1</v>
      </c>
      <c r="P129" s="2">
        <v>100000</v>
      </c>
      <c r="Q129">
        <v>1800</v>
      </c>
      <c r="R129">
        <v>1</v>
      </c>
      <c r="S129">
        <v>1</v>
      </c>
      <c r="T129">
        <v>1</v>
      </c>
      <c r="U129">
        <v>0</v>
      </c>
      <c r="V129">
        <v>0</v>
      </c>
      <c r="W129" s="3">
        <v>45454.545449999998</v>
      </c>
      <c r="X129">
        <v>0</v>
      </c>
      <c r="Y129" s="2">
        <v>100000</v>
      </c>
    </row>
    <row r="130" spans="1:25" x14ac:dyDescent="0.3">
      <c r="A130" s="3">
        <v>0</v>
      </c>
      <c r="B130">
        <v>1</v>
      </c>
      <c r="C130">
        <v>0</v>
      </c>
      <c r="D130">
        <v>15</v>
      </c>
      <c r="E130">
        <v>0</v>
      </c>
      <c r="F130">
        <v>0</v>
      </c>
      <c r="G130">
        <v>0</v>
      </c>
      <c r="H130">
        <v>0</v>
      </c>
      <c r="I130">
        <v>0</v>
      </c>
      <c r="J130">
        <v>0</v>
      </c>
      <c r="K130">
        <v>0</v>
      </c>
      <c r="L130">
        <v>0</v>
      </c>
      <c r="M130">
        <v>1</v>
      </c>
      <c r="N130">
        <v>0</v>
      </c>
      <c r="O130">
        <v>0</v>
      </c>
      <c r="P130">
        <v>35000</v>
      </c>
      <c r="Q130">
        <v>5000</v>
      </c>
      <c r="R130">
        <v>1</v>
      </c>
      <c r="S130">
        <v>1</v>
      </c>
      <c r="T130">
        <v>1</v>
      </c>
      <c r="U130">
        <v>1</v>
      </c>
      <c r="V130">
        <v>33000</v>
      </c>
      <c r="W130" s="3">
        <v>38461.538460000003</v>
      </c>
      <c r="X130">
        <v>0</v>
      </c>
      <c r="Y130">
        <v>35000</v>
      </c>
    </row>
    <row r="131" spans="1:25" x14ac:dyDescent="0.3">
      <c r="A131" s="3">
        <v>0</v>
      </c>
      <c r="B131">
        <v>1</v>
      </c>
      <c r="C131">
        <v>0</v>
      </c>
      <c r="D131">
        <v>20</v>
      </c>
      <c r="E131">
        <v>0</v>
      </c>
      <c r="F131">
        <v>0</v>
      </c>
      <c r="G131">
        <v>0</v>
      </c>
      <c r="H131">
        <v>0</v>
      </c>
      <c r="I131">
        <v>0</v>
      </c>
      <c r="J131">
        <v>0</v>
      </c>
      <c r="K131">
        <v>0</v>
      </c>
      <c r="L131">
        <v>1</v>
      </c>
      <c r="M131">
        <v>1</v>
      </c>
      <c r="N131">
        <v>1</v>
      </c>
      <c r="O131">
        <v>1</v>
      </c>
      <c r="P131">
        <v>20000</v>
      </c>
      <c r="Q131">
        <v>500</v>
      </c>
      <c r="R131">
        <v>1</v>
      </c>
      <c r="S131">
        <v>1</v>
      </c>
      <c r="T131">
        <v>1</v>
      </c>
      <c r="U131">
        <v>0</v>
      </c>
      <c r="V131">
        <v>0</v>
      </c>
      <c r="W131" s="3">
        <v>35652.173909999998</v>
      </c>
      <c r="X131">
        <v>0</v>
      </c>
      <c r="Y131">
        <v>20000</v>
      </c>
    </row>
    <row r="132" spans="1:25" x14ac:dyDescent="0.3">
      <c r="A132" s="3">
        <v>0</v>
      </c>
      <c r="B132">
        <v>1</v>
      </c>
      <c r="C132">
        <v>0</v>
      </c>
      <c r="D132">
        <v>40</v>
      </c>
      <c r="E132">
        <v>0</v>
      </c>
      <c r="F132">
        <v>1</v>
      </c>
      <c r="G132">
        <v>0</v>
      </c>
      <c r="H132">
        <v>0</v>
      </c>
      <c r="I132">
        <v>0</v>
      </c>
      <c r="J132">
        <v>0</v>
      </c>
      <c r="K132">
        <v>1</v>
      </c>
      <c r="L132">
        <v>1</v>
      </c>
      <c r="M132">
        <v>1</v>
      </c>
      <c r="N132">
        <v>0</v>
      </c>
      <c r="O132">
        <v>0</v>
      </c>
      <c r="P132">
        <v>40000</v>
      </c>
      <c r="Q132">
        <v>3000</v>
      </c>
      <c r="R132">
        <v>1</v>
      </c>
      <c r="S132">
        <v>1</v>
      </c>
      <c r="T132">
        <v>1</v>
      </c>
      <c r="U132">
        <v>0</v>
      </c>
      <c r="V132">
        <v>0</v>
      </c>
      <c r="W132" s="3">
        <v>75000</v>
      </c>
      <c r="X132">
        <v>0</v>
      </c>
      <c r="Y132">
        <v>40000</v>
      </c>
    </row>
    <row r="133" spans="1:25" x14ac:dyDescent="0.3">
      <c r="A133" s="3">
        <v>40000</v>
      </c>
      <c r="B133">
        <v>1</v>
      </c>
      <c r="C133">
        <v>0</v>
      </c>
      <c r="D133">
        <v>20</v>
      </c>
      <c r="E133">
        <v>0</v>
      </c>
      <c r="F133">
        <v>0</v>
      </c>
      <c r="G133">
        <v>0</v>
      </c>
      <c r="H133">
        <v>0</v>
      </c>
      <c r="I133">
        <v>0</v>
      </c>
      <c r="J133">
        <v>0</v>
      </c>
      <c r="K133">
        <v>1</v>
      </c>
      <c r="L133">
        <v>1</v>
      </c>
      <c r="M133">
        <v>0</v>
      </c>
      <c r="N133">
        <v>0</v>
      </c>
      <c r="O133">
        <v>1</v>
      </c>
      <c r="P133">
        <v>25000</v>
      </c>
      <c r="Q133">
        <v>5000</v>
      </c>
      <c r="R133">
        <v>1</v>
      </c>
      <c r="S133">
        <v>1</v>
      </c>
      <c r="T133">
        <v>1</v>
      </c>
      <c r="U133">
        <v>0</v>
      </c>
      <c r="V133">
        <v>0</v>
      </c>
      <c r="W133" s="3">
        <v>79166.666670000006</v>
      </c>
      <c r="X133">
        <v>0</v>
      </c>
      <c r="Y133">
        <v>25000</v>
      </c>
    </row>
    <row r="134" spans="1:25" x14ac:dyDescent="0.3">
      <c r="A134" s="3">
        <v>200000</v>
      </c>
      <c r="B134">
        <v>0</v>
      </c>
      <c r="C134">
        <v>0</v>
      </c>
      <c r="D134">
        <v>15</v>
      </c>
      <c r="E134">
        <v>0</v>
      </c>
      <c r="F134">
        <v>1</v>
      </c>
      <c r="G134">
        <v>0</v>
      </c>
      <c r="H134">
        <v>0</v>
      </c>
      <c r="I134">
        <v>0</v>
      </c>
      <c r="J134">
        <v>0</v>
      </c>
      <c r="K134">
        <v>0</v>
      </c>
      <c r="L134">
        <v>1</v>
      </c>
      <c r="M134">
        <v>1</v>
      </c>
      <c r="N134">
        <v>0</v>
      </c>
      <c r="O134">
        <v>0</v>
      </c>
      <c r="P134" s="3">
        <v>30000</v>
      </c>
      <c r="Q134">
        <v>5000</v>
      </c>
      <c r="R134">
        <v>1</v>
      </c>
      <c r="S134">
        <v>1</v>
      </c>
      <c r="T134">
        <v>1</v>
      </c>
      <c r="U134">
        <v>0</v>
      </c>
      <c r="V134">
        <v>25000</v>
      </c>
      <c r="W134" s="3">
        <v>35000</v>
      </c>
      <c r="X134">
        <v>0</v>
      </c>
      <c r="Y134">
        <v>30000</v>
      </c>
    </row>
    <row r="135" spans="1:25" x14ac:dyDescent="0.3">
      <c r="A135" s="3">
        <v>0</v>
      </c>
      <c r="B135">
        <v>1</v>
      </c>
      <c r="C135">
        <v>0</v>
      </c>
      <c r="D135">
        <v>15</v>
      </c>
      <c r="E135">
        <v>0</v>
      </c>
      <c r="F135">
        <v>0</v>
      </c>
      <c r="G135">
        <v>0</v>
      </c>
      <c r="H135">
        <v>0</v>
      </c>
      <c r="I135">
        <v>1</v>
      </c>
      <c r="J135">
        <v>0</v>
      </c>
      <c r="K135">
        <v>0</v>
      </c>
      <c r="L135">
        <v>1</v>
      </c>
      <c r="M135">
        <v>1</v>
      </c>
      <c r="N135">
        <v>1</v>
      </c>
      <c r="O135">
        <v>0</v>
      </c>
      <c r="P135">
        <v>50000</v>
      </c>
      <c r="Q135">
        <v>2000</v>
      </c>
      <c r="R135">
        <v>1</v>
      </c>
      <c r="S135">
        <v>1</v>
      </c>
      <c r="T135">
        <v>1</v>
      </c>
      <c r="U135">
        <v>0</v>
      </c>
      <c r="V135">
        <v>0</v>
      </c>
      <c r="W135" s="3">
        <v>50000</v>
      </c>
      <c r="X135">
        <v>0</v>
      </c>
      <c r="Y135">
        <v>50000</v>
      </c>
    </row>
    <row r="136" spans="1:25" x14ac:dyDescent="0.3">
      <c r="A136" s="3">
        <v>0</v>
      </c>
      <c r="B136">
        <v>1</v>
      </c>
      <c r="C136">
        <v>0</v>
      </c>
      <c r="D136">
        <v>30</v>
      </c>
      <c r="E136">
        <v>0</v>
      </c>
      <c r="F136">
        <v>0</v>
      </c>
      <c r="G136">
        <v>0</v>
      </c>
      <c r="H136">
        <v>0</v>
      </c>
      <c r="I136">
        <v>0</v>
      </c>
      <c r="J136">
        <v>0</v>
      </c>
      <c r="K136">
        <v>0</v>
      </c>
      <c r="L136">
        <v>1</v>
      </c>
      <c r="M136">
        <v>1</v>
      </c>
      <c r="N136">
        <v>1</v>
      </c>
      <c r="O136">
        <v>1</v>
      </c>
      <c r="P136">
        <v>0</v>
      </c>
      <c r="Q136">
        <v>1000</v>
      </c>
      <c r="R136">
        <v>1</v>
      </c>
      <c r="S136">
        <v>1</v>
      </c>
      <c r="T136">
        <v>1</v>
      </c>
      <c r="U136">
        <v>0</v>
      </c>
      <c r="V136">
        <v>0</v>
      </c>
      <c r="W136" s="3">
        <v>5000</v>
      </c>
      <c r="X136">
        <v>0</v>
      </c>
      <c r="Y136">
        <v>0</v>
      </c>
    </row>
    <row r="137" spans="1:25" x14ac:dyDescent="0.3">
      <c r="A137" s="3">
        <v>50000</v>
      </c>
      <c r="B137">
        <v>1</v>
      </c>
      <c r="C137">
        <v>0</v>
      </c>
      <c r="D137">
        <v>15</v>
      </c>
      <c r="E137">
        <v>0</v>
      </c>
      <c r="F137">
        <v>0</v>
      </c>
      <c r="G137">
        <v>0</v>
      </c>
      <c r="H137">
        <v>0</v>
      </c>
      <c r="I137">
        <v>0</v>
      </c>
      <c r="J137">
        <v>0</v>
      </c>
      <c r="K137">
        <v>0</v>
      </c>
      <c r="L137">
        <v>1</v>
      </c>
      <c r="M137">
        <v>1</v>
      </c>
      <c r="N137">
        <v>1</v>
      </c>
      <c r="O137">
        <v>1</v>
      </c>
      <c r="P137">
        <v>30000</v>
      </c>
      <c r="Q137">
        <v>2000</v>
      </c>
      <c r="R137">
        <v>1</v>
      </c>
      <c r="S137">
        <v>1</v>
      </c>
      <c r="T137">
        <v>1</v>
      </c>
      <c r="U137">
        <v>1</v>
      </c>
      <c r="V137">
        <v>25000</v>
      </c>
      <c r="W137" s="3">
        <v>38461.538460000003</v>
      </c>
      <c r="X137">
        <v>0</v>
      </c>
      <c r="Y137">
        <v>30000</v>
      </c>
    </row>
    <row r="138" spans="1:25" x14ac:dyDescent="0.3">
      <c r="A138" s="3">
        <v>25000</v>
      </c>
      <c r="B138">
        <v>1</v>
      </c>
      <c r="C138">
        <v>0</v>
      </c>
      <c r="D138">
        <v>15</v>
      </c>
      <c r="E138">
        <v>0</v>
      </c>
      <c r="F138">
        <v>0</v>
      </c>
      <c r="G138">
        <v>0</v>
      </c>
      <c r="H138">
        <v>0</v>
      </c>
      <c r="I138">
        <v>0</v>
      </c>
      <c r="J138">
        <v>0</v>
      </c>
      <c r="K138">
        <v>1</v>
      </c>
      <c r="L138">
        <v>1</v>
      </c>
      <c r="M138">
        <v>0</v>
      </c>
      <c r="N138">
        <v>1</v>
      </c>
      <c r="O138">
        <v>1</v>
      </c>
      <c r="P138">
        <v>10000</v>
      </c>
      <c r="Q138">
        <v>2000</v>
      </c>
      <c r="R138">
        <v>1</v>
      </c>
      <c r="S138">
        <v>1</v>
      </c>
      <c r="T138">
        <v>1</v>
      </c>
      <c r="U138">
        <v>0</v>
      </c>
      <c r="V138">
        <v>0</v>
      </c>
      <c r="W138" s="3">
        <v>50000</v>
      </c>
      <c r="X138">
        <v>0</v>
      </c>
      <c r="Y138">
        <v>10000</v>
      </c>
    </row>
    <row r="139" spans="1:25" x14ac:dyDescent="0.3">
      <c r="A139" s="3">
        <v>150000</v>
      </c>
      <c r="B139">
        <v>1</v>
      </c>
      <c r="C139">
        <v>0</v>
      </c>
      <c r="D139">
        <v>25</v>
      </c>
      <c r="E139">
        <v>1</v>
      </c>
      <c r="F139">
        <v>1</v>
      </c>
      <c r="G139">
        <v>0</v>
      </c>
      <c r="H139">
        <v>0</v>
      </c>
      <c r="I139">
        <v>1</v>
      </c>
      <c r="J139">
        <v>0</v>
      </c>
      <c r="K139">
        <v>0</v>
      </c>
      <c r="L139">
        <v>1</v>
      </c>
      <c r="M139">
        <v>0</v>
      </c>
      <c r="N139">
        <v>1</v>
      </c>
      <c r="O139">
        <v>0</v>
      </c>
      <c r="P139">
        <v>50000</v>
      </c>
      <c r="Q139">
        <v>1000</v>
      </c>
      <c r="R139">
        <v>1</v>
      </c>
      <c r="S139">
        <v>1</v>
      </c>
      <c r="T139">
        <v>1</v>
      </c>
      <c r="U139">
        <v>0</v>
      </c>
      <c r="V139">
        <v>0</v>
      </c>
      <c r="W139" s="3">
        <v>25000</v>
      </c>
      <c r="X139">
        <v>0</v>
      </c>
      <c r="Y139">
        <v>50000</v>
      </c>
    </row>
    <row r="140" spans="1:25" x14ac:dyDescent="0.3">
      <c r="A140" s="3">
        <v>0</v>
      </c>
      <c r="B140">
        <v>1</v>
      </c>
      <c r="C140">
        <v>0</v>
      </c>
      <c r="D140">
        <v>25</v>
      </c>
      <c r="E140">
        <v>1</v>
      </c>
      <c r="F140">
        <v>1</v>
      </c>
      <c r="G140">
        <v>0</v>
      </c>
      <c r="H140">
        <v>0</v>
      </c>
      <c r="I140">
        <v>1</v>
      </c>
      <c r="J140">
        <v>0</v>
      </c>
      <c r="K140">
        <v>0</v>
      </c>
      <c r="L140">
        <v>1</v>
      </c>
      <c r="M140">
        <v>1</v>
      </c>
      <c r="N140">
        <v>1</v>
      </c>
      <c r="O140">
        <v>0</v>
      </c>
      <c r="P140">
        <v>60000</v>
      </c>
      <c r="Q140">
        <v>1500</v>
      </c>
      <c r="R140">
        <v>1</v>
      </c>
      <c r="S140">
        <v>1</v>
      </c>
      <c r="T140">
        <v>1</v>
      </c>
      <c r="U140">
        <v>0</v>
      </c>
      <c r="V140">
        <v>0</v>
      </c>
      <c r="W140" s="3">
        <v>45454.545449999998</v>
      </c>
      <c r="X140">
        <v>0</v>
      </c>
      <c r="Y140">
        <v>60000</v>
      </c>
    </row>
    <row r="141" spans="1:25" x14ac:dyDescent="0.3">
      <c r="A141" s="3">
        <v>100000</v>
      </c>
      <c r="B141">
        <v>1</v>
      </c>
      <c r="C141">
        <v>0</v>
      </c>
      <c r="D141">
        <v>30</v>
      </c>
      <c r="E141">
        <v>0</v>
      </c>
      <c r="F141">
        <v>0</v>
      </c>
      <c r="G141">
        <v>0</v>
      </c>
      <c r="H141">
        <v>0</v>
      </c>
      <c r="I141">
        <v>1</v>
      </c>
      <c r="J141">
        <v>0</v>
      </c>
      <c r="K141">
        <v>0</v>
      </c>
      <c r="L141">
        <v>1</v>
      </c>
      <c r="M141">
        <v>1</v>
      </c>
      <c r="N141">
        <v>1</v>
      </c>
      <c r="O141">
        <v>0</v>
      </c>
      <c r="P141">
        <v>20000</v>
      </c>
      <c r="Q141">
        <v>1000</v>
      </c>
      <c r="R141">
        <v>1</v>
      </c>
      <c r="S141">
        <v>1</v>
      </c>
      <c r="T141">
        <v>1</v>
      </c>
      <c r="U141">
        <v>0</v>
      </c>
      <c r="V141">
        <v>0</v>
      </c>
      <c r="W141" s="3">
        <v>25000</v>
      </c>
      <c r="X141">
        <v>0</v>
      </c>
      <c r="Y141">
        <v>20000</v>
      </c>
    </row>
    <row r="142" spans="1:25" x14ac:dyDescent="0.3">
      <c r="A142" s="3">
        <v>100000</v>
      </c>
      <c r="B142">
        <v>0</v>
      </c>
      <c r="C142">
        <v>0</v>
      </c>
      <c r="D142">
        <v>10</v>
      </c>
      <c r="E142">
        <v>0</v>
      </c>
      <c r="F142">
        <v>0</v>
      </c>
      <c r="G142">
        <v>0</v>
      </c>
      <c r="H142">
        <v>0</v>
      </c>
      <c r="I142">
        <v>1</v>
      </c>
      <c r="J142">
        <v>0</v>
      </c>
      <c r="K142">
        <v>0</v>
      </c>
      <c r="L142">
        <v>1</v>
      </c>
      <c r="M142">
        <v>0</v>
      </c>
      <c r="N142">
        <v>1</v>
      </c>
      <c r="O142">
        <v>0</v>
      </c>
      <c r="P142" s="3">
        <v>50000</v>
      </c>
      <c r="Q142">
        <v>1000</v>
      </c>
      <c r="R142">
        <v>1</v>
      </c>
      <c r="S142">
        <v>1</v>
      </c>
      <c r="T142">
        <v>1</v>
      </c>
      <c r="U142">
        <v>0</v>
      </c>
      <c r="V142">
        <v>0</v>
      </c>
      <c r="W142" s="3">
        <v>35000</v>
      </c>
      <c r="X142">
        <v>0</v>
      </c>
      <c r="Y142">
        <v>50000</v>
      </c>
    </row>
    <row r="143" spans="1:25" x14ac:dyDescent="0.3">
      <c r="A143" s="3">
        <v>0</v>
      </c>
      <c r="B143">
        <v>1</v>
      </c>
      <c r="C143">
        <v>0</v>
      </c>
      <c r="D143">
        <v>15</v>
      </c>
      <c r="E143">
        <v>0</v>
      </c>
      <c r="F143">
        <v>0</v>
      </c>
      <c r="G143">
        <v>0</v>
      </c>
      <c r="H143">
        <v>0</v>
      </c>
      <c r="I143">
        <v>1</v>
      </c>
      <c r="J143">
        <v>0</v>
      </c>
      <c r="K143">
        <v>0</v>
      </c>
      <c r="L143">
        <v>1</v>
      </c>
      <c r="M143">
        <v>1</v>
      </c>
      <c r="N143">
        <v>0</v>
      </c>
      <c r="O143">
        <v>0</v>
      </c>
      <c r="P143">
        <v>30000</v>
      </c>
      <c r="Q143">
        <v>1000</v>
      </c>
      <c r="R143">
        <v>1</v>
      </c>
      <c r="S143">
        <v>1</v>
      </c>
      <c r="T143">
        <v>1</v>
      </c>
      <c r="U143">
        <v>0</v>
      </c>
      <c r="V143">
        <v>0</v>
      </c>
      <c r="W143" s="3">
        <v>10000</v>
      </c>
      <c r="X143">
        <v>0</v>
      </c>
      <c r="Y143">
        <v>30000</v>
      </c>
    </row>
    <row r="144" spans="1:25" x14ac:dyDescent="0.3">
      <c r="A144" s="3">
        <v>100000</v>
      </c>
      <c r="B144">
        <v>1</v>
      </c>
      <c r="C144">
        <v>0</v>
      </c>
      <c r="D144">
        <v>10</v>
      </c>
      <c r="E144">
        <v>0</v>
      </c>
      <c r="F144">
        <v>0</v>
      </c>
      <c r="G144">
        <v>0</v>
      </c>
      <c r="H144">
        <v>0</v>
      </c>
      <c r="I144">
        <v>1</v>
      </c>
      <c r="J144">
        <v>0</v>
      </c>
      <c r="K144">
        <v>0</v>
      </c>
      <c r="L144">
        <v>1</v>
      </c>
      <c r="M144">
        <v>1</v>
      </c>
      <c r="N144">
        <v>1</v>
      </c>
      <c r="O144">
        <v>0</v>
      </c>
      <c r="P144">
        <v>0</v>
      </c>
      <c r="Q144">
        <v>1000</v>
      </c>
      <c r="R144">
        <v>1</v>
      </c>
      <c r="S144">
        <v>1</v>
      </c>
      <c r="T144">
        <v>1</v>
      </c>
      <c r="U144">
        <v>0</v>
      </c>
      <c r="V144">
        <v>0</v>
      </c>
      <c r="W144" s="3">
        <v>10000</v>
      </c>
      <c r="X144">
        <v>0</v>
      </c>
      <c r="Y144">
        <v>0</v>
      </c>
    </row>
    <row r="145" spans="1:25" x14ac:dyDescent="0.3">
      <c r="A145" s="3">
        <v>0</v>
      </c>
      <c r="B145">
        <v>1</v>
      </c>
      <c r="C145">
        <v>0</v>
      </c>
      <c r="D145">
        <v>30</v>
      </c>
      <c r="E145">
        <v>0</v>
      </c>
      <c r="F145">
        <v>0</v>
      </c>
      <c r="G145">
        <v>0</v>
      </c>
      <c r="H145">
        <v>0</v>
      </c>
      <c r="I145">
        <v>1</v>
      </c>
      <c r="J145">
        <v>0</v>
      </c>
      <c r="K145">
        <v>0</v>
      </c>
      <c r="L145">
        <v>1</v>
      </c>
      <c r="M145">
        <v>1</v>
      </c>
      <c r="N145">
        <v>0</v>
      </c>
      <c r="O145">
        <v>0</v>
      </c>
      <c r="P145">
        <v>15000</v>
      </c>
      <c r="Q145">
        <v>1000</v>
      </c>
      <c r="R145">
        <v>1</v>
      </c>
      <c r="S145">
        <v>1</v>
      </c>
      <c r="T145">
        <v>1</v>
      </c>
      <c r="U145">
        <v>0</v>
      </c>
      <c r="V145">
        <v>30000</v>
      </c>
      <c r="W145" s="3">
        <v>83333.333329999994</v>
      </c>
      <c r="X145">
        <v>0</v>
      </c>
      <c r="Y145">
        <v>15000</v>
      </c>
    </row>
    <row r="146" spans="1:25" x14ac:dyDescent="0.3">
      <c r="A146" s="3">
        <v>50000</v>
      </c>
      <c r="B146">
        <v>1</v>
      </c>
      <c r="C146">
        <v>1</v>
      </c>
      <c r="D146">
        <v>30</v>
      </c>
      <c r="E146">
        <v>0</v>
      </c>
      <c r="F146">
        <v>0</v>
      </c>
      <c r="G146">
        <v>0</v>
      </c>
      <c r="H146">
        <v>0</v>
      </c>
      <c r="I146">
        <v>1</v>
      </c>
      <c r="J146">
        <v>0</v>
      </c>
      <c r="K146">
        <v>0</v>
      </c>
      <c r="L146">
        <v>1</v>
      </c>
      <c r="M146">
        <v>1</v>
      </c>
      <c r="N146">
        <v>1</v>
      </c>
      <c r="O146">
        <v>1</v>
      </c>
      <c r="P146">
        <v>50000</v>
      </c>
      <c r="Q146">
        <v>1500</v>
      </c>
      <c r="R146">
        <v>1</v>
      </c>
      <c r="S146">
        <v>1</v>
      </c>
      <c r="T146">
        <v>1</v>
      </c>
      <c r="U146">
        <v>0</v>
      </c>
      <c r="V146">
        <v>105000</v>
      </c>
      <c r="W146" s="3">
        <v>8012.8205129999997</v>
      </c>
      <c r="X146">
        <v>0</v>
      </c>
      <c r="Y146">
        <v>50000</v>
      </c>
    </row>
    <row r="147" spans="1:25" x14ac:dyDescent="0.3">
      <c r="A147" s="3">
        <v>0</v>
      </c>
      <c r="B147">
        <v>1</v>
      </c>
      <c r="C147">
        <v>0</v>
      </c>
      <c r="D147">
        <v>10</v>
      </c>
      <c r="E147">
        <v>1</v>
      </c>
      <c r="F147">
        <v>0</v>
      </c>
      <c r="G147">
        <v>0</v>
      </c>
      <c r="H147">
        <v>0</v>
      </c>
      <c r="I147">
        <v>1</v>
      </c>
      <c r="J147">
        <v>0</v>
      </c>
      <c r="K147">
        <v>0</v>
      </c>
      <c r="L147">
        <v>1</v>
      </c>
      <c r="M147">
        <v>1</v>
      </c>
      <c r="N147">
        <v>1</v>
      </c>
      <c r="O147">
        <v>0</v>
      </c>
      <c r="P147">
        <v>40000</v>
      </c>
      <c r="Q147">
        <v>1000</v>
      </c>
      <c r="R147">
        <v>1</v>
      </c>
      <c r="S147">
        <v>1</v>
      </c>
      <c r="T147">
        <v>1</v>
      </c>
      <c r="U147">
        <v>0</v>
      </c>
      <c r="V147">
        <v>12000</v>
      </c>
      <c r="W147" s="3">
        <v>25000</v>
      </c>
      <c r="X147">
        <v>0</v>
      </c>
      <c r="Y147">
        <v>40000</v>
      </c>
    </row>
    <row r="148" spans="1:25" x14ac:dyDescent="0.3">
      <c r="A148" s="3">
        <v>200000</v>
      </c>
      <c r="B148">
        <v>0</v>
      </c>
      <c r="C148">
        <v>0</v>
      </c>
      <c r="D148">
        <v>15</v>
      </c>
      <c r="E148">
        <v>0</v>
      </c>
      <c r="F148">
        <v>0</v>
      </c>
      <c r="G148">
        <v>0</v>
      </c>
      <c r="H148">
        <v>0</v>
      </c>
      <c r="I148">
        <v>1</v>
      </c>
      <c r="J148">
        <v>0</v>
      </c>
      <c r="K148">
        <v>1</v>
      </c>
      <c r="L148">
        <v>1</v>
      </c>
      <c r="M148">
        <v>1</v>
      </c>
      <c r="N148">
        <v>1</v>
      </c>
      <c r="O148">
        <v>1</v>
      </c>
      <c r="P148" s="3">
        <v>20000</v>
      </c>
      <c r="Q148">
        <v>2000</v>
      </c>
      <c r="R148">
        <v>1</v>
      </c>
      <c r="S148">
        <v>1</v>
      </c>
      <c r="T148">
        <v>1</v>
      </c>
      <c r="U148">
        <v>0</v>
      </c>
      <c r="V148">
        <v>35000</v>
      </c>
      <c r="W148" s="3">
        <v>40322.580650000004</v>
      </c>
      <c r="X148">
        <v>0</v>
      </c>
    </row>
    <row r="149" spans="1:25" x14ac:dyDescent="0.3">
      <c r="A149" s="3">
        <v>0</v>
      </c>
      <c r="B149">
        <v>1</v>
      </c>
      <c r="C149">
        <v>0</v>
      </c>
      <c r="D149">
        <v>30</v>
      </c>
      <c r="E149">
        <v>1</v>
      </c>
      <c r="F149">
        <v>0</v>
      </c>
      <c r="G149">
        <v>0</v>
      </c>
      <c r="H149">
        <v>0</v>
      </c>
      <c r="I149">
        <v>1</v>
      </c>
      <c r="J149">
        <v>0</v>
      </c>
      <c r="K149">
        <v>0</v>
      </c>
      <c r="L149">
        <v>1</v>
      </c>
      <c r="M149">
        <v>0</v>
      </c>
      <c r="N149">
        <v>1</v>
      </c>
      <c r="O149">
        <v>1</v>
      </c>
      <c r="P149">
        <v>20000</v>
      </c>
      <c r="Q149">
        <v>1000</v>
      </c>
      <c r="R149">
        <v>1</v>
      </c>
      <c r="S149">
        <v>1</v>
      </c>
      <c r="T149">
        <v>1</v>
      </c>
      <c r="U149">
        <v>0</v>
      </c>
      <c r="V149">
        <v>50000</v>
      </c>
      <c r="W149" s="3">
        <v>55299.539169999996</v>
      </c>
      <c r="X149">
        <v>0</v>
      </c>
      <c r="Y149">
        <v>20000</v>
      </c>
    </row>
    <row r="150" spans="1:25" x14ac:dyDescent="0.3">
      <c r="A150" s="3">
        <v>0</v>
      </c>
      <c r="B150">
        <v>1</v>
      </c>
      <c r="C150">
        <v>0</v>
      </c>
      <c r="D150">
        <v>40</v>
      </c>
      <c r="E150">
        <v>0</v>
      </c>
      <c r="F150">
        <v>0</v>
      </c>
      <c r="G150">
        <v>0</v>
      </c>
      <c r="H150">
        <v>0</v>
      </c>
      <c r="I150">
        <v>1</v>
      </c>
      <c r="J150">
        <v>0</v>
      </c>
      <c r="K150">
        <v>0</v>
      </c>
      <c r="L150">
        <v>0</v>
      </c>
      <c r="M150">
        <v>0</v>
      </c>
      <c r="N150">
        <v>1</v>
      </c>
      <c r="O150">
        <v>1</v>
      </c>
      <c r="P150">
        <v>20000</v>
      </c>
      <c r="Q150">
        <v>1000</v>
      </c>
      <c r="R150">
        <v>1</v>
      </c>
      <c r="S150">
        <v>1</v>
      </c>
      <c r="T150">
        <v>1</v>
      </c>
      <c r="U150">
        <v>0</v>
      </c>
      <c r="V150">
        <v>0</v>
      </c>
      <c r="W150" s="3">
        <v>37500</v>
      </c>
      <c r="X150">
        <v>0</v>
      </c>
      <c r="Y150">
        <v>20000</v>
      </c>
    </row>
    <row r="151" spans="1:25" x14ac:dyDescent="0.3">
      <c r="A151" s="3">
        <v>150000</v>
      </c>
      <c r="B151">
        <v>1</v>
      </c>
      <c r="C151">
        <v>0</v>
      </c>
      <c r="D151">
        <v>10</v>
      </c>
      <c r="E151">
        <v>1</v>
      </c>
      <c r="F151">
        <v>0</v>
      </c>
      <c r="G151">
        <v>0</v>
      </c>
      <c r="H151">
        <v>0</v>
      </c>
      <c r="I151">
        <v>1</v>
      </c>
      <c r="J151">
        <v>1</v>
      </c>
      <c r="K151">
        <v>0</v>
      </c>
      <c r="L151">
        <v>1</v>
      </c>
      <c r="M151">
        <v>1</v>
      </c>
      <c r="N151">
        <v>1</v>
      </c>
      <c r="O151">
        <v>0</v>
      </c>
      <c r="P151">
        <v>25000</v>
      </c>
      <c r="Q151">
        <v>1000</v>
      </c>
      <c r="R151">
        <v>1</v>
      </c>
      <c r="S151">
        <v>1</v>
      </c>
      <c r="T151">
        <v>1</v>
      </c>
      <c r="U151">
        <v>0</v>
      </c>
      <c r="V151">
        <v>30000</v>
      </c>
      <c r="W151" s="3">
        <v>37500</v>
      </c>
      <c r="X151">
        <v>0</v>
      </c>
      <c r="Y151">
        <v>25000</v>
      </c>
    </row>
    <row r="152" spans="1:25" x14ac:dyDescent="0.3">
      <c r="A152" s="3">
        <v>0</v>
      </c>
      <c r="B152">
        <v>1</v>
      </c>
      <c r="C152">
        <v>1</v>
      </c>
      <c r="D152">
        <v>30</v>
      </c>
      <c r="E152">
        <v>1</v>
      </c>
      <c r="F152">
        <v>0</v>
      </c>
      <c r="G152">
        <v>0</v>
      </c>
      <c r="H152">
        <v>0</v>
      </c>
      <c r="I152">
        <v>1</v>
      </c>
      <c r="J152">
        <v>0</v>
      </c>
      <c r="K152">
        <v>0</v>
      </c>
      <c r="L152">
        <v>1</v>
      </c>
      <c r="M152">
        <v>1</v>
      </c>
      <c r="N152">
        <v>1</v>
      </c>
      <c r="O152">
        <v>0</v>
      </c>
      <c r="P152">
        <v>50000</v>
      </c>
      <c r="Q152">
        <v>1500</v>
      </c>
      <c r="R152">
        <v>1</v>
      </c>
      <c r="S152">
        <v>1</v>
      </c>
      <c r="T152">
        <v>1</v>
      </c>
      <c r="U152">
        <v>0</v>
      </c>
      <c r="V152">
        <v>25000</v>
      </c>
      <c r="W152" s="3">
        <v>3225.8064519999998</v>
      </c>
      <c r="X152">
        <v>0</v>
      </c>
      <c r="Y152">
        <v>50000</v>
      </c>
    </row>
    <row r="153" spans="1:25" x14ac:dyDescent="0.3">
      <c r="A153" s="3">
        <v>0</v>
      </c>
      <c r="B153">
        <v>1</v>
      </c>
      <c r="C153">
        <v>0</v>
      </c>
      <c r="D153">
        <v>20</v>
      </c>
      <c r="E153">
        <v>0</v>
      </c>
      <c r="F153">
        <v>0</v>
      </c>
      <c r="G153">
        <v>0</v>
      </c>
      <c r="H153">
        <v>0</v>
      </c>
      <c r="I153">
        <v>0</v>
      </c>
      <c r="J153">
        <v>0</v>
      </c>
      <c r="K153">
        <v>1</v>
      </c>
      <c r="L153">
        <v>1</v>
      </c>
      <c r="M153">
        <v>1</v>
      </c>
      <c r="N153">
        <v>1</v>
      </c>
      <c r="O153">
        <v>1</v>
      </c>
      <c r="P153">
        <v>60000</v>
      </c>
      <c r="Q153">
        <v>1000</v>
      </c>
      <c r="R153">
        <v>1</v>
      </c>
      <c r="S153">
        <v>1</v>
      </c>
      <c r="T153">
        <v>1</v>
      </c>
      <c r="U153">
        <v>0</v>
      </c>
      <c r="V153">
        <v>0</v>
      </c>
      <c r="W153" s="3">
        <v>30000</v>
      </c>
      <c r="X153">
        <v>0</v>
      </c>
      <c r="Y153">
        <v>60000</v>
      </c>
    </row>
    <row r="154" spans="1:25" x14ac:dyDescent="0.3">
      <c r="A154" s="3">
        <v>250000</v>
      </c>
      <c r="B154">
        <v>1</v>
      </c>
      <c r="C154">
        <v>0</v>
      </c>
      <c r="D154">
        <v>20</v>
      </c>
      <c r="E154">
        <v>1</v>
      </c>
      <c r="F154">
        <v>0</v>
      </c>
      <c r="G154">
        <v>0</v>
      </c>
      <c r="H154">
        <v>0</v>
      </c>
      <c r="I154">
        <v>1</v>
      </c>
      <c r="J154">
        <v>0</v>
      </c>
      <c r="K154">
        <v>0</v>
      </c>
      <c r="L154">
        <v>0</v>
      </c>
      <c r="M154">
        <v>0</v>
      </c>
      <c r="N154">
        <v>1</v>
      </c>
      <c r="O154">
        <v>0</v>
      </c>
      <c r="P154">
        <v>80000</v>
      </c>
      <c r="Q154">
        <v>1000</v>
      </c>
      <c r="R154">
        <v>1</v>
      </c>
      <c r="S154">
        <v>1</v>
      </c>
      <c r="T154">
        <v>1</v>
      </c>
      <c r="U154">
        <v>0</v>
      </c>
      <c r="V154">
        <v>30000</v>
      </c>
      <c r="W154" s="3">
        <v>25000</v>
      </c>
      <c r="X154">
        <v>0</v>
      </c>
      <c r="Y154">
        <v>80000</v>
      </c>
    </row>
    <row r="155" spans="1:25" x14ac:dyDescent="0.3">
      <c r="A155" s="3">
        <v>100000</v>
      </c>
      <c r="B155">
        <v>0</v>
      </c>
      <c r="C155">
        <v>1</v>
      </c>
      <c r="D155">
        <v>25</v>
      </c>
      <c r="E155">
        <v>0</v>
      </c>
      <c r="F155">
        <v>0</v>
      </c>
      <c r="G155">
        <v>0</v>
      </c>
      <c r="H155">
        <v>0</v>
      </c>
      <c r="I155">
        <v>1</v>
      </c>
      <c r="J155">
        <v>0</v>
      </c>
      <c r="K155">
        <v>0</v>
      </c>
      <c r="L155">
        <v>1</v>
      </c>
      <c r="M155">
        <v>0</v>
      </c>
      <c r="N155">
        <v>1</v>
      </c>
      <c r="O155">
        <v>0</v>
      </c>
      <c r="P155" s="3">
        <v>100000</v>
      </c>
      <c r="Q155">
        <v>1500</v>
      </c>
      <c r="R155">
        <v>1</v>
      </c>
      <c r="S155">
        <v>1</v>
      </c>
      <c r="T155">
        <v>1</v>
      </c>
      <c r="U155">
        <v>0</v>
      </c>
      <c r="V155">
        <v>50000</v>
      </c>
      <c r="W155" s="3">
        <v>5263.1578950000003</v>
      </c>
      <c r="X155">
        <v>0</v>
      </c>
      <c r="Y155" s="2">
        <v>100000</v>
      </c>
    </row>
    <row r="156" spans="1:25" x14ac:dyDescent="0.3">
      <c r="A156" s="3">
        <v>60000</v>
      </c>
      <c r="B156">
        <v>1</v>
      </c>
      <c r="C156">
        <v>0</v>
      </c>
      <c r="D156">
        <v>25</v>
      </c>
      <c r="E156">
        <v>0</v>
      </c>
      <c r="F156">
        <v>0</v>
      </c>
      <c r="G156">
        <v>0</v>
      </c>
      <c r="H156">
        <v>0</v>
      </c>
      <c r="I156">
        <v>1</v>
      </c>
      <c r="J156">
        <v>0</v>
      </c>
      <c r="K156">
        <v>0</v>
      </c>
      <c r="L156">
        <v>1</v>
      </c>
      <c r="M156">
        <v>1</v>
      </c>
      <c r="N156">
        <v>1</v>
      </c>
      <c r="O156">
        <v>0</v>
      </c>
      <c r="P156">
        <v>10000</v>
      </c>
      <c r="Q156">
        <v>1000</v>
      </c>
      <c r="R156">
        <v>1</v>
      </c>
      <c r="S156">
        <v>1</v>
      </c>
      <c r="T156">
        <v>1</v>
      </c>
      <c r="U156">
        <v>0</v>
      </c>
      <c r="V156">
        <v>30000</v>
      </c>
      <c r="W156" s="3">
        <v>0</v>
      </c>
      <c r="X156">
        <v>0</v>
      </c>
      <c r="Y156">
        <v>10000</v>
      </c>
    </row>
    <row r="157" spans="1:25" x14ac:dyDescent="0.3">
      <c r="A157" s="3">
        <v>250000</v>
      </c>
      <c r="B157">
        <v>0</v>
      </c>
      <c r="C157">
        <v>1</v>
      </c>
      <c r="D157">
        <v>20</v>
      </c>
      <c r="E157">
        <v>0</v>
      </c>
      <c r="F157">
        <v>0</v>
      </c>
      <c r="G157">
        <v>0</v>
      </c>
      <c r="H157">
        <v>0</v>
      </c>
      <c r="I157">
        <v>1</v>
      </c>
      <c r="J157">
        <v>0</v>
      </c>
      <c r="K157">
        <v>0</v>
      </c>
      <c r="L157">
        <v>1</v>
      </c>
      <c r="M157">
        <v>0</v>
      </c>
      <c r="N157">
        <v>1</v>
      </c>
      <c r="O157">
        <v>1</v>
      </c>
      <c r="P157" s="3">
        <v>20000</v>
      </c>
      <c r="Q157">
        <v>1000</v>
      </c>
      <c r="R157">
        <v>1</v>
      </c>
      <c r="S157">
        <v>1</v>
      </c>
      <c r="T157">
        <v>1</v>
      </c>
      <c r="U157">
        <v>0</v>
      </c>
      <c r="V157">
        <v>65000</v>
      </c>
      <c r="W157" s="3">
        <v>32258.06452</v>
      </c>
      <c r="X157">
        <v>0</v>
      </c>
      <c r="Y157">
        <v>20000</v>
      </c>
    </row>
    <row r="158" spans="1:25" x14ac:dyDescent="0.3">
      <c r="A158" s="3">
        <v>100000</v>
      </c>
      <c r="B158">
        <v>1</v>
      </c>
      <c r="C158">
        <v>0</v>
      </c>
      <c r="D158">
        <v>35</v>
      </c>
      <c r="E158">
        <v>0</v>
      </c>
      <c r="F158">
        <v>0</v>
      </c>
      <c r="G158">
        <v>0</v>
      </c>
      <c r="H158">
        <v>0</v>
      </c>
      <c r="I158">
        <v>1</v>
      </c>
      <c r="J158">
        <v>0</v>
      </c>
      <c r="K158">
        <v>1</v>
      </c>
      <c r="L158">
        <v>1</v>
      </c>
      <c r="M158">
        <v>1</v>
      </c>
      <c r="N158">
        <v>0</v>
      </c>
      <c r="O158">
        <v>1</v>
      </c>
      <c r="P158">
        <v>60000</v>
      </c>
      <c r="Q158">
        <v>3000</v>
      </c>
      <c r="R158">
        <v>1</v>
      </c>
      <c r="S158">
        <v>1</v>
      </c>
      <c r="T158">
        <v>1</v>
      </c>
      <c r="U158">
        <v>0</v>
      </c>
      <c r="V158">
        <v>0</v>
      </c>
      <c r="W158" s="3">
        <v>5555.5555560000003</v>
      </c>
      <c r="X158">
        <v>0</v>
      </c>
      <c r="Y158">
        <v>60000</v>
      </c>
    </row>
    <row r="159" spans="1:25" x14ac:dyDescent="0.3">
      <c r="A159" s="3">
        <v>20000</v>
      </c>
      <c r="B159">
        <v>1</v>
      </c>
      <c r="C159">
        <v>0</v>
      </c>
      <c r="D159">
        <v>25</v>
      </c>
      <c r="E159">
        <v>0</v>
      </c>
      <c r="F159">
        <v>0</v>
      </c>
      <c r="G159">
        <v>0</v>
      </c>
      <c r="H159">
        <v>0</v>
      </c>
      <c r="I159">
        <v>1</v>
      </c>
      <c r="J159">
        <v>0</v>
      </c>
      <c r="K159">
        <v>0</v>
      </c>
      <c r="L159">
        <v>1</v>
      </c>
      <c r="M159">
        <v>1</v>
      </c>
      <c r="N159">
        <v>1</v>
      </c>
      <c r="O159">
        <v>0</v>
      </c>
      <c r="P159">
        <v>40000</v>
      </c>
      <c r="Q159">
        <v>1000</v>
      </c>
      <c r="R159">
        <v>1</v>
      </c>
      <c r="S159">
        <v>1</v>
      </c>
      <c r="T159">
        <v>1</v>
      </c>
      <c r="U159">
        <v>0</v>
      </c>
      <c r="V159">
        <v>50000</v>
      </c>
      <c r="W159" s="3">
        <v>40000</v>
      </c>
      <c r="X159">
        <v>0</v>
      </c>
      <c r="Y159">
        <v>40000</v>
      </c>
    </row>
    <row r="160" spans="1:25" x14ac:dyDescent="0.3">
      <c r="A160" s="3">
        <v>200000</v>
      </c>
      <c r="B160">
        <v>1</v>
      </c>
      <c r="C160">
        <v>0</v>
      </c>
      <c r="D160">
        <v>10</v>
      </c>
      <c r="E160">
        <v>0</v>
      </c>
      <c r="F160">
        <v>0</v>
      </c>
      <c r="G160">
        <v>0</v>
      </c>
      <c r="H160">
        <v>0</v>
      </c>
      <c r="I160">
        <v>1</v>
      </c>
      <c r="J160">
        <v>0</v>
      </c>
      <c r="K160">
        <v>0</v>
      </c>
      <c r="L160">
        <v>0</v>
      </c>
      <c r="M160">
        <v>0</v>
      </c>
      <c r="N160">
        <v>1</v>
      </c>
      <c r="O160">
        <v>0</v>
      </c>
      <c r="P160" s="2">
        <v>100000</v>
      </c>
      <c r="Q160">
        <v>2000</v>
      </c>
      <c r="R160">
        <v>1</v>
      </c>
      <c r="S160">
        <v>1</v>
      </c>
      <c r="T160">
        <v>1</v>
      </c>
      <c r="U160">
        <v>0</v>
      </c>
      <c r="V160">
        <v>15000</v>
      </c>
      <c r="W160" s="3">
        <v>66666.666670000006</v>
      </c>
      <c r="X160">
        <v>0</v>
      </c>
      <c r="Y160" s="2">
        <v>100000</v>
      </c>
    </row>
    <row r="161" spans="1:25" x14ac:dyDescent="0.3">
      <c r="A161" s="3">
        <v>250000</v>
      </c>
      <c r="B161">
        <v>1</v>
      </c>
      <c r="C161">
        <v>0</v>
      </c>
      <c r="D161">
        <v>15</v>
      </c>
      <c r="E161">
        <v>0</v>
      </c>
      <c r="F161">
        <v>0</v>
      </c>
      <c r="G161">
        <v>0</v>
      </c>
      <c r="H161">
        <v>0</v>
      </c>
      <c r="I161">
        <v>1</v>
      </c>
      <c r="J161">
        <v>0</v>
      </c>
      <c r="K161">
        <v>0</v>
      </c>
      <c r="L161">
        <v>1</v>
      </c>
      <c r="M161">
        <v>0</v>
      </c>
      <c r="N161">
        <v>0</v>
      </c>
      <c r="O161">
        <v>0</v>
      </c>
      <c r="P161">
        <v>25000</v>
      </c>
      <c r="Q161">
        <v>1000</v>
      </c>
      <c r="R161">
        <v>1</v>
      </c>
      <c r="S161">
        <v>1</v>
      </c>
      <c r="T161">
        <v>1</v>
      </c>
      <c r="U161">
        <v>0</v>
      </c>
      <c r="V161">
        <v>30000</v>
      </c>
      <c r="W161" s="3">
        <v>10000</v>
      </c>
      <c r="X161">
        <v>0</v>
      </c>
      <c r="Y161">
        <v>25000</v>
      </c>
    </row>
    <row r="162" spans="1:25" x14ac:dyDescent="0.3">
      <c r="A162" s="3">
        <v>200000</v>
      </c>
      <c r="B162">
        <v>1</v>
      </c>
      <c r="C162">
        <v>0</v>
      </c>
      <c r="D162">
        <v>20</v>
      </c>
      <c r="E162">
        <v>1</v>
      </c>
      <c r="F162">
        <v>0</v>
      </c>
      <c r="G162">
        <v>0</v>
      </c>
      <c r="H162">
        <v>0</v>
      </c>
      <c r="I162">
        <v>1</v>
      </c>
      <c r="J162">
        <v>0</v>
      </c>
      <c r="K162">
        <v>0</v>
      </c>
      <c r="L162">
        <v>0</v>
      </c>
      <c r="M162">
        <v>1</v>
      </c>
      <c r="N162">
        <v>1</v>
      </c>
      <c r="O162">
        <v>0</v>
      </c>
      <c r="P162" s="2">
        <v>100000</v>
      </c>
      <c r="Q162">
        <v>1500</v>
      </c>
      <c r="R162">
        <v>1</v>
      </c>
      <c r="S162">
        <v>1</v>
      </c>
      <c r="T162">
        <v>1</v>
      </c>
      <c r="U162">
        <v>0</v>
      </c>
      <c r="V162">
        <v>35000</v>
      </c>
      <c r="W162" s="3">
        <v>25000</v>
      </c>
      <c r="X162">
        <v>0</v>
      </c>
      <c r="Y162" s="2">
        <v>100000</v>
      </c>
    </row>
    <row r="163" spans="1:25" x14ac:dyDescent="0.3">
      <c r="A163" s="3">
        <v>100000</v>
      </c>
      <c r="B163">
        <v>1</v>
      </c>
      <c r="C163">
        <v>0</v>
      </c>
      <c r="D163">
        <v>20</v>
      </c>
      <c r="E163">
        <v>1</v>
      </c>
      <c r="F163">
        <v>0</v>
      </c>
      <c r="G163">
        <v>0</v>
      </c>
      <c r="H163">
        <v>0</v>
      </c>
      <c r="I163">
        <v>1</v>
      </c>
      <c r="J163">
        <v>0</v>
      </c>
      <c r="K163">
        <v>0</v>
      </c>
      <c r="L163">
        <v>1</v>
      </c>
      <c r="M163">
        <v>1</v>
      </c>
      <c r="N163">
        <v>1</v>
      </c>
      <c r="O163">
        <v>0</v>
      </c>
      <c r="P163">
        <v>110000</v>
      </c>
      <c r="Q163">
        <v>1500</v>
      </c>
      <c r="R163">
        <v>1</v>
      </c>
      <c r="S163">
        <v>1</v>
      </c>
      <c r="T163">
        <v>1</v>
      </c>
      <c r="U163">
        <v>0</v>
      </c>
      <c r="V163">
        <v>0</v>
      </c>
      <c r="W163" s="3">
        <v>116666.6667</v>
      </c>
      <c r="X163">
        <v>0</v>
      </c>
      <c r="Y163">
        <v>110000</v>
      </c>
    </row>
    <row r="164" spans="1:25" x14ac:dyDescent="0.3">
      <c r="A164" s="3">
        <v>100000</v>
      </c>
      <c r="B164">
        <v>0</v>
      </c>
      <c r="C164">
        <v>0</v>
      </c>
      <c r="D164">
        <v>25</v>
      </c>
      <c r="E164">
        <v>0</v>
      </c>
      <c r="F164">
        <v>0</v>
      </c>
      <c r="G164">
        <v>0</v>
      </c>
      <c r="H164">
        <v>0</v>
      </c>
      <c r="I164">
        <v>1</v>
      </c>
      <c r="J164">
        <v>0</v>
      </c>
      <c r="K164">
        <v>0</v>
      </c>
      <c r="L164">
        <v>1</v>
      </c>
      <c r="M164">
        <v>1</v>
      </c>
      <c r="N164">
        <v>1</v>
      </c>
      <c r="O164">
        <v>1</v>
      </c>
      <c r="P164" s="3">
        <v>20000</v>
      </c>
      <c r="Q164">
        <v>3000</v>
      </c>
      <c r="R164">
        <v>1</v>
      </c>
      <c r="S164">
        <v>1</v>
      </c>
      <c r="T164">
        <v>1</v>
      </c>
      <c r="U164">
        <v>0</v>
      </c>
      <c r="V164">
        <v>50000</v>
      </c>
      <c r="W164" s="3">
        <v>50000</v>
      </c>
      <c r="X164">
        <v>0</v>
      </c>
      <c r="Y164">
        <v>20000</v>
      </c>
    </row>
    <row r="165" spans="1:25" x14ac:dyDescent="0.3">
      <c r="A165" s="3">
        <v>0</v>
      </c>
      <c r="B165">
        <v>1</v>
      </c>
      <c r="C165">
        <v>0</v>
      </c>
      <c r="D165">
        <v>20</v>
      </c>
      <c r="E165">
        <v>1</v>
      </c>
      <c r="F165">
        <v>0</v>
      </c>
      <c r="G165">
        <v>0</v>
      </c>
      <c r="H165">
        <v>0</v>
      </c>
      <c r="I165">
        <v>1</v>
      </c>
      <c r="J165">
        <v>0</v>
      </c>
      <c r="K165">
        <v>1</v>
      </c>
      <c r="L165">
        <v>1</v>
      </c>
      <c r="M165">
        <v>1</v>
      </c>
      <c r="N165">
        <v>0</v>
      </c>
      <c r="O165">
        <v>1</v>
      </c>
      <c r="P165">
        <v>50000</v>
      </c>
      <c r="Q165">
        <v>3000</v>
      </c>
      <c r="R165">
        <v>1</v>
      </c>
      <c r="S165">
        <v>1</v>
      </c>
      <c r="T165">
        <v>1</v>
      </c>
      <c r="U165">
        <v>0</v>
      </c>
      <c r="V165">
        <v>320000</v>
      </c>
      <c r="W165" s="3">
        <v>100000</v>
      </c>
      <c r="X165">
        <v>0</v>
      </c>
      <c r="Y165">
        <v>50000</v>
      </c>
    </row>
    <row r="166" spans="1:25" x14ac:dyDescent="0.3">
      <c r="A166" s="3">
        <v>0</v>
      </c>
      <c r="B166">
        <v>1</v>
      </c>
      <c r="C166">
        <v>0</v>
      </c>
      <c r="D166">
        <v>30</v>
      </c>
      <c r="E166">
        <v>1</v>
      </c>
      <c r="F166">
        <v>0</v>
      </c>
      <c r="G166">
        <v>0</v>
      </c>
      <c r="H166">
        <v>0</v>
      </c>
      <c r="I166">
        <v>1</v>
      </c>
      <c r="J166">
        <v>0</v>
      </c>
      <c r="K166">
        <v>1</v>
      </c>
      <c r="L166">
        <v>1</v>
      </c>
      <c r="M166">
        <v>1</v>
      </c>
      <c r="N166">
        <v>1</v>
      </c>
      <c r="O166">
        <v>1</v>
      </c>
      <c r="P166">
        <v>20000</v>
      </c>
      <c r="Q166">
        <v>2000</v>
      </c>
      <c r="R166">
        <v>1</v>
      </c>
      <c r="S166">
        <v>1</v>
      </c>
      <c r="T166">
        <v>1</v>
      </c>
      <c r="U166">
        <v>0</v>
      </c>
      <c r="V166">
        <v>99000</v>
      </c>
      <c r="W166" s="3">
        <v>66666.666670000006</v>
      </c>
      <c r="X166">
        <v>0</v>
      </c>
      <c r="Y166">
        <v>20000</v>
      </c>
    </row>
    <row r="167" spans="1:25" x14ac:dyDescent="0.3">
      <c r="A167" s="3">
        <v>0</v>
      </c>
      <c r="B167">
        <v>1</v>
      </c>
      <c r="C167">
        <v>0</v>
      </c>
      <c r="D167">
        <v>0</v>
      </c>
      <c r="E167">
        <v>0</v>
      </c>
      <c r="F167">
        <v>0</v>
      </c>
      <c r="G167">
        <v>0</v>
      </c>
      <c r="H167">
        <v>0</v>
      </c>
      <c r="I167">
        <v>1</v>
      </c>
      <c r="J167">
        <v>0</v>
      </c>
      <c r="K167">
        <v>0</v>
      </c>
      <c r="L167">
        <v>0</v>
      </c>
      <c r="M167">
        <v>1</v>
      </c>
      <c r="N167">
        <v>1</v>
      </c>
      <c r="O167">
        <v>1</v>
      </c>
      <c r="P167">
        <v>40000</v>
      </c>
      <c r="Q167">
        <v>3000</v>
      </c>
      <c r="R167">
        <v>1</v>
      </c>
      <c r="S167">
        <v>1</v>
      </c>
      <c r="T167">
        <v>1</v>
      </c>
      <c r="U167">
        <v>0</v>
      </c>
      <c r="V167">
        <v>0</v>
      </c>
      <c r="W167" s="3">
        <v>90909.090909999999</v>
      </c>
      <c r="X167">
        <v>0</v>
      </c>
      <c r="Y167">
        <v>40000</v>
      </c>
    </row>
    <row r="168" spans="1:25" x14ac:dyDescent="0.3">
      <c r="A168" s="3">
        <v>0</v>
      </c>
      <c r="B168">
        <v>1</v>
      </c>
      <c r="C168">
        <v>0</v>
      </c>
      <c r="D168">
        <v>10</v>
      </c>
      <c r="E168">
        <v>0</v>
      </c>
      <c r="F168">
        <v>0</v>
      </c>
      <c r="G168">
        <v>0</v>
      </c>
      <c r="H168">
        <v>0</v>
      </c>
      <c r="I168">
        <v>1</v>
      </c>
      <c r="J168">
        <v>0</v>
      </c>
      <c r="K168">
        <v>1</v>
      </c>
      <c r="L168">
        <v>1</v>
      </c>
      <c r="M168">
        <v>1</v>
      </c>
      <c r="N168">
        <v>0</v>
      </c>
      <c r="O168">
        <v>1</v>
      </c>
      <c r="P168">
        <v>55000</v>
      </c>
      <c r="Q168">
        <v>2000</v>
      </c>
      <c r="R168">
        <v>1</v>
      </c>
      <c r="S168">
        <v>1</v>
      </c>
      <c r="T168">
        <v>1</v>
      </c>
      <c r="U168">
        <v>0</v>
      </c>
      <c r="V168">
        <v>0</v>
      </c>
      <c r="W168" s="3">
        <v>75000</v>
      </c>
      <c r="X168">
        <v>0</v>
      </c>
    </row>
    <row r="169" spans="1:25" x14ac:dyDescent="0.3">
      <c r="A169" s="3">
        <v>0</v>
      </c>
      <c r="B169">
        <v>1</v>
      </c>
      <c r="C169">
        <v>0</v>
      </c>
      <c r="D169">
        <v>18</v>
      </c>
      <c r="E169">
        <v>0</v>
      </c>
      <c r="F169">
        <v>0</v>
      </c>
      <c r="G169">
        <v>0</v>
      </c>
      <c r="H169">
        <v>0</v>
      </c>
      <c r="I169">
        <v>1</v>
      </c>
      <c r="J169">
        <v>0</v>
      </c>
      <c r="K169">
        <v>0</v>
      </c>
      <c r="L169">
        <v>1</v>
      </c>
      <c r="M169">
        <v>1</v>
      </c>
      <c r="N169">
        <v>1</v>
      </c>
      <c r="O169">
        <v>1</v>
      </c>
      <c r="P169">
        <v>25000</v>
      </c>
      <c r="Q169">
        <v>4000</v>
      </c>
      <c r="R169">
        <v>1</v>
      </c>
      <c r="S169">
        <v>1</v>
      </c>
      <c r="T169">
        <v>1</v>
      </c>
      <c r="U169">
        <v>0</v>
      </c>
      <c r="V169">
        <v>0</v>
      </c>
      <c r="W169" s="3">
        <v>45454.545449999998</v>
      </c>
      <c r="X169">
        <v>0</v>
      </c>
      <c r="Y169">
        <v>25000</v>
      </c>
    </row>
    <row r="170" spans="1:25" x14ac:dyDescent="0.3">
      <c r="A170" s="3">
        <v>150000</v>
      </c>
      <c r="B170">
        <v>1</v>
      </c>
      <c r="C170">
        <v>0</v>
      </c>
      <c r="D170">
        <v>35</v>
      </c>
      <c r="E170">
        <v>1</v>
      </c>
      <c r="F170">
        <v>0</v>
      </c>
      <c r="G170">
        <v>0</v>
      </c>
      <c r="H170">
        <v>0</v>
      </c>
      <c r="I170">
        <v>1</v>
      </c>
      <c r="J170">
        <v>0</v>
      </c>
      <c r="K170">
        <v>1</v>
      </c>
      <c r="L170">
        <v>1</v>
      </c>
      <c r="M170">
        <v>1</v>
      </c>
      <c r="N170">
        <v>1</v>
      </c>
      <c r="O170">
        <v>1</v>
      </c>
      <c r="P170">
        <v>30000</v>
      </c>
      <c r="Q170">
        <v>1500</v>
      </c>
      <c r="R170">
        <v>1</v>
      </c>
      <c r="S170">
        <v>1</v>
      </c>
      <c r="T170">
        <v>1</v>
      </c>
      <c r="U170">
        <v>0</v>
      </c>
      <c r="V170">
        <v>78000</v>
      </c>
      <c r="W170" s="3">
        <v>0</v>
      </c>
      <c r="X170">
        <v>0</v>
      </c>
      <c r="Y170">
        <v>30000</v>
      </c>
    </row>
    <row r="171" spans="1:25" x14ac:dyDescent="0.3">
      <c r="A171" s="3">
        <v>0</v>
      </c>
      <c r="B171">
        <v>1</v>
      </c>
      <c r="C171">
        <v>0</v>
      </c>
      <c r="D171">
        <v>10</v>
      </c>
      <c r="E171">
        <v>0</v>
      </c>
      <c r="F171">
        <v>0</v>
      </c>
      <c r="G171">
        <v>0</v>
      </c>
      <c r="H171">
        <v>0</v>
      </c>
      <c r="I171">
        <v>1</v>
      </c>
      <c r="J171">
        <v>0</v>
      </c>
      <c r="K171">
        <v>0</v>
      </c>
      <c r="L171">
        <v>1</v>
      </c>
      <c r="M171">
        <v>1</v>
      </c>
      <c r="N171">
        <v>1</v>
      </c>
      <c r="O171">
        <v>1</v>
      </c>
      <c r="P171">
        <v>40000</v>
      </c>
      <c r="Q171">
        <v>3000</v>
      </c>
      <c r="R171">
        <v>1</v>
      </c>
      <c r="S171">
        <v>1</v>
      </c>
      <c r="T171">
        <v>1</v>
      </c>
      <c r="U171">
        <v>0</v>
      </c>
      <c r="V171">
        <v>0</v>
      </c>
      <c r="W171" s="3">
        <v>22222.22222</v>
      </c>
      <c r="X171">
        <v>0</v>
      </c>
      <c r="Y171">
        <v>40000</v>
      </c>
    </row>
    <row r="172" spans="1:25" x14ac:dyDescent="0.3">
      <c r="A172" s="3">
        <v>0</v>
      </c>
      <c r="B172">
        <v>1</v>
      </c>
      <c r="C172">
        <v>0</v>
      </c>
      <c r="D172">
        <v>20</v>
      </c>
      <c r="E172">
        <v>0</v>
      </c>
      <c r="F172">
        <v>0</v>
      </c>
      <c r="G172">
        <v>0</v>
      </c>
      <c r="H172">
        <v>0</v>
      </c>
      <c r="I172">
        <v>1</v>
      </c>
      <c r="J172">
        <v>0</v>
      </c>
      <c r="K172">
        <v>0</v>
      </c>
      <c r="L172">
        <v>1</v>
      </c>
      <c r="M172">
        <v>1</v>
      </c>
      <c r="N172">
        <v>1</v>
      </c>
      <c r="O172">
        <v>1</v>
      </c>
      <c r="P172">
        <v>50000</v>
      </c>
      <c r="Q172">
        <v>1000</v>
      </c>
      <c r="R172">
        <v>1</v>
      </c>
      <c r="S172">
        <v>1</v>
      </c>
      <c r="T172">
        <v>1</v>
      </c>
      <c r="U172">
        <v>0</v>
      </c>
      <c r="V172">
        <v>0</v>
      </c>
      <c r="W172" s="3">
        <v>83333.333329999994</v>
      </c>
      <c r="X172">
        <v>0</v>
      </c>
      <c r="Y172">
        <v>50000</v>
      </c>
    </row>
    <row r="173" spans="1:25" x14ac:dyDescent="0.3">
      <c r="A173" s="3">
        <v>0</v>
      </c>
      <c r="B173">
        <v>1</v>
      </c>
      <c r="C173">
        <v>0</v>
      </c>
      <c r="D173">
        <v>30</v>
      </c>
      <c r="E173">
        <v>0</v>
      </c>
      <c r="F173">
        <v>0</v>
      </c>
      <c r="G173">
        <v>0</v>
      </c>
      <c r="H173">
        <v>0</v>
      </c>
      <c r="I173">
        <v>0</v>
      </c>
      <c r="J173">
        <v>0</v>
      </c>
      <c r="K173">
        <v>0</v>
      </c>
      <c r="L173">
        <v>1</v>
      </c>
      <c r="M173">
        <v>1</v>
      </c>
      <c r="N173">
        <v>1</v>
      </c>
      <c r="O173">
        <v>1</v>
      </c>
      <c r="P173">
        <v>35000</v>
      </c>
      <c r="Q173">
        <v>3000</v>
      </c>
      <c r="R173">
        <v>1</v>
      </c>
      <c r="S173">
        <v>1</v>
      </c>
      <c r="T173">
        <v>1</v>
      </c>
      <c r="U173">
        <v>0</v>
      </c>
      <c r="V173">
        <v>78000</v>
      </c>
      <c r="W173" s="3">
        <v>86956.521739999996</v>
      </c>
      <c r="X173">
        <v>0</v>
      </c>
      <c r="Y173">
        <v>35000</v>
      </c>
    </row>
    <row r="174" spans="1:25" x14ac:dyDescent="0.3">
      <c r="A174" s="3">
        <v>0</v>
      </c>
      <c r="B174">
        <v>1</v>
      </c>
      <c r="C174">
        <v>0</v>
      </c>
      <c r="D174">
        <v>30</v>
      </c>
      <c r="E174">
        <v>0</v>
      </c>
      <c r="F174">
        <v>0</v>
      </c>
      <c r="G174">
        <v>0</v>
      </c>
      <c r="H174">
        <v>0</v>
      </c>
      <c r="I174">
        <v>1</v>
      </c>
      <c r="J174">
        <v>0</v>
      </c>
      <c r="K174">
        <v>0</v>
      </c>
      <c r="L174">
        <v>1</v>
      </c>
      <c r="M174">
        <v>1</v>
      </c>
      <c r="N174">
        <v>1</v>
      </c>
      <c r="O174">
        <v>1</v>
      </c>
      <c r="P174">
        <v>15000</v>
      </c>
      <c r="Q174">
        <v>5000</v>
      </c>
      <c r="R174">
        <v>1</v>
      </c>
      <c r="S174">
        <v>1</v>
      </c>
      <c r="T174">
        <v>1</v>
      </c>
      <c r="U174">
        <v>0</v>
      </c>
      <c r="V174">
        <v>50000</v>
      </c>
      <c r="W174" s="3">
        <v>20000</v>
      </c>
      <c r="X174">
        <v>0</v>
      </c>
      <c r="Y174">
        <v>15000</v>
      </c>
    </row>
    <row r="175" spans="1:25" x14ac:dyDescent="0.3">
      <c r="A175" s="3">
        <v>0</v>
      </c>
      <c r="B175">
        <v>1</v>
      </c>
      <c r="C175">
        <v>0</v>
      </c>
      <c r="D175">
        <v>20</v>
      </c>
      <c r="E175">
        <v>0</v>
      </c>
      <c r="F175">
        <v>0</v>
      </c>
      <c r="G175">
        <v>0</v>
      </c>
      <c r="H175">
        <v>0</v>
      </c>
      <c r="I175">
        <v>1</v>
      </c>
      <c r="J175">
        <v>0</v>
      </c>
      <c r="K175">
        <v>0</v>
      </c>
      <c r="L175">
        <v>1</v>
      </c>
      <c r="M175">
        <v>1</v>
      </c>
      <c r="N175">
        <v>1</v>
      </c>
      <c r="O175">
        <v>0</v>
      </c>
      <c r="P175">
        <v>60000</v>
      </c>
      <c r="Q175">
        <v>3000</v>
      </c>
      <c r="R175">
        <v>1</v>
      </c>
      <c r="S175">
        <v>1</v>
      </c>
      <c r="T175">
        <v>1</v>
      </c>
      <c r="U175">
        <v>0</v>
      </c>
      <c r="V175">
        <v>50000</v>
      </c>
      <c r="W175" s="3">
        <v>153846.1538</v>
      </c>
      <c r="X175">
        <v>0</v>
      </c>
      <c r="Y175">
        <v>60000</v>
      </c>
    </row>
    <row r="176" spans="1:25" x14ac:dyDescent="0.3">
      <c r="A176" s="3">
        <v>175000</v>
      </c>
      <c r="B176">
        <v>0</v>
      </c>
      <c r="C176">
        <v>0</v>
      </c>
      <c r="D176">
        <v>40</v>
      </c>
      <c r="E176">
        <v>0</v>
      </c>
      <c r="F176">
        <v>0</v>
      </c>
      <c r="G176">
        <v>0</v>
      </c>
      <c r="H176">
        <v>0</v>
      </c>
      <c r="I176">
        <v>1</v>
      </c>
      <c r="J176">
        <v>0</v>
      </c>
      <c r="K176">
        <v>0</v>
      </c>
      <c r="L176">
        <v>1</v>
      </c>
      <c r="M176">
        <v>1</v>
      </c>
      <c r="N176">
        <v>0</v>
      </c>
      <c r="O176">
        <v>1</v>
      </c>
      <c r="P176" s="3">
        <v>40000</v>
      </c>
      <c r="Q176">
        <v>1000</v>
      </c>
      <c r="R176">
        <v>1</v>
      </c>
      <c r="S176">
        <v>1</v>
      </c>
      <c r="T176">
        <v>1</v>
      </c>
      <c r="U176">
        <v>0</v>
      </c>
      <c r="V176">
        <v>38000</v>
      </c>
      <c r="W176" s="3">
        <v>31250</v>
      </c>
      <c r="X176">
        <v>0</v>
      </c>
      <c r="Y176">
        <v>40000</v>
      </c>
    </row>
    <row r="177" spans="1:25" x14ac:dyDescent="0.3">
      <c r="A177" s="3">
        <v>5000</v>
      </c>
      <c r="B177">
        <v>1</v>
      </c>
      <c r="C177">
        <v>0</v>
      </c>
      <c r="D177">
        <v>20</v>
      </c>
      <c r="E177">
        <v>0</v>
      </c>
      <c r="F177">
        <v>1</v>
      </c>
      <c r="G177">
        <v>0</v>
      </c>
      <c r="H177">
        <v>0</v>
      </c>
      <c r="I177">
        <v>1</v>
      </c>
      <c r="J177">
        <v>0</v>
      </c>
      <c r="K177">
        <v>0</v>
      </c>
      <c r="L177">
        <v>1</v>
      </c>
      <c r="M177">
        <v>1</v>
      </c>
      <c r="N177">
        <v>1</v>
      </c>
      <c r="O177">
        <v>1</v>
      </c>
      <c r="P177">
        <v>50000</v>
      </c>
      <c r="Q177">
        <v>3000</v>
      </c>
      <c r="R177">
        <v>1</v>
      </c>
      <c r="S177">
        <v>1</v>
      </c>
      <c r="T177">
        <v>1</v>
      </c>
      <c r="U177">
        <v>0</v>
      </c>
      <c r="V177">
        <v>20000</v>
      </c>
      <c r="W177" s="3">
        <v>66666.666670000006</v>
      </c>
      <c r="X177">
        <v>0</v>
      </c>
      <c r="Y177">
        <v>50000</v>
      </c>
    </row>
    <row r="178" spans="1:25" x14ac:dyDescent="0.3">
      <c r="A178" s="3">
        <v>80000</v>
      </c>
      <c r="B178">
        <v>0</v>
      </c>
      <c r="C178">
        <v>0</v>
      </c>
      <c r="D178">
        <v>10</v>
      </c>
      <c r="E178">
        <v>1</v>
      </c>
      <c r="F178">
        <v>0</v>
      </c>
      <c r="G178">
        <v>0</v>
      </c>
      <c r="H178">
        <v>0</v>
      </c>
      <c r="I178">
        <v>0</v>
      </c>
      <c r="J178">
        <v>0</v>
      </c>
      <c r="K178">
        <v>0</v>
      </c>
      <c r="L178">
        <v>1</v>
      </c>
      <c r="M178">
        <v>0</v>
      </c>
      <c r="N178">
        <v>1</v>
      </c>
      <c r="O178">
        <v>1</v>
      </c>
      <c r="P178" s="3">
        <v>40000</v>
      </c>
      <c r="Q178">
        <v>3000</v>
      </c>
      <c r="R178">
        <v>1</v>
      </c>
      <c r="S178">
        <v>1</v>
      </c>
      <c r="T178">
        <v>1</v>
      </c>
      <c r="U178">
        <v>0</v>
      </c>
      <c r="V178">
        <v>24000</v>
      </c>
      <c r="W178" s="3">
        <v>26000</v>
      </c>
      <c r="X178">
        <v>0</v>
      </c>
      <c r="Y178">
        <v>40000</v>
      </c>
    </row>
    <row r="179" spans="1:25" x14ac:dyDescent="0.3">
      <c r="A179" s="3">
        <v>0</v>
      </c>
      <c r="B179">
        <v>1</v>
      </c>
      <c r="C179">
        <v>0</v>
      </c>
      <c r="D179">
        <v>20</v>
      </c>
      <c r="E179">
        <v>0</v>
      </c>
      <c r="F179">
        <v>0</v>
      </c>
      <c r="G179">
        <v>0</v>
      </c>
      <c r="H179">
        <v>0</v>
      </c>
      <c r="I179">
        <v>1</v>
      </c>
      <c r="J179">
        <v>0</v>
      </c>
      <c r="K179">
        <v>0</v>
      </c>
      <c r="L179">
        <v>1</v>
      </c>
      <c r="M179">
        <v>1</v>
      </c>
      <c r="N179">
        <v>1</v>
      </c>
      <c r="O179">
        <v>1</v>
      </c>
      <c r="P179">
        <v>60000</v>
      </c>
      <c r="Q179">
        <v>300</v>
      </c>
      <c r="R179">
        <v>1</v>
      </c>
      <c r="S179">
        <v>1</v>
      </c>
      <c r="T179">
        <v>1</v>
      </c>
      <c r="U179">
        <v>0</v>
      </c>
      <c r="V179">
        <v>50000</v>
      </c>
      <c r="W179" s="3">
        <v>35000</v>
      </c>
      <c r="X179">
        <v>0</v>
      </c>
      <c r="Y179">
        <v>60000</v>
      </c>
    </row>
    <row r="180" spans="1:25" x14ac:dyDescent="0.3">
      <c r="A180" s="3">
        <v>0</v>
      </c>
      <c r="B180">
        <v>1</v>
      </c>
      <c r="C180">
        <v>0</v>
      </c>
      <c r="D180">
        <v>3</v>
      </c>
      <c r="E180">
        <v>0</v>
      </c>
      <c r="F180">
        <v>0</v>
      </c>
      <c r="G180">
        <v>0</v>
      </c>
      <c r="H180">
        <v>0</v>
      </c>
      <c r="I180">
        <v>1</v>
      </c>
      <c r="J180">
        <v>0</v>
      </c>
      <c r="K180">
        <v>1</v>
      </c>
      <c r="L180">
        <v>1</v>
      </c>
      <c r="M180">
        <v>1</v>
      </c>
      <c r="N180">
        <v>1</v>
      </c>
      <c r="O180">
        <v>1</v>
      </c>
      <c r="P180">
        <v>15000</v>
      </c>
      <c r="Q180">
        <v>1000</v>
      </c>
      <c r="R180">
        <v>1</v>
      </c>
      <c r="S180">
        <v>1</v>
      </c>
      <c r="T180">
        <v>1</v>
      </c>
      <c r="U180">
        <v>0</v>
      </c>
      <c r="V180">
        <v>15000</v>
      </c>
      <c r="W180" s="3">
        <v>83333.333329999994</v>
      </c>
      <c r="X180">
        <v>0</v>
      </c>
      <c r="Y180">
        <v>15000</v>
      </c>
    </row>
    <row r="181" spans="1:25" x14ac:dyDescent="0.3">
      <c r="A181" s="3">
        <v>0</v>
      </c>
      <c r="B181">
        <v>1</v>
      </c>
      <c r="C181">
        <v>0</v>
      </c>
      <c r="D181">
        <v>20</v>
      </c>
      <c r="E181">
        <v>0</v>
      </c>
      <c r="F181">
        <v>0</v>
      </c>
      <c r="G181">
        <v>0</v>
      </c>
      <c r="H181">
        <v>0</v>
      </c>
      <c r="I181">
        <v>1</v>
      </c>
      <c r="J181">
        <v>0</v>
      </c>
      <c r="K181">
        <v>0</v>
      </c>
      <c r="L181">
        <v>1</v>
      </c>
      <c r="M181">
        <v>1</v>
      </c>
      <c r="N181">
        <v>1</v>
      </c>
      <c r="O181">
        <v>0</v>
      </c>
      <c r="P181">
        <v>4000</v>
      </c>
      <c r="Q181">
        <v>3000</v>
      </c>
      <c r="R181">
        <v>1</v>
      </c>
      <c r="S181">
        <v>1</v>
      </c>
      <c r="T181">
        <v>1</v>
      </c>
      <c r="U181">
        <v>0</v>
      </c>
      <c r="V181">
        <v>50000</v>
      </c>
      <c r="W181" s="3">
        <v>-24600</v>
      </c>
      <c r="X181">
        <v>0</v>
      </c>
      <c r="Y181">
        <v>4000</v>
      </c>
    </row>
    <row r="182" spans="1:25" x14ac:dyDescent="0.3">
      <c r="A182" s="3">
        <v>0</v>
      </c>
      <c r="B182">
        <v>1</v>
      </c>
      <c r="C182">
        <v>0</v>
      </c>
      <c r="D182">
        <v>10</v>
      </c>
      <c r="E182">
        <v>0</v>
      </c>
      <c r="F182">
        <v>0</v>
      </c>
      <c r="G182">
        <v>0</v>
      </c>
      <c r="H182">
        <v>0</v>
      </c>
      <c r="I182">
        <v>1</v>
      </c>
      <c r="J182">
        <v>0</v>
      </c>
      <c r="K182">
        <v>0</v>
      </c>
      <c r="L182">
        <v>1</v>
      </c>
      <c r="M182">
        <v>1</v>
      </c>
      <c r="N182">
        <v>1</v>
      </c>
      <c r="O182">
        <v>1</v>
      </c>
      <c r="P182">
        <v>30000</v>
      </c>
      <c r="Q182">
        <v>3000</v>
      </c>
      <c r="R182">
        <v>1</v>
      </c>
      <c r="S182">
        <v>1</v>
      </c>
      <c r="T182">
        <v>1</v>
      </c>
      <c r="U182">
        <v>0</v>
      </c>
      <c r="V182">
        <v>50000</v>
      </c>
      <c r="W182" s="3">
        <v>90909.090909999999</v>
      </c>
      <c r="X182">
        <v>0</v>
      </c>
      <c r="Y182">
        <v>30000</v>
      </c>
    </row>
    <row r="183" spans="1:25" x14ac:dyDescent="0.3">
      <c r="A183" s="3">
        <v>0</v>
      </c>
      <c r="B183">
        <v>1</v>
      </c>
      <c r="C183">
        <v>0</v>
      </c>
      <c r="D183">
        <v>10</v>
      </c>
      <c r="E183">
        <v>0</v>
      </c>
      <c r="F183">
        <v>0</v>
      </c>
      <c r="G183">
        <v>0</v>
      </c>
      <c r="H183">
        <v>0</v>
      </c>
      <c r="I183">
        <v>1</v>
      </c>
      <c r="J183">
        <v>0</v>
      </c>
      <c r="K183">
        <v>0</v>
      </c>
      <c r="L183">
        <v>1</v>
      </c>
      <c r="M183">
        <v>1</v>
      </c>
      <c r="N183">
        <v>1</v>
      </c>
      <c r="O183">
        <v>1</v>
      </c>
      <c r="P183">
        <v>40000</v>
      </c>
      <c r="Q183">
        <v>3000</v>
      </c>
      <c r="R183">
        <v>1</v>
      </c>
      <c r="S183">
        <v>1</v>
      </c>
      <c r="T183">
        <v>1</v>
      </c>
      <c r="U183">
        <v>0</v>
      </c>
      <c r="V183">
        <v>0</v>
      </c>
      <c r="W183" s="3">
        <v>28571.42857</v>
      </c>
      <c r="X183">
        <v>0</v>
      </c>
      <c r="Y183">
        <v>40000</v>
      </c>
    </row>
    <row r="184" spans="1:25" x14ac:dyDescent="0.3">
      <c r="A184" s="3">
        <v>0</v>
      </c>
      <c r="B184">
        <v>1</v>
      </c>
      <c r="C184">
        <v>0</v>
      </c>
      <c r="D184">
        <v>20</v>
      </c>
      <c r="E184">
        <v>0</v>
      </c>
      <c r="F184">
        <v>0</v>
      </c>
      <c r="G184">
        <v>0</v>
      </c>
      <c r="H184">
        <v>0</v>
      </c>
      <c r="I184">
        <v>1</v>
      </c>
      <c r="J184">
        <v>0</v>
      </c>
      <c r="K184">
        <v>0</v>
      </c>
      <c r="L184">
        <v>1</v>
      </c>
      <c r="M184">
        <v>1</v>
      </c>
      <c r="N184">
        <v>1</v>
      </c>
      <c r="O184">
        <v>1</v>
      </c>
      <c r="P184" s="2">
        <v>100000</v>
      </c>
      <c r="Q184">
        <v>2500</v>
      </c>
      <c r="R184">
        <v>1</v>
      </c>
      <c r="S184">
        <v>1</v>
      </c>
      <c r="T184">
        <v>1</v>
      </c>
      <c r="U184">
        <v>0</v>
      </c>
      <c r="V184">
        <v>50000</v>
      </c>
      <c r="W184" s="3">
        <v>75000</v>
      </c>
      <c r="X184">
        <v>0</v>
      </c>
      <c r="Y184" s="2">
        <v>100000</v>
      </c>
    </row>
    <row r="185" spans="1:25" x14ac:dyDescent="0.3">
      <c r="A185" s="3">
        <v>0</v>
      </c>
      <c r="B185">
        <v>1</v>
      </c>
      <c r="C185">
        <v>0</v>
      </c>
      <c r="D185">
        <v>10</v>
      </c>
      <c r="E185">
        <v>0</v>
      </c>
      <c r="F185">
        <v>0</v>
      </c>
      <c r="G185">
        <v>0</v>
      </c>
      <c r="H185">
        <v>0</v>
      </c>
      <c r="I185">
        <v>1</v>
      </c>
      <c r="J185">
        <v>0</v>
      </c>
      <c r="K185">
        <v>0</v>
      </c>
      <c r="L185">
        <v>1</v>
      </c>
      <c r="M185">
        <v>1</v>
      </c>
      <c r="N185">
        <v>1</v>
      </c>
      <c r="O185">
        <v>1</v>
      </c>
      <c r="P185">
        <v>10000</v>
      </c>
      <c r="Q185">
        <v>10000</v>
      </c>
      <c r="R185">
        <v>1</v>
      </c>
      <c r="S185">
        <v>1</v>
      </c>
      <c r="T185">
        <v>1</v>
      </c>
      <c r="U185">
        <v>0</v>
      </c>
      <c r="V185">
        <v>0</v>
      </c>
      <c r="W185" s="3">
        <v>25000</v>
      </c>
      <c r="X185">
        <v>0</v>
      </c>
      <c r="Y185">
        <v>10000</v>
      </c>
    </row>
    <row r="186" spans="1:25" x14ac:dyDescent="0.3">
      <c r="A186" s="3">
        <v>0</v>
      </c>
      <c r="B186">
        <v>1</v>
      </c>
      <c r="C186">
        <v>0</v>
      </c>
      <c r="D186">
        <v>25</v>
      </c>
      <c r="E186">
        <v>1</v>
      </c>
      <c r="F186">
        <v>0</v>
      </c>
      <c r="G186">
        <v>0</v>
      </c>
      <c r="H186">
        <v>0</v>
      </c>
      <c r="I186">
        <v>1</v>
      </c>
      <c r="J186">
        <v>0</v>
      </c>
      <c r="K186">
        <v>0</v>
      </c>
      <c r="L186">
        <v>1</v>
      </c>
      <c r="M186">
        <v>1</v>
      </c>
      <c r="N186">
        <v>1</v>
      </c>
      <c r="O186">
        <v>1</v>
      </c>
      <c r="P186">
        <v>3000</v>
      </c>
      <c r="Q186">
        <v>3000</v>
      </c>
      <c r="R186">
        <v>1</v>
      </c>
      <c r="S186">
        <v>1</v>
      </c>
      <c r="T186">
        <v>1</v>
      </c>
      <c r="U186">
        <v>0</v>
      </c>
      <c r="V186">
        <v>0</v>
      </c>
      <c r="W186" s="3">
        <v>-6666.6666670000004</v>
      </c>
      <c r="X186">
        <v>0</v>
      </c>
      <c r="Y186">
        <v>3000</v>
      </c>
    </row>
    <row r="187" spans="1:25" x14ac:dyDescent="0.3">
      <c r="A187" s="3">
        <v>0</v>
      </c>
      <c r="B187">
        <v>1</v>
      </c>
      <c r="C187">
        <v>0</v>
      </c>
      <c r="D187">
        <v>30</v>
      </c>
      <c r="E187">
        <v>0</v>
      </c>
      <c r="F187">
        <v>0</v>
      </c>
      <c r="G187">
        <v>0</v>
      </c>
      <c r="H187">
        <v>0</v>
      </c>
      <c r="I187">
        <v>0</v>
      </c>
      <c r="J187">
        <v>0</v>
      </c>
      <c r="K187">
        <v>0</v>
      </c>
      <c r="L187">
        <v>1</v>
      </c>
      <c r="M187">
        <v>0</v>
      </c>
      <c r="N187">
        <v>1</v>
      </c>
      <c r="O187">
        <v>1</v>
      </c>
      <c r="P187">
        <v>40000</v>
      </c>
      <c r="Q187">
        <v>3000</v>
      </c>
      <c r="R187">
        <v>1</v>
      </c>
      <c r="S187">
        <v>1</v>
      </c>
      <c r="T187">
        <v>1</v>
      </c>
      <c r="U187">
        <v>0</v>
      </c>
      <c r="V187">
        <v>70000</v>
      </c>
      <c r="W187" s="3">
        <v>90909.090909999999</v>
      </c>
      <c r="X187">
        <v>0</v>
      </c>
      <c r="Y187">
        <v>40000</v>
      </c>
    </row>
    <row r="188" spans="1:25" x14ac:dyDescent="0.3">
      <c r="A188" s="3">
        <v>35000</v>
      </c>
      <c r="B188">
        <v>0</v>
      </c>
      <c r="C188">
        <v>0</v>
      </c>
      <c r="D188">
        <v>20</v>
      </c>
      <c r="E188">
        <v>0</v>
      </c>
      <c r="F188">
        <v>0</v>
      </c>
      <c r="G188">
        <v>0</v>
      </c>
      <c r="H188">
        <v>0</v>
      </c>
      <c r="I188">
        <v>0</v>
      </c>
      <c r="J188">
        <v>0</v>
      </c>
      <c r="K188">
        <v>0</v>
      </c>
      <c r="L188">
        <v>1</v>
      </c>
      <c r="M188">
        <v>1</v>
      </c>
      <c r="N188">
        <v>0</v>
      </c>
      <c r="O188">
        <v>1</v>
      </c>
      <c r="P188" s="3">
        <v>50000</v>
      </c>
      <c r="Q188">
        <v>5000</v>
      </c>
      <c r="R188">
        <v>1</v>
      </c>
      <c r="S188">
        <v>1</v>
      </c>
      <c r="T188">
        <v>1</v>
      </c>
      <c r="U188">
        <v>0</v>
      </c>
      <c r="V188">
        <v>28000</v>
      </c>
      <c r="W188" s="3">
        <v>40000</v>
      </c>
      <c r="X188">
        <v>0</v>
      </c>
      <c r="Y188">
        <v>50000</v>
      </c>
    </row>
    <row r="189" spans="1:25" x14ac:dyDescent="0.3">
      <c r="A189" s="3">
        <v>40000</v>
      </c>
      <c r="B189">
        <v>1</v>
      </c>
      <c r="C189">
        <v>0</v>
      </c>
      <c r="D189">
        <v>30</v>
      </c>
      <c r="E189">
        <v>1</v>
      </c>
      <c r="F189">
        <v>0</v>
      </c>
      <c r="G189">
        <v>0</v>
      </c>
      <c r="H189">
        <v>0</v>
      </c>
      <c r="I189">
        <v>1</v>
      </c>
      <c r="J189">
        <v>0</v>
      </c>
      <c r="K189">
        <v>0</v>
      </c>
      <c r="L189">
        <v>1</v>
      </c>
      <c r="M189">
        <v>0</v>
      </c>
      <c r="N189">
        <v>1</v>
      </c>
      <c r="O189">
        <v>1</v>
      </c>
      <c r="P189">
        <v>50000</v>
      </c>
      <c r="Q189">
        <v>1000</v>
      </c>
      <c r="R189">
        <v>1</v>
      </c>
      <c r="S189">
        <v>1</v>
      </c>
      <c r="T189">
        <v>1</v>
      </c>
      <c r="U189">
        <v>1</v>
      </c>
      <c r="V189">
        <v>0</v>
      </c>
      <c r="W189" s="3">
        <v>32051.282050000002</v>
      </c>
      <c r="X189">
        <v>0</v>
      </c>
      <c r="Y189">
        <v>50000</v>
      </c>
    </row>
    <row r="190" spans="1:25" x14ac:dyDescent="0.3">
      <c r="A190" s="3">
        <v>250000</v>
      </c>
      <c r="B190">
        <v>1</v>
      </c>
      <c r="C190">
        <v>0</v>
      </c>
      <c r="D190">
        <v>25</v>
      </c>
      <c r="E190">
        <v>1</v>
      </c>
      <c r="F190">
        <v>0</v>
      </c>
      <c r="G190">
        <v>0</v>
      </c>
      <c r="H190">
        <v>0</v>
      </c>
      <c r="I190">
        <v>0</v>
      </c>
      <c r="J190">
        <v>0</v>
      </c>
      <c r="K190">
        <v>0</v>
      </c>
      <c r="L190">
        <v>1</v>
      </c>
      <c r="M190">
        <v>1</v>
      </c>
      <c r="N190">
        <v>1</v>
      </c>
      <c r="O190">
        <v>1</v>
      </c>
      <c r="P190">
        <v>75000</v>
      </c>
      <c r="Q190">
        <v>1500</v>
      </c>
      <c r="R190">
        <v>1</v>
      </c>
      <c r="S190">
        <v>1</v>
      </c>
      <c r="T190">
        <v>1</v>
      </c>
      <c r="U190">
        <v>0</v>
      </c>
      <c r="V190">
        <v>80000</v>
      </c>
      <c r="W190" s="3">
        <v>48000</v>
      </c>
      <c r="X190">
        <v>0</v>
      </c>
      <c r="Y190">
        <v>75000</v>
      </c>
    </row>
    <row r="191" spans="1:25" x14ac:dyDescent="0.3">
      <c r="A191" s="3">
        <v>50000</v>
      </c>
      <c r="B191">
        <v>0</v>
      </c>
      <c r="C191">
        <v>0</v>
      </c>
      <c r="D191">
        <v>30</v>
      </c>
      <c r="E191">
        <v>1</v>
      </c>
      <c r="F191">
        <v>0</v>
      </c>
      <c r="G191">
        <v>0</v>
      </c>
      <c r="H191">
        <v>0</v>
      </c>
      <c r="I191">
        <v>1</v>
      </c>
      <c r="J191">
        <v>0</v>
      </c>
      <c r="K191">
        <v>0</v>
      </c>
      <c r="L191">
        <v>1</v>
      </c>
      <c r="M191">
        <v>1</v>
      </c>
      <c r="N191">
        <v>0</v>
      </c>
      <c r="O191">
        <v>1</v>
      </c>
      <c r="P191" s="3">
        <v>25000</v>
      </c>
      <c r="Q191">
        <v>1000</v>
      </c>
      <c r="R191">
        <v>1</v>
      </c>
      <c r="S191">
        <v>1</v>
      </c>
      <c r="T191">
        <v>1</v>
      </c>
      <c r="U191">
        <v>0</v>
      </c>
      <c r="V191">
        <v>12000</v>
      </c>
      <c r="W191" s="3">
        <v>14285.71429</v>
      </c>
      <c r="X191">
        <v>0</v>
      </c>
      <c r="Y191">
        <v>25000</v>
      </c>
    </row>
    <row r="192" spans="1:25" x14ac:dyDescent="0.3">
      <c r="A192" s="3">
        <v>200000</v>
      </c>
      <c r="B192">
        <v>0</v>
      </c>
      <c r="C192">
        <v>0</v>
      </c>
      <c r="D192">
        <v>20</v>
      </c>
      <c r="E192">
        <v>0</v>
      </c>
      <c r="F192">
        <v>0</v>
      </c>
      <c r="G192">
        <v>0</v>
      </c>
      <c r="H192">
        <v>0</v>
      </c>
      <c r="I192">
        <v>1</v>
      </c>
      <c r="J192">
        <v>0</v>
      </c>
      <c r="K192">
        <v>0</v>
      </c>
      <c r="L192">
        <v>0</v>
      </c>
      <c r="M192">
        <v>0</v>
      </c>
      <c r="N192">
        <v>1</v>
      </c>
      <c r="O192">
        <v>1</v>
      </c>
      <c r="P192" s="3">
        <v>10000</v>
      </c>
      <c r="Q192">
        <v>400</v>
      </c>
      <c r="R192">
        <v>1</v>
      </c>
      <c r="S192">
        <v>1</v>
      </c>
      <c r="T192">
        <v>1</v>
      </c>
      <c r="U192">
        <v>0</v>
      </c>
      <c r="V192">
        <v>35000</v>
      </c>
      <c r="W192" s="3">
        <v>12903.22581</v>
      </c>
      <c r="X192">
        <v>0</v>
      </c>
      <c r="Y192">
        <v>10000</v>
      </c>
    </row>
    <row r="193" spans="1:25" x14ac:dyDescent="0.3">
      <c r="A193" s="3">
        <v>150000</v>
      </c>
      <c r="B193">
        <v>0</v>
      </c>
      <c r="C193">
        <v>0</v>
      </c>
      <c r="D193">
        <v>10</v>
      </c>
      <c r="E193">
        <v>1</v>
      </c>
      <c r="F193">
        <v>0</v>
      </c>
      <c r="G193">
        <v>0</v>
      </c>
      <c r="H193">
        <v>0</v>
      </c>
      <c r="I193">
        <v>0</v>
      </c>
      <c r="J193">
        <v>0</v>
      </c>
      <c r="K193">
        <v>1</v>
      </c>
      <c r="L193">
        <v>0</v>
      </c>
      <c r="M193">
        <v>0</v>
      </c>
      <c r="N193">
        <v>1</v>
      </c>
      <c r="O193">
        <v>1</v>
      </c>
      <c r="P193" s="3">
        <v>50000</v>
      </c>
      <c r="Q193">
        <v>10000</v>
      </c>
      <c r="R193">
        <v>1</v>
      </c>
      <c r="S193">
        <v>1</v>
      </c>
      <c r="T193">
        <v>1</v>
      </c>
      <c r="U193">
        <v>0</v>
      </c>
      <c r="V193" s="2">
        <v>800000</v>
      </c>
      <c r="W193" s="3">
        <v>25000</v>
      </c>
      <c r="X193">
        <v>0</v>
      </c>
      <c r="Y193">
        <v>50000</v>
      </c>
    </row>
    <row r="194" spans="1:25" x14ac:dyDescent="0.3">
      <c r="A194" s="3">
        <v>0</v>
      </c>
      <c r="B194">
        <v>1</v>
      </c>
      <c r="C194">
        <v>0</v>
      </c>
      <c r="D194">
        <v>10</v>
      </c>
      <c r="E194">
        <v>0</v>
      </c>
      <c r="F194">
        <v>0</v>
      </c>
      <c r="G194">
        <v>0</v>
      </c>
      <c r="H194">
        <v>0</v>
      </c>
      <c r="I194">
        <v>1</v>
      </c>
      <c r="J194">
        <v>1</v>
      </c>
      <c r="K194">
        <v>0</v>
      </c>
      <c r="L194">
        <v>1</v>
      </c>
      <c r="M194">
        <v>1</v>
      </c>
      <c r="N194">
        <v>1</v>
      </c>
      <c r="O194">
        <v>1</v>
      </c>
      <c r="P194">
        <v>25000</v>
      </c>
      <c r="Q194">
        <v>10000</v>
      </c>
      <c r="R194">
        <v>1</v>
      </c>
      <c r="S194">
        <v>1</v>
      </c>
      <c r="T194">
        <v>1</v>
      </c>
      <c r="U194">
        <v>0</v>
      </c>
      <c r="V194">
        <v>0</v>
      </c>
      <c r="W194" s="3">
        <v>16666.666669999999</v>
      </c>
      <c r="X194">
        <v>0</v>
      </c>
      <c r="Y194">
        <v>25000</v>
      </c>
    </row>
    <row r="195" spans="1:25" x14ac:dyDescent="0.3">
      <c r="A195" s="3">
        <v>0</v>
      </c>
      <c r="B195">
        <v>1</v>
      </c>
      <c r="C195">
        <v>0</v>
      </c>
      <c r="D195">
        <v>30</v>
      </c>
      <c r="E195">
        <v>0</v>
      </c>
      <c r="F195">
        <v>0</v>
      </c>
      <c r="G195">
        <v>0</v>
      </c>
      <c r="H195">
        <v>0</v>
      </c>
      <c r="I195">
        <v>0</v>
      </c>
      <c r="J195">
        <v>0</v>
      </c>
      <c r="K195">
        <v>0</v>
      </c>
      <c r="L195">
        <v>1</v>
      </c>
      <c r="M195">
        <v>1</v>
      </c>
      <c r="N195">
        <v>1</v>
      </c>
      <c r="O195">
        <v>1</v>
      </c>
      <c r="P195">
        <v>45000</v>
      </c>
      <c r="Q195">
        <v>3000</v>
      </c>
      <c r="R195">
        <v>1</v>
      </c>
      <c r="S195">
        <v>1</v>
      </c>
      <c r="T195">
        <v>1</v>
      </c>
      <c r="U195">
        <v>0</v>
      </c>
      <c r="V195">
        <v>0</v>
      </c>
      <c r="W195" s="3">
        <v>41666.666669999999</v>
      </c>
      <c r="X195">
        <v>0</v>
      </c>
      <c r="Y195">
        <v>45000</v>
      </c>
    </row>
    <row r="196" spans="1:25" x14ac:dyDescent="0.3">
      <c r="A196" s="3">
        <v>25000</v>
      </c>
      <c r="B196">
        <v>1</v>
      </c>
      <c r="C196">
        <v>0</v>
      </c>
      <c r="D196">
        <v>20</v>
      </c>
      <c r="E196">
        <v>0</v>
      </c>
      <c r="F196">
        <v>0</v>
      </c>
      <c r="G196">
        <v>0</v>
      </c>
      <c r="H196">
        <v>0</v>
      </c>
      <c r="I196">
        <v>1</v>
      </c>
      <c r="J196">
        <v>0</v>
      </c>
      <c r="K196">
        <v>1</v>
      </c>
      <c r="L196">
        <v>1</v>
      </c>
      <c r="M196">
        <v>1</v>
      </c>
      <c r="N196">
        <v>1</v>
      </c>
      <c r="O196">
        <v>1</v>
      </c>
      <c r="P196">
        <v>80000</v>
      </c>
      <c r="Q196">
        <v>2500</v>
      </c>
      <c r="R196">
        <v>1</v>
      </c>
      <c r="S196">
        <v>1</v>
      </c>
      <c r="T196">
        <v>1</v>
      </c>
      <c r="U196">
        <v>0</v>
      </c>
      <c r="V196">
        <v>0</v>
      </c>
      <c r="W196" s="3">
        <v>11111.11111</v>
      </c>
      <c r="X196">
        <v>0</v>
      </c>
      <c r="Y196">
        <v>80000</v>
      </c>
    </row>
    <row r="197" spans="1:25" x14ac:dyDescent="0.3">
      <c r="A197" s="3">
        <v>0</v>
      </c>
      <c r="B197">
        <v>1</v>
      </c>
      <c r="C197">
        <v>0</v>
      </c>
      <c r="D197">
        <v>20</v>
      </c>
      <c r="E197">
        <v>1</v>
      </c>
      <c r="F197">
        <v>1</v>
      </c>
      <c r="G197">
        <v>0</v>
      </c>
      <c r="H197">
        <v>0</v>
      </c>
      <c r="I197">
        <v>1</v>
      </c>
      <c r="J197">
        <v>0</v>
      </c>
      <c r="K197">
        <v>0</v>
      </c>
      <c r="L197">
        <v>1</v>
      </c>
      <c r="M197">
        <v>0</v>
      </c>
      <c r="N197">
        <v>1</v>
      </c>
      <c r="O197">
        <v>1</v>
      </c>
      <c r="P197">
        <v>35000</v>
      </c>
      <c r="Q197">
        <v>5000</v>
      </c>
      <c r="R197">
        <v>1</v>
      </c>
      <c r="S197">
        <v>1</v>
      </c>
      <c r="T197">
        <v>1</v>
      </c>
      <c r="U197">
        <v>0</v>
      </c>
      <c r="V197">
        <v>0</v>
      </c>
      <c r="W197" s="3">
        <v>16666.666669999999</v>
      </c>
      <c r="X197">
        <v>0</v>
      </c>
      <c r="Y197">
        <v>35000</v>
      </c>
    </row>
    <row r="198" spans="1:25" x14ac:dyDescent="0.3">
      <c r="A198" s="3">
        <v>0</v>
      </c>
      <c r="B198">
        <v>1</v>
      </c>
      <c r="C198">
        <v>0</v>
      </c>
      <c r="D198">
        <v>0</v>
      </c>
      <c r="E198">
        <v>0</v>
      </c>
      <c r="F198">
        <v>0</v>
      </c>
      <c r="G198">
        <v>0</v>
      </c>
      <c r="H198">
        <v>0</v>
      </c>
      <c r="I198">
        <v>1</v>
      </c>
      <c r="J198">
        <v>0</v>
      </c>
      <c r="K198">
        <v>0</v>
      </c>
      <c r="L198">
        <v>1</v>
      </c>
      <c r="M198">
        <v>1</v>
      </c>
      <c r="N198">
        <v>0</v>
      </c>
      <c r="O198">
        <v>1</v>
      </c>
      <c r="P198">
        <v>30000</v>
      </c>
      <c r="Q198">
        <v>2000</v>
      </c>
      <c r="R198">
        <v>1</v>
      </c>
      <c r="S198">
        <v>1</v>
      </c>
      <c r="T198">
        <v>1</v>
      </c>
      <c r="U198">
        <v>0</v>
      </c>
      <c r="V198">
        <v>0</v>
      </c>
      <c r="W198" s="3">
        <v>50000</v>
      </c>
      <c r="X198">
        <v>0</v>
      </c>
      <c r="Y198">
        <v>30000</v>
      </c>
    </row>
    <row r="199" spans="1:25" x14ac:dyDescent="0.3">
      <c r="A199" s="3">
        <v>0</v>
      </c>
      <c r="B199">
        <v>1</v>
      </c>
      <c r="C199">
        <v>0</v>
      </c>
      <c r="D199">
        <v>40</v>
      </c>
      <c r="E199">
        <v>1</v>
      </c>
      <c r="F199">
        <v>0</v>
      </c>
      <c r="G199">
        <v>0</v>
      </c>
      <c r="H199">
        <v>0</v>
      </c>
      <c r="I199">
        <v>1</v>
      </c>
      <c r="J199">
        <v>0</v>
      </c>
      <c r="K199">
        <v>0</v>
      </c>
      <c r="L199">
        <v>1</v>
      </c>
      <c r="M199">
        <v>1</v>
      </c>
      <c r="N199">
        <v>1</v>
      </c>
      <c r="O199">
        <v>1</v>
      </c>
      <c r="P199">
        <v>50000</v>
      </c>
      <c r="Q199">
        <v>5000</v>
      </c>
      <c r="R199">
        <v>1</v>
      </c>
      <c r="S199">
        <v>1</v>
      </c>
      <c r="T199">
        <v>1</v>
      </c>
      <c r="U199">
        <v>0</v>
      </c>
      <c r="V199">
        <v>0</v>
      </c>
      <c r="W199" s="3">
        <v>60000</v>
      </c>
      <c r="X199">
        <v>0</v>
      </c>
      <c r="Y199">
        <v>50000</v>
      </c>
    </row>
    <row r="200" spans="1:25" x14ac:dyDescent="0.3">
      <c r="A200" s="3">
        <v>0</v>
      </c>
      <c r="B200">
        <v>1</v>
      </c>
      <c r="C200">
        <v>0</v>
      </c>
      <c r="D200">
        <v>30</v>
      </c>
      <c r="E200">
        <v>1</v>
      </c>
      <c r="F200">
        <v>0</v>
      </c>
      <c r="G200">
        <v>0</v>
      </c>
      <c r="H200">
        <v>0</v>
      </c>
      <c r="I200">
        <v>1</v>
      </c>
      <c r="J200">
        <v>0</v>
      </c>
      <c r="K200">
        <v>0</v>
      </c>
      <c r="L200">
        <v>1</v>
      </c>
      <c r="M200">
        <v>1</v>
      </c>
      <c r="N200">
        <v>1</v>
      </c>
      <c r="O200">
        <v>1</v>
      </c>
      <c r="P200">
        <v>40000</v>
      </c>
      <c r="Q200">
        <v>3000</v>
      </c>
      <c r="R200">
        <v>1</v>
      </c>
      <c r="S200">
        <v>1</v>
      </c>
      <c r="T200">
        <v>1</v>
      </c>
      <c r="U200">
        <v>0</v>
      </c>
      <c r="V200">
        <v>0</v>
      </c>
      <c r="W200" s="3">
        <v>16666.666669999999</v>
      </c>
      <c r="X200">
        <v>0</v>
      </c>
      <c r="Y200">
        <v>40000</v>
      </c>
    </row>
    <row r="201" spans="1:25" x14ac:dyDescent="0.3">
      <c r="A201" s="3">
        <v>0</v>
      </c>
      <c r="B201">
        <v>1</v>
      </c>
      <c r="C201">
        <v>0</v>
      </c>
      <c r="D201">
        <v>30</v>
      </c>
      <c r="E201">
        <v>0</v>
      </c>
      <c r="F201">
        <v>0</v>
      </c>
      <c r="G201">
        <v>0</v>
      </c>
      <c r="H201">
        <v>0</v>
      </c>
      <c r="I201">
        <v>0</v>
      </c>
      <c r="J201">
        <v>0</v>
      </c>
      <c r="K201">
        <v>0</v>
      </c>
      <c r="L201">
        <v>1</v>
      </c>
      <c r="M201">
        <v>1</v>
      </c>
      <c r="N201">
        <v>0</v>
      </c>
      <c r="O201">
        <v>0</v>
      </c>
      <c r="P201">
        <v>20000</v>
      </c>
      <c r="Q201">
        <v>1000</v>
      </c>
      <c r="R201">
        <v>1</v>
      </c>
      <c r="S201">
        <v>1</v>
      </c>
      <c r="T201">
        <v>1</v>
      </c>
      <c r="U201">
        <v>0</v>
      </c>
      <c r="V201">
        <v>40000</v>
      </c>
      <c r="W201" s="3">
        <v>15384.615379999999</v>
      </c>
      <c r="X201">
        <v>0</v>
      </c>
      <c r="Y201">
        <v>20000</v>
      </c>
    </row>
    <row r="202" spans="1:25" x14ac:dyDescent="0.3">
      <c r="A202" s="3">
        <v>0</v>
      </c>
      <c r="B202">
        <v>1</v>
      </c>
      <c r="C202">
        <v>0</v>
      </c>
      <c r="D202">
        <v>15</v>
      </c>
      <c r="E202">
        <v>0</v>
      </c>
      <c r="F202">
        <v>0</v>
      </c>
      <c r="G202">
        <v>0</v>
      </c>
      <c r="H202">
        <v>0</v>
      </c>
      <c r="I202">
        <v>0</v>
      </c>
      <c r="J202">
        <v>0</v>
      </c>
      <c r="K202">
        <v>1</v>
      </c>
      <c r="L202">
        <v>1</v>
      </c>
      <c r="M202">
        <v>1</v>
      </c>
      <c r="N202">
        <v>1</v>
      </c>
      <c r="O202">
        <v>1</v>
      </c>
      <c r="P202">
        <v>30000</v>
      </c>
      <c r="Q202">
        <v>5000</v>
      </c>
      <c r="R202">
        <v>1</v>
      </c>
      <c r="S202">
        <v>1</v>
      </c>
      <c r="T202">
        <v>1</v>
      </c>
      <c r="U202">
        <v>0</v>
      </c>
      <c r="V202">
        <v>50000</v>
      </c>
      <c r="W202" s="3">
        <v>61538.461539999997</v>
      </c>
      <c r="X202">
        <v>0</v>
      </c>
      <c r="Y202">
        <v>30000</v>
      </c>
    </row>
    <row r="203" spans="1:25" x14ac:dyDescent="0.3">
      <c r="A203" s="3">
        <v>0</v>
      </c>
      <c r="B203">
        <v>1</v>
      </c>
      <c r="C203">
        <v>0</v>
      </c>
      <c r="D203">
        <v>0</v>
      </c>
      <c r="E203">
        <v>0</v>
      </c>
      <c r="F203">
        <v>0</v>
      </c>
      <c r="G203">
        <v>0</v>
      </c>
      <c r="H203">
        <v>0</v>
      </c>
      <c r="I203">
        <v>0</v>
      </c>
      <c r="J203">
        <v>0</v>
      </c>
      <c r="K203">
        <v>0</v>
      </c>
      <c r="L203">
        <v>1</v>
      </c>
      <c r="M203">
        <v>1</v>
      </c>
      <c r="N203">
        <v>0</v>
      </c>
      <c r="O203">
        <v>0</v>
      </c>
      <c r="P203">
        <v>20000</v>
      </c>
      <c r="Q203">
        <v>1000</v>
      </c>
      <c r="R203">
        <v>1</v>
      </c>
      <c r="S203">
        <v>1</v>
      </c>
      <c r="T203">
        <v>1</v>
      </c>
      <c r="U203">
        <v>0</v>
      </c>
      <c r="V203">
        <v>40000</v>
      </c>
      <c r="W203" s="3">
        <v>57142.85714</v>
      </c>
      <c r="X203">
        <v>0</v>
      </c>
      <c r="Y203">
        <v>20000</v>
      </c>
    </row>
    <row r="204" spans="1:25" x14ac:dyDescent="0.3">
      <c r="A204" s="3">
        <v>0</v>
      </c>
      <c r="B204">
        <v>1</v>
      </c>
      <c r="C204">
        <v>0</v>
      </c>
      <c r="D204">
        <v>15</v>
      </c>
      <c r="E204">
        <v>0</v>
      </c>
      <c r="F204">
        <v>0</v>
      </c>
      <c r="G204">
        <v>0</v>
      </c>
      <c r="H204">
        <v>0</v>
      </c>
      <c r="I204">
        <v>0</v>
      </c>
      <c r="J204">
        <v>0</v>
      </c>
      <c r="K204">
        <v>0</v>
      </c>
      <c r="L204">
        <v>1</v>
      </c>
      <c r="M204">
        <v>0</v>
      </c>
      <c r="N204">
        <v>1</v>
      </c>
      <c r="O204">
        <v>1</v>
      </c>
      <c r="P204">
        <v>30000</v>
      </c>
      <c r="Q204">
        <v>2000</v>
      </c>
      <c r="R204">
        <v>1</v>
      </c>
      <c r="S204">
        <v>1</v>
      </c>
      <c r="T204">
        <v>1</v>
      </c>
      <c r="U204">
        <v>0</v>
      </c>
      <c r="V204">
        <v>0</v>
      </c>
      <c r="W204" s="3">
        <v>18000</v>
      </c>
      <c r="X204">
        <v>0</v>
      </c>
      <c r="Y204">
        <v>30000</v>
      </c>
    </row>
    <row r="205" spans="1:25" x14ac:dyDescent="0.3">
      <c r="A205" s="3">
        <v>0</v>
      </c>
      <c r="B205">
        <v>1</v>
      </c>
      <c r="C205">
        <v>0</v>
      </c>
      <c r="D205">
        <v>20</v>
      </c>
      <c r="E205">
        <v>0</v>
      </c>
      <c r="F205">
        <v>0</v>
      </c>
      <c r="G205">
        <v>0</v>
      </c>
      <c r="H205">
        <v>0</v>
      </c>
      <c r="I205">
        <v>1</v>
      </c>
      <c r="J205">
        <v>0</v>
      </c>
      <c r="K205">
        <v>0</v>
      </c>
      <c r="L205">
        <v>1</v>
      </c>
      <c r="M205">
        <v>0</v>
      </c>
      <c r="N205">
        <v>1</v>
      </c>
      <c r="O205">
        <v>1</v>
      </c>
      <c r="P205">
        <v>50000</v>
      </c>
      <c r="Q205">
        <v>2000</v>
      </c>
      <c r="R205">
        <v>1</v>
      </c>
      <c r="S205">
        <v>1</v>
      </c>
      <c r="T205">
        <v>1</v>
      </c>
      <c r="U205">
        <v>0</v>
      </c>
      <c r="V205">
        <v>40000</v>
      </c>
      <c r="W205" s="3">
        <v>16666.666669999999</v>
      </c>
      <c r="X205">
        <v>0</v>
      </c>
      <c r="Y205">
        <v>50000</v>
      </c>
    </row>
    <row r="206" spans="1:25" x14ac:dyDescent="0.3">
      <c r="A206" s="3">
        <v>0</v>
      </c>
      <c r="B206">
        <v>1</v>
      </c>
      <c r="C206">
        <v>0</v>
      </c>
      <c r="D206">
        <v>15</v>
      </c>
      <c r="E206">
        <v>0</v>
      </c>
      <c r="F206">
        <v>0</v>
      </c>
      <c r="G206">
        <v>0</v>
      </c>
      <c r="H206">
        <v>0</v>
      </c>
      <c r="I206">
        <v>1</v>
      </c>
      <c r="J206">
        <v>0</v>
      </c>
      <c r="K206">
        <v>0</v>
      </c>
      <c r="L206">
        <v>1</v>
      </c>
      <c r="M206">
        <v>1</v>
      </c>
      <c r="N206">
        <v>1</v>
      </c>
      <c r="O206">
        <v>1</v>
      </c>
      <c r="P206">
        <v>50000</v>
      </c>
      <c r="Q206">
        <v>20000</v>
      </c>
      <c r="R206">
        <v>1</v>
      </c>
      <c r="S206">
        <v>1</v>
      </c>
      <c r="T206">
        <v>1</v>
      </c>
      <c r="U206">
        <v>0</v>
      </c>
      <c r="V206">
        <v>25000</v>
      </c>
      <c r="W206" s="3">
        <v>50000</v>
      </c>
      <c r="X206">
        <v>0</v>
      </c>
      <c r="Y206">
        <v>50000</v>
      </c>
    </row>
    <row r="207" spans="1:25" x14ac:dyDescent="0.3">
      <c r="A207" s="3">
        <v>50000</v>
      </c>
      <c r="B207">
        <v>1</v>
      </c>
      <c r="C207">
        <v>0</v>
      </c>
      <c r="D207">
        <v>20</v>
      </c>
      <c r="E207">
        <v>0</v>
      </c>
      <c r="F207">
        <v>0</v>
      </c>
      <c r="G207">
        <v>0</v>
      </c>
      <c r="H207">
        <v>0</v>
      </c>
      <c r="I207">
        <v>0</v>
      </c>
      <c r="J207">
        <v>0</v>
      </c>
      <c r="K207">
        <v>0</v>
      </c>
      <c r="L207">
        <v>1</v>
      </c>
      <c r="M207">
        <v>0</v>
      </c>
      <c r="N207">
        <v>1</v>
      </c>
      <c r="O207">
        <v>1</v>
      </c>
      <c r="P207">
        <v>50000</v>
      </c>
      <c r="Q207">
        <v>3000</v>
      </c>
      <c r="R207">
        <v>0</v>
      </c>
      <c r="S207">
        <v>0</v>
      </c>
      <c r="T207">
        <v>0</v>
      </c>
      <c r="U207">
        <v>0</v>
      </c>
      <c r="V207">
        <v>50000</v>
      </c>
      <c r="W207" s="3">
        <v>8333.3333330000005</v>
      </c>
      <c r="X207">
        <v>0</v>
      </c>
      <c r="Y207">
        <v>50000</v>
      </c>
    </row>
    <row r="208" spans="1:25" x14ac:dyDescent="0.3">
      <c r="A208" s="3">
        <v>95000</v>
      </c>
      <c r="B208">
        <v>1</v>
      </c>
      <c r="C208">
        <v>0</v>
      </c>
      <c r="D208">
        <v>30</v>
      </c>
      <c r="E208">
        <v>0</v>
      </c>
      <c r="F208">
        <v>0</v>
      </c>
      <c r="G208">
        <v>0</v>
      </c>
      <c r="H208">
        <v>0</v>
      </c>
      <c r="I208">
        <v>0</v>
      </c>
      <c r="J208">
        <v>0</v>
      </c>
      <c r="K208">
        <v>0</v>
      </c>
      <c r="L208">
        <v>1</v>
      </c>
      <c r="M208">
        <v>1</v>
      </c>
      <c r="N208">
        <v>1</v>
      </c>
      <c r="O208">
        <v>1</v>
      </c>
      <c r="P208">
        <v>16000</v>
      </c>
      <c r="Q208">
        <v>1000</v>
      </c>
      <c r="R208">
        <v>1</v>
      </c>
      <c r="S208">
        <v>1</v>
      </c>
      <c r="T208">
        <v>1</v>
      </c>
      <c r="U208">
        <v>0</v>
      </c>
      <c r="V208">
        <v>0</v>
      </c>
      <c r="W208" s="3">
        <v>-41666.666669999999</v>
      </c>
      <c r="X208">
        <v>0</v>
      </c>
      <c r="Y208">
        <v>16000</v>
      </c>
    </row>
    <row r="209" spans="1:25" x14ac:dyDescent="0.3">
      <c r="A209" s="3">
        <v>0</v>
      </c>
      <c r="B209">
        <v>1</v>
      </c>
      <c r="C209">
        <v>0</v>
      </c>
      <c r="D209">
        <v>5</v>
      </c>
      <c r="E209">
        <v>0</v>
      </c>
      <c r="F209">
        <v>0</v>
      </c>
      <c r="G209">
        <v>0</v>
      </c>
      <c r="H209">
        <v>0</v>
      </c>
      <c r="I209">
        <v>1</v>
      </c>
      <c r="J209">
        <v>0</v>
      </c>
      <c r="K209">
        <v>0</v>
      </c>
      <c r="L209">
        <v>1</v>
      </c>
      <c r="M209">
        <v>1</v>
      </c>
      <c r="N209">
        <v>1</v>
      </c>
      <c r="O209">
        <v>1</v>
      </c>
      <c r="P209">
        <v>40000</v>
      </c>
      <c r="Q209">
        <v>2000</v>
      </c>
      <c r="R209">
        <v>1</v>
      </c>
      <c r="S209">
        <v>1</v>
      </c>
      <c r="T209">
        <v>1</v>
      </c>
      <c r="U209">
        <v>0</v>
      </c>
      <c r="V209">
        <v>0</v>
      </c>
      <c r="W209" s="3">
        <v>100000</v>
      </c>
      <c r="X209">
        <v>0</v>
      </c>
    </row>
    <row r="210" spans="1:25" x14ac:dyDescent="0.3">
      <c r="A210" s="3">
        <v>0</v>
      </c>
      <c r="B210">
        <v>1</v>
      </c>
      <c r="C210">
        <v>0</v>
      </c>
      <c r="D210">
        <v>6</v>
      </c>
      <c r="E210">
        <v>1</v>
      </c>
      <c r="F210">
        <v>0</v>
      </c>
      <c r="G210">
        <v>0</v>
      </c>
      <c r="H210">
        <v>0</v>
      </c>
      <c r="I210">
        <v>1</v>
      </c>
      <c r="J210">
        <v>0</v>
      </c>
      <c r="K210">
        <v>0</v>
      </c>
      <c r="L210">
        <v>0</v>
      </c>
      <c r="M210">
        <v>0</v>
      </c>
      <c r="N210">
        <v>1</v>
      </c>
      <c r="O210">
        <v>1</v>
      </c>
      <c r="P210">
        <v>4500</v>
      </c>
      <c r="Q210">
        <v>4000</v>
      </c>
      <c r="R210">
        <v>1</v>
      </c>
      <c r="S210">
        <v>1</v>
      </c>
      <c r="T210">
        <v>1</v>
      </c>
      <c r="U210">
        <v>0</v>
      </c>
      <c r="V210">
        <v>0</v>
      </c>
      <c r="W210" s="3">
        <v>0</v>
      </c>
      <c r="X210">
        <v>0</v>
      </c>
      <c r="Y210">
        <v>4500</v>
      </c>
    </row>
    <row r="211" spans="1:25" x14ac:dyDescent="0.3">
      <c r="A211" s="3">
        <v>0</v>
      </c>
      <c r="B211">
        <v>1</v>
      </c>
      <c r="C211">
        <v>0</v>
      </c>
      <c r="D211">
        <v>40</v>
      </c>
      <c r="E211">
        <v>0</v>
      </c>
      <c r="F211">
        <v>0</v>
      </c>
      <c r="G211">
        <v>0</v>
      </c>
      <c r="H211">
        <v>0</v>
      </c>
      <c r="I211">
        <v>1</v>
      </c>
      <c r="J211">
        <v>1</v>
      </c>
      <c r="K211">
        <v>0</v>
      </c>
      <c r="L211">
        <v>1</v>
      </c>
      <c r="M211">
        <v>1</v>
      </c>
      <c r="N211">
        <v>1</v>
      </c>
      <c r="O211">
        <v>1</v>
      </c>
      <c r="P211">
        <v>47000</v>
      </c>
      <c r="Q211">
        <v>2500</v>
      </c>
      <c r="R211">
        <v>1</v>
      </c>
      <c r="S211">
        <v>1</v>
      </c>
      <c r="T211">
        <v>1</v>
      </c>
      <c r="U211">
        <v>0</v>
      </c>
      <c r="V211">
        <v>75000</v>
      </c>
      <c r="W211" s="3">
        <v>75000</v>
      </c>
      <c r="X211">
        <v>0</v>
      </c>
      <c r="Y211">
        <v>47000</v>
      </c>
    </row>
    <row r="212" spans="1:25" x14ac:dyDescent="0.3">
      <c r="A212" s="3">
        <v>0</v>
      </c>
      <c r="B212">
        <v>1</v>
      </c>
      <c r="C212">
        <v>0</v>
      </c>
      <c r="D212">
        <v>15</v>
      </c>
      <c r="E212">
        <v>1</v>
      </c>
      <c r="F212">
        <v>0</v>
      </c>
      <c r="G212">
        <v>0</v>
      </c>
      <c r="H212">
        <v>0</v>
      </c>
      <c r="I212">
        <v>1</v>
      </c>
      <c r="J212">
        <v>0</v>
      </c>
      <c r="K212">
        <v>0</v>
      </c>
      <c r="L212">
        <v>1</v>
      </c>
      <c r="M212">
        <v>1</v>
      </c>
      <c r="N212">
        <v>1</v>
      </c>
      <c r="O212">
        <v>1</v>
      </c>
      <c r="P212">
        <v>50000</v>
      </c>
      <c r="Q212">
        <v>2000</v>
      </c>
      <c r="R212">
        <v>1</v>
      </c>
      <c r="S212">
        <v>1</v>
      </c>
      <c r="T212">
        <v>1</v>
      </c>
      <c r="U212">
        <v>0</v>
      </c>
      <c r="V212">
        <v>40000</v>
      </c>
      <c r="W212" s="3">
        <v>20000</v>
      </c>
      <c r="X212">
        <v>0</v>
      </c>
      <c r="Y212">
        <v>50000</v>
      </c>
    </row>
    <row r="213" spans="1:25" x14ac:dyDescent="0.3">
      <c r="A213" s="3">
        <v>0</v>
      </c>
      <c r="B213">
        <v>1</v>
      </c>
      <c r="C213">
        <v>0</v>
      </c>
      <c r="D213">
        <v>10</v>
      </c>
      <c r="E213">
        <v>0</v>
      </c>
      <c r="F213">
        <v>0</v>
      </c>
      <c r="G213">
        <v>0</v>
      </c>
      <c r="H213">
        <v>0</v>
      </c>
      <c r="I213">
        <v>1</v>
      </c>
      <c r="J213">
        <v>1</v>
      </c>
      <c r="K213">
        <v>0</v>
      </c>
      <c r="L213">
        <v>1</v>
      </c>
      <c r="M213">
        <v>1</v>
      </c>
      <c r="N213">
        <v>1</v>
      </c>
      <c r="O213">
        <v>1</v>
      </c>
      <c r="P213">
        <v>40000</v>
      </c>
      <c r="Q213">
        <v>3000</v>
      </c>
      <c r="R213">
        <v>1</v>
      </c>
      <c r="S213">
        <v>1</v>
      </c>
      <c r="T213">
        <v>1</v>
      </c>
      <c r="U213">
        <v>0</v>
      </c>
      <c r="V213">
        <v>0</v>
      </c>
      <c r="W213" s="3">
        <v>95238.095239999995</v>
      </c>
      <c r="X213">
        <v>0</v>
      </c>
      <c r="Y213">
        <v>40000</v>
      </c>
    </row>
    <row r="214" spans="1:25" x14ac:dyDescent="0.3">
      <c r="A214" s="3">
        <v>0</v>
      </c>
      <c r="B214">
        <v>1</v>
      </c>
      <c r="C214">
        <v>0</v>
      </c>
      <c r="D214">
        <v>12</v>
      </c>
      <c r="E214">
        <v>0</v>
      </c>
      <c r="F214">
        <v>0</v>
      </c>
      <c r="G214">
        <v>0</v>
      </c>
      <c r="H214">
        <v>0</v>
      </c>
      <c r="I214">
        <v>1</v>
      </c>
      <c r="J214">
        <v>0</v>
      </c>
      <c r="K214">
        <v>0</v>
      </c>
      <c r="L214">
        <v>0</v>
      </c>
      <c r="M214">
        <v>1</v>
      </c>
      <c r="N214">
        <v>1</v>
      </c>
      <c r="O214">
        <v>1</v>
      </c>
      <c r="P214">
        <v>50000</v>
      </c>
      <c r="Q214">
        <v>3000</v>
      </c>
      <c r="R214">
        <v>1</v>
      </c>
      <c r="S214">
        <v>1</v>
      </c>
      <c r="T214">
        <v>1</v>
      </c>
      <c r="U214">
        <v>0</v>
      </c>
      <c r="V214">
        <v>150000</v>
      </c>
      <c r="W214" s="3">
        <v>100000</v>
      </c>
      <c r="X214">
        <v>0</v>
      </c>
      <c r="Y214">
        <v>50000</v>
      </c>
    </row>
    <row r="215" spans="1:25" x14ac:dyDescent="0.3">
      <c r="A215" s="3">
        <v>0</v>
      </c>
      <c r="B215">
        <v>1</v>
      </c>
      <c r="C215">
        <v>0</v>
      </c>
      <c r="D215">
        <v>30</v>
      </c>
      <c r="E215">
        <v>0</v>
      </c>
      <c r="F215">
        <v>0</v>
      </c>
      <c r="G215">
        <v>0</v>
      </c>
      <c r="H215">
        <v>0</v>
      </c>
      <c r="I215">
        <v>1</v>
      </c>
      <c r="J215">
        <v>0</v>
      </c>
      <c r="K215">
        <v>0</v>
      </c>
      <c r="L215">
        <v>0</v>
      </c>
      <c r="M215">
        <v>1</v>
      </c>
      <c r="N215">
        <v>1</v>
      </c>
      <c r="O215">
        <v>1</v>
      </c>
      <c r="P215">
        <v>30000</v>
      </c>
      <c r="Q215">
        <v>1600</v>
      </c>
      <c r="R215">
        <v>1</v>
      </c>
      <c r="S215">
        <v>1</v>
      </c>
      <c r="T215">
        <v>1</v>
      </c>
      <c r="U215">
        <v>0</v>
      </c>
      <c r="V215">
        <v>20000</v>
      </c>
      <c r="W215" s="3">
        <v>8333.3333330000005</v>
      </c>
      <c r="X215">
        <v>0</v>
      </c>
      <c r="Y215">
        <v>30000</v>
      </c>
    </row>
    <row r="216" spans="1:25" x14ac:dyDescent="0.3">
      <c r="A216" s="3">
        <v>200000</v>
      </c>
      <c r="B216">
        <v>0</v>
      </c>
      <c r="C216">
        <v>0</v>
      </c>
      <c r="D216">
        <v>20</v>
      </c>
      <c r="E216">
        <v>0</v>
      </c>
      <c r="F216">
        <v>0</v>
      </c>
      <c r="G216">
        <v>0</v>
      </c>
      <c r="H216">
        <v>0</v>
      </c>
      <c r="I216">
        <v>1</v>
      </c>
      <c r="J216">
        <v>0</v>
      </c>
      <c r="K216">
        <v>0</v>
      </c>
      <c r="L216">
        <v>1</v>
      </c>
      <c r="M216">
        <v>1</v>
      </c>
      <c r="N216">
        <v>1</v>
      </c>
      <c r="O216">
        <v>1</v>
      </c>
      <c r="P216" s="3">
        <v>100000</v>
      </c>
      <c r="Q216">
        <v>2000</v>
      </c>
      <c r="R216">
        <v>1</v>
      </c>
      <c r="S216">
        <v>1</v>
      </c>
      <c r="T216">
        <v>1</v>
      </c>
      <c r="U216">
        <v>0</v>
      </c>
      <c r="V216">
        <v>125000</v>
      </c>
      <c r="W216" s="3">
        <v>40000</v>
      </c>
      <c r="X216">
        <v>0</v>
      </c>
      <c r="Y216" s="2">
        <v>100000</v>
      </c>
    </row>
    <row r="217" spans="1:25" x14ac:dyDescent="0.3">
      <c r="A217" s="3">
        <v>160000</v>
      </c>
      <c r="B217">
        <v>0</v>
      </c>
      <c r="C217">
        <v>0</v>
      </c>
      <c r="D217">
        <v>40</v>
      </c>
      <c r="E217">
        <v>0</v>
      </c>
      <c r="F217">
        <v>0</v>
      </c>
      <c r="G217">
        <v>0</v>
      </c>
      <c r="H217">
        <v>0</v>
      </c>
      <c r="I217">
        <v>1</v>
      </c>
      <c r="J217">
        <v>0</v>
      </c>
      <c r="K217">
        <v>0</v>
      </c>
      <c r="L217">
        <v>1</v>
      </c>
      <c r="M217">
        <v>1</v>
      </c>
      <c r="N217">
        <v>1</v>
      </c>
      <c r="O217">
        <v>1</v>
      </c>
      <c r="P217" s="3">
        <v>30000</v>
      </c>
      <c r="Q217">
        <v>5000</v>
      </c>
      <c r="R217">
        <v>1</v>
      </c>
      <c r="S217">
        <v>1</v>
      </c>
      <c r="T217">
        <v>1</v>
      </c>
      <c r="U217">
        <v>0</v>
      </c>
      <c r="V217">
        <v>0</v>
      </c>
      <c r="W217" s="3">
        <v>20000</v>
      </c>
      <c r="X217">
        <v>0</v>
      </c>
      <c r="Y217">
        <v>30000</v>
      </c>
    </row>
    <row r="218" spans="1:25" x14ac:dyDescent="0.3">
      <c r="A218" s="3">
        <v>60000</v>
      </c>
      <c r="B218">
        <v>0</v>
      </c>
      <c r="C218">
        <v>0</v>
      </c>
      <c r="D218">
        <v>15</v>
      </c>
      <c r="E218">
        <v>1</v>
      </c>
      <c r="F218">
        <v>0</v>
      </c>
      <c r="G218">
        <v>0</v>
      </c>
      <c r="H218">
        <v>0</v>
      </c>
      <c r="I218">
        <v>1</v>
      </c>
      <c r="J218">
        <v>0</v>
      </c>
      <c r="K218">
        <v>0</v>
      </c>
      <c r="L218">
        <v>1</v>
      </c>
      <c r="M218">
        <v>1</v>
      </c>
      <c r="N218">
        <v>1</v>
      </c>
      <c r="O218">
        <v>1</v>
      </c>
      <c r="P218" s="3">
        <v>80000</v>
      </c>
      <c r="Q218">
        <v>11500</v>
      </c>
      <c r="R218">
        <v>0</v>
      </c>
      <c r="S218">
        <v>0</v>
      </c>
      <c r="T218">
        <v>1</v>
      </c>
      <c r="U218">
        <v>0</v>
      </c>
      <c r="V218">
        <v>0</v>
      </c>
      <c r="W218" s="3">
        <v>75000</v>
      </c>
      <c r="X218">
        <v>0</v>
      </c>
      <c r="Y218">
        <v>80000</v>
      </c>
    </row>
    <row r="219" spans="1:25" x14ac:dyDescent="0.3">
      <c r="A219" s="3">
        <v>250000</v>
      </c>
      <c r="B219">
        <v>1</v>
      </c>
      <c r="C219">
        <v>0</v>
      </c>
      <c r="D219">
        <v>20</v>
      </c>
      <c r="E219">
        <v>0</v>
      </c>
      <c r="F219">
        <v>0</v>
      </c>
      <c r="G219">
        <v>0</v>
      </c>
      <c r="H219">
        <v>0</v>
      </c>
      <c r="I219">
        <v>0</v>
      </c>
      <c r="J219">
        <v>0</v>
      </c>
      <c r="K219">
        <v>0</v>
      </c>
      <c r="L219">
        <v>1</v>
      </c>
      <c r="M219">
        <v>0</v>
      </c>
      <c r="N219">
        <v>1</v>
      </c>
      <c r="O219">
        <v>1</v>
      </c>
      <c r="P219">
        <v>50000</v>
      </c>
      <c r="Q219">
        <v>2000</v>
      </c>
      <c r="R219">
        <v>1</v>
      </c>
      <c r="S219">
        <v>1</v>
      </c>
      <c r="T219">
        <v>1</v>
      </c>
      <c r="U219">
        <v>0</v>
      </c>
      <c r="V219">
        <v>75000</v>
      </c>
      <c r="W219" s="3">
        <v>16666.666669999999</v>
      </c>
      <c r="X219">
        <v>0</v>
      </c>
      <c r="Y219">
        <v>50000</v>
      </c>
    </row>
    <row r="220" spans="1:25" x14ac:dyDescent="0.3">
      <c r="A220" s="3">
        <v>225000</v>
      </c>
      <c r="B220">
        <v>0</v>
      </c>
      <c r="C220">
        <v>0</v>
      </c>
      <c r="D220">
        <v>40</v>
      </c>
      <c r="E220">
        <v>1</v>
      </c>
      <c r="F220">
        <v>0</v>
      </c>
      <c r="G220">
        <v>1</v>
      </c>
      <c r="H220">
        <v>0</v>
      </c>
      <c r="I220">
        <v>0</v>
      </c>
      <c r="J220">
        <v>0</v>
      </c>
      <c r="K220">
        <v>0</v>
      </c>
      <c r="L220">
        <v>1</v>
      </c>
      <c r="M220">
        <v>1</v>
      </c>
      <c r="N220">
        <v>1</v>
      </c>
      <c r="O220">
        <v>1</v>
      </c>
      <c r="P220" s="3">
        <v>30000</v>
      </c>
      <c r="Q220">
        <v>1200</v>
      </c>
      <c r="R220">
        <v>1</v>
      </c>
      <c r="S220">
        <v>1</v>
      </c>
      <c r="T220">
        <v>1</v>
      </c>
      <c r="U220">
        <v>0</v>
      </c>
      <c r="V220">
        <v>30000</v>
      </c>
      <c r="W220" s="3">
        <v>-9615.3846150000008</v>
      </c>
      <c r="X220">
        <v>0</v>
      </c>
      <c r="Y220">
        <v>30000</v>
      </c>
    </row>
    <row r="221" spans="1:25" x14ac:dyDescent="0.3">
      <c r="A221" s="3">
        <v>200000</v>
      </c>
      <c r="B221">
        <v>0</v>
      </c>
      <c r="C221">
        <v>0</v>
      </c>
      <c r="D221">
        <v>30</v>
      </c>
      <c r="E221">
        <v>0</v>
      </c>
      <c r="F221">
        <v>0</v>
      </c>
      <c r="G221">
        <v>0</v>
      </c>
      <c r="H221">
        <v>0</v>
      </c>
      <c r="I221">
        <v>1</v>
      </c>
      <c r="J221">
        <v>0</v>
      </c>
      <c r="K221">
        <v>0</v>
      </c>
      <c r="L221">
        <v>1</v>
      </c>
      <c r="M221">
        <v>1</v>
      </c>
      <c r="N221">
        <v>1</v>
      </c>
      <c r="O221">
        <v>1</v>
      </c>
      <c r="P221" s="3">
        <v>40000</v>
      </c>
      <c r="Q221">
        <v>2000</v>
      </c>
      <c r="R221">
        <v>1</v>
      </c>
      <c r="S221">
        <v>1</v>
      </c>
      <c r="T221">
        <v>1</v>
      </c>
      <c r="U221">
        <v>0</v>
      </c>
      <c r="V221">
        <v>17000</v>
      </c>
      <c r="W221" s="3">
        <v>12500</v>
      </c>
      <c r="X221">
        <v>0</v>
      </c>
      <c r="Y221">
        <v>40000</v>
      </c>
    </row>
    <row r="222" spans="1:25" x14ac:dyDescent="0.3">
      <c r="A222" s="3">
        <v>0</v>
      </c>
      <c r="B222">
        <v>1</v>
      </c>
      <c r="C222">
        <v>0</v>
      </c>
      <c r="D222">
        <v>15</v>
      </c>
      <c r="E222">
        <v>0</v>
      </c>
      <c r="F222">
        <v>0</v>
      </c>
      <c r="G222">
        <v>0</v>
      </c>
      <c r="H222">
        <v>0</v>
      </c>
      <c r="I222">
        <v>1</v>
      </c>
      <c r="J222">
        <v>0</v>
      </c>
      <c r="K222">
        <v>0</v>
      </c>
      <c r="L222">
        <v>0</v>
      </c>
      <c r="M222">
        <v>0</v>
      </c>
      <c r="N222">
        <v>1</v>
      </c>
      <c r="O222">
        <v>1</v>
      </c>
      <c r="P222">
        <v>20000</v>
      </c>
      <c r="Q222">
        <v>2000</v>
      </c>
      <c r="R222">
        <v>1</v>
      </c>
      <c r="S222">
        <v>1</v>
      </c>
      <c r="T222">
        <v>1</v>
      </c>
      <c r="U222">
        <v>0</v>
      </c>
      <c r="V222">
        <v>0</v>
      </c>
      <c r="W222" s="3">
        <v>15000</v>
      </c>
      <c r="X222">
        <v>0</v>
      </c>
      <c r="Y222">
        <v>20000</v>
      </c>
    </row>
    <row r="223" spans="1:25" x14ac:dyDescent="0.3">
      <c r="A223" s="3">
        <v>0</v>
      </c>
      <c r="B223">
        <v>1</v>
      </c>
      <c r="C223">
        <v>0</v>
      </c>
      <c r="D223">
        <v>20</v>
      </c>
      <c r="E223">
        <v>1</v>
      </c>
      <c r="F223">
        <v>0</v>
      </c>
      <c r="G223">
        <v>0</v>
      </c>
      <c r="H223">
        <v>0</v>
      </c>
      <c r="I223">
        <v>1</v>
      </c>
      <c r="J223">
        <v>0</v>
      </c>
      <c r="K223">
        <v>0</v>
      </c>
      <c r="L223">
        <v>1</v>
      </c>
      <c r="M223">
        <v>1</v>
      </c>
      <c r="N223">
        <v>1</v>
      </c>
      <c r="O223">
        <v>1</v>
      </c>
      <c r="P223">
        <v>16000</v>
      </c>
      <c r="Q223">
        <v>2000</v>
      </c>
      <c r="R223">
        <v>1</v>
      </c>
      <c r="S223">
        <v>1</v>
      </c>
      <c r="T223">
        <v>1</v>
      </c>
      <c r="U223">
        <v>0</v>
      </c>
      <c r="V223">
        <v>95000</v>
      </c>
      <c r="W223" s="3">
        <v>71428.571429999996</v>
      </c>
      <c r="X223">
        <v>0</v>
      </c>
      <c r="Y223">
        <v>16000</v>
      </c>
    </row>
    <row r="224" spans="1:25" x14ac:dyDescent="0.3">
      <c r="A224" s="3">
        <v>0</v>
      </c>
      <c r="B224">
        <v>1</v>
      </c>
      <c r="C224">
        <v>0</v>
      </c>
      <c r="D224">
        <v>20</v>
      </c>
      <c r="E224">
        <v>0</v>
      </c>
      <c r="F224">
        <v>0</v>
      </c>
      <c r="G224">
        <v>0</v>
      </c>
      <c r="H224">
        <v>0</v>
      </c>
      <c r="I224">
        <v>1</v>
      </c>
      <c r="J224">
        <v>0</v>
      </c>
      <c r="K224">
        <v>0</v>
      </c>
      <c r="L224">
        <v>1</v>
      </c>
      <c r="M224">
        <v>1</v>
      </c>
      <c r="N224">
        <v>1</v>
      </c>
      <c r="O224">
        <v>1</v>
      </c>
      <c r="P224">
        <v>30000</v>
      </c>
      <c r="Q224">
        <v>0</v>
      </c>
      <c r="R224">
        <v>1</v>
      </c>
      <c r="S224">
        <v>1</v>
      </c>
      <c r="T224">
        <v>1</v>
      </c>
      <c r="U224">
        <v>0</v>
      </c>
      <c r="V224">
        <v>50000</v>
      </c>
      <c r="W224" s="3">
        <v>60000</v>
      </c>
      <c r="X224">
        <v>0</v>
      </c>
      <c r="Y224">
        <v>30000</v>
      </c>
    </row>
    <row r="225" spans="1:25" x14ac:dyDescent="0.3">
      <c r="A225" s="3">
        <v>0</v>
      </c>
      <c r="B225">
        <v>1</v>
      </c>
      <c r="C225">
        <v>0</v>
      </c>
      <c r="D225">
        <v>20</v>
      </c>
      <c r="E225">
        <v>0</v>
      </c>
      <c r="F225">
        <v>0</v>
      </c>
      <c r="G225">
        <v>0</v>
      </c>
      <c r="H225">
        <v>0</v>
      </c>
      <c r="I225">
        <v>1</v>
      </c>
      <c r="J225">
        <v>0</v>
      </c>
      <c r="K225">
        <v>0</v>
      </c>
      <c r="L225">
        <v>1</v>
      </c>
      <c r="M225">
        <v>1</v>
      </c>
      <c r="N225">
        <v>1</v>
      </c>
      <c r="O225">
        <v>1</v>
      </c>
      <c r="P225">
        <v>40000</v>
      </c>
      <c r="Q225">
        <v>1500</v>
      </c>
      <c r="R225">
        <v>1</v>
      </c>
      <c r="S225">
        <v>1</v>
      </c>
      <c r="T225">
        <v>1</v>
      </c>
      <c r="U225">
        <v>0</v>
      </c>
      <c r="V225">
        <v>0</v>
      </c>
      <c r="W225" s="3">
        <v>108333.3333</v>
      </c>
      <c r="X225">
        <v>0</v>
      </c>
      <c r="Y225">
        <v>40000</v>
      </c>
    </row>
    <row r="226" spans="1:25" x14ac:dyDescent="0.3">
      <c r="A226" s="3">
        <v>0</v>
      </c>
      <c r="B226">
        <v>1</v>
      </c>
      <c r="C226">
        <v>0</v>
      </c>
      <c r="D226">
        <v>30</v>
      </c>
      <c r="E226">
        <v>0</v>
      </c>
      <c r="F226">
        <v>0</v>
      </c>
      <c r="G226">
        <v>0</v>
      </c>
      <c r="H226">
        <v>0</v>
      </c>
      <c r="I226">
        <v>1</v>
      </c>
      <c r="J226">
        <v>0</v>
      </c>
      <c r="K226">
        <v>0</v>
      </c>
      <c r="L226">
        <v>1</v>
      </c>
      <c r="M226">
        <v>1</v>
      </c>
      <c r="N226">
        <v>1</v>
      </c>
      <c r="O226">
        <v>1</v>
      </c>
      <c r="P226">
        <v>35000</v>
      </c>
      <c r="Q226">
        <v>2000</v>
      </c>
      <c r="R226">
        <v>1</v>
      </c>
      <c r="S226">
        <v>1</v>
      </c>
      <c r="T226">
        <v>1</v>
      </c>
      <c r="U226">
        <v>0</v>
      </c>
      <c r="V226">
        <v>0</v>
      </c>
      <c r="W226" s="3">
        <v>50000</v>
      </c>
      <c r="X226">
        <v>0</v>
      </c>
      <c r="Y226">
        <v>35000</v>
      </c>
    </row>
    <row r="227" spans="1:25" x14ac:dyDescent="0.3">
      <c r="A227" s="3">
        <v>40000</v>
      </c>
      <c r="B227">
        <v>1</v>
      </c>
      <c r="C227">
        <v>0</v>
      </c>
      <c r="D227">
        <v>30</v>
      </c>
      <c r="E227">
        <v>0</v>
      </c>
      <c r="F227">
        <v>1</v>
      </c>
      <c r="G227">
        <v>0</v>
      </c>
      <c r="H227">
        <v>0</v>
      </c>
      <c r="I227">
        <v>1</v>
      </c>
      <c r="J227">
        <v>0</v>
      </c>
      <c r="K227">
        <v>0</v>
      </c>
      <c r="L227">
        <v>0</v>
      </c>
      <c r="M227">
        <v>0</v>
      </c>
      <c r="N227">
        <v>1</v>
      </c>
      <c r="O227">
        <v>1</v>
      </c>
      <c r="P227">
        <v>20000</v>
      </c>
      <c r="Q227">
        <v>1000</v>
      </c>
      <c r="R227">
        <v>1</v>
      </c>
      <c r="S227">
        <v>1</v>
      </c>
      <c r="T227">
        <v>1</v>
      </c>
      <c r="U227">
        <v>0</v>
      </c>
      <c r="V227">
        <v>130000</v>
      </c>
      <c r="W227" s="3">
        <v>40000</v>
      </c>
      <c r="X227">
        <v>0</v>
      </c>
      <c r="Y227">
        <v>20000</v>
      </c>
    </row>
    <row r="228" spans="1:25" x14ac:dyDescent="0.3">
      <c r="A228" s="3">
        <v>0</v>
      </c>
      <c r="B228">
        <v>1</v>
      </c>
      <c r="C228">
        <v>0</v>
      </c>
      <c r="D228">
        <v>15</v>
      </c>
      <c r="E228">
        <v>0</v>
      </c>
      <c r="F228">
        <v>0</v>
      </c>
      <c r="G228">
        <v>0</v>
      </c>
      <c r="H228">
        <v>0</v>
      </c>
      <c r="I228">
        <v>1</v>
      </c>
      <c r="J228">
        <v>0</v>
      </c>
      <c r="K228">
        <v>0</v>
      </c>
      <c r="L228">
        <v>1</v>
      </c>
      <c r="M228">
        <v>1</v>
      </c>
      <c r="N228">
        <v>1</v>
      </c>
      <c r="O228">
        <v>1</v>
      </c>
      <c r="P228">
        <v>40000</v>
      </c>
      <c r="Q228">
        <v>1500</v>
      </c>
      <c r="R228">
        <v>1</v>
      </c>
      <c r="S228">
        <v>1</v>
      </c>
      <c r="T228">
        <v>1</v>
      </c>
      <c r="U228">
        <v>0</v>
      </c>
      <c r="V228">
        <v>55000</v>
      </c>
      <c r="W228" s="3">
        <v>83333.333329999994</v>
      </c>
      <c r="X228">
        <v>0</v>
      </c>
      <c r="Y228">
        <v>40000</v>
      </c>
    </row>
    <row r="229" spans="1:25" x14ac:dyDescent="0.3">
      <c r="A229" s="3">
        <v>200000</v>
      </c>
      <c r="B229">
        <v>0</v>
      </c>
      <c r="C229">
        <v>0</v>
      </c>
      <c r="D229">
        <v>20</v>
      </c>
      <c r="E229">
        <v>0</v>
      </c>
      <c r="F229">
        <v>0</v>
      </c>
      <c r="G229">
        <v>0</v>
      </c>
      <c r="H229">
        <v>0</v>
      </c>
      <c r="I229">
        <v>1</v>
      </c>
      <c r="J229">
        <v>0</v>
      </c>
      <c r="K229">
        <v>0</v>
      </c>
      <c r="L229">
        <v>1</v>
      </c>
      <c r="M229">
        <v>1</v>
      </c>
      <c r="N229">
        <v>1</v>
      </c>
      <c r="O229">
        <v>1</v>
      </c>
      <c r="P229" s="3">
        <v>40000</v>
      </c>
      <c r="Q229">
        <v>2000</v>
      </c>
      <c r="R229">
        <v>1</v>
      </c>
      <c r="S229">
        <v>1</v>
      </c>
      <c r="T229">
        <v>1</v>
      </c>
      <c r="U229">
        <v>0</v>
      </c>
      <c r="V229">
        <v>70000</v>
      </c>
      <c r="W229" s="3">
        <v>20000</v>
      </c>
      <c r="X229">
        <v>0</v>
      </c>
      <c r="Y229">
        <v>40000</v>
      </c>
    </row>
    <row r="230" spans="1:25" x14ac:dyDescent="0.3">
      <c r="A230" s="3">
        <v>0</v>
      </c>
      <c r="B230">
        <v>1</v>
      </c>
      <c r="C230">
        <v>0</v>
      </c>
      <c r="D230">
        <v>30</v>
      </c>
      <c r="E230">
        <v>0</v>
      </c>
      <c r="F230">
        <v>0</v>
      </c>
      <c r="G230">
        <v>0</v>
      </c>
      <c r="H230">
        <v>0</v>
      </c>
      <c r="I230">
        <v>0</v>
      </c>
      <c r="J230">
        <v>0</v>
      </c>
      <c r="K230">
        <v>0</v>
      </c>
      <c r="L230">
        <v>1</v>
      </c>
      <c r="M230">
        <v>1</v>
      </c>
      <c r="N230">
        <v>1</v>
      </c>
      <c r="O230">
        <v>1</v>
      </c>
      <c r="P230">
        <v>20000</v>
      </c>
      <c r="Q230">
        <v>2000</v>
      </c>
      <c r="R230">
        <v>0</v>
      </c>
      <c r="S230">
        <v>1</v>
      </c>
      <c r="T230">
        <v>1</v>
      </c>
      <c r="U230">
        <v>0</v>
      </c>
      <c r="V230">
        <v>45000</v>
      </c>
      <c r="W230" s="3">
        <v>3278.688525</v>
      </c>
      <c r="X230">
        <v>0</v>
      </c>
      <c r="Y230">
        <v>20000</v>
      </c>
    </row>
    <row r="231" spans="1:25" x14ac:dyDescent="0.3">
      <c r="A231" s="3">
        <v>0</v>
      </c>
      <c r="B231">
        <v>1</v>
      </c>
      <c r="C231">
        <v>0</v>
      </c>
      <c r="D231">
        <v>15</v>
      </c>
      <c r="E231">
        <v>1</v>
      </c>
      <c r="F231">
        <v>0</v>
      </c>
      <c r="G231">
        <v>0</v>
      </c>
      <c r="H231">
        <v>0</v>
      </c>
      <c r="I231">
        <v>0</v>
      </c>
      <c r="J231">
        <v>0</v>
      </c>
      <c r="K231">
        <v>0</v>
      </c>
      <c r="L231">
        <v>1</v>
      </c>
      <c r="M231">
        <v>1</v>
      </c>
      <c r="N231">
        <v>1</v>
      </c>
      <c r="O231">
        <v>1</v>
      </c>
      <c r="P231">
        <v>40000</v>
      </c>
      <c r="Q231">
        <v>2000</v>
      </c>
      <c r="R231">
        <v>1</v>
      </c>
      <c r="S231">
        <v>1</v>
      </c>
      <c r="T231">
        <v>1</v>
      </c>
      <c r="U231">
        <v>0</v>
      </c>
      <c r="V231">
        <v>0</v>
      </c>
      <c r="W231" s="3">
        <v>83333.333329999994</v>
      </c>
      <c r="X231">
        <v>0</v>
      </c>
      <c r="Y231">
        <v>40000</v>
      </c>
    </row>
    <row r="232" spans="1:25" x14ac:dyDescent="0.3">
      <c r="A232" s="3">
        <v>250000</v>
      </c>
      <c r="B232">
        <v>0</v>
      </c>
      <c r="C232">
        <v>0</v>
      </c>
      <c r="D232">
        <v>20</v>
      </c>
      <c r="E232">
        <v>0</v>
      </c>
      <c r="F232">
        <v>0</v>
      </c>
      <c r="G232">
        <v>0</v>
      </c>
      <c r="H232">
        <v>0</v>
      </c>
      <c r="I232">
        <v>1</v>
      </c>
      <c r="J232">
        <v>0</v>
      </c>
      <c r="K232">
        <v>0</v>
      </c>
      <c r="L232">
        <v>1</v>
      </c>
      <c r="M232">
        <v>1</v>
      </c>
      <c r="N232">
        <v>1</v>
      </c>
      <c r="O232">
        <v>1</v>
      </c>
      <c r="P232" s="3">
        <v>25000</v>
      </c>
      <c r="Q232">
        <v>1000</v>
      </c>
      <c r="R232">
        <v>1</v>
      </c>
      <c r="S232">
        <v>1</v>
      </c>
      <c r="T232">
        <v>1</v>
      </c>
      <c r="U232">
        <v>0</v>
      </c>
      <c r="V232">
        <v>35000</v>
      </c>
      <c r="W232" s="3">
        <v>16666.666669999999</v>
      </c>
      <c r="X232">
        <v>0</v>
      </c>
    </row>
    <row r="233" spans="1:25" x14ac:dyDescent="0.3">
      <c r="A233" s="3">
        <v>0</v>
      </c>
      <c r="B233">
        <v>1</v>
      </c>
      <c r="C233">
        <v>0</v>
      </c>
      <c r="D233">
        <v>20</v>
      </c>
      <c r="E233">
        <v>0</v>
      </c>
      <c r="F233">
        <v>0</v>
      </c>
      <c r="G233">
        <v>0</v>
      </c>
      <c r="H233">
        <v>0</v>
      </c>
      <c r="I233">
        <v>0</v>
      </c>
      <c r="J233">
        <v>0</v>
      </c>
      <c r="K233">
        <v>0</v>
      </c>
      <c r="L233">
        <v>1</v>
      </c>
      <c r="M233">
        <v>1</v>
      </c>
      <c r="N233">
        <v>1</v>
      </c>
      <c r="O233">
        <v>1</v>
      </c>
      <c r="P233">
        <v>40000</v>
      </c>
      <c r="Q233">
        <v>2000</v>
      </c>
      <c r="R233">
        <v>1</v>
      </c>
      <c r="S233">
        <v>1</v>
      </c>
      <c r="T233">
        <v>1</v>
      </c>
      <c r="U233">
        <v>0</v>
      </c>
      <c r="V233">
        <v>0</v>
      </c>
      <c r="W233" s="3">
        <v>66666.666670000006</v>
      </c>
      <c r="X233">
        <v>0</v>
      </c>
    </row>
    <row r="234" spans="1:25" x14ac:dyDescent="0.3">
      <c r="A234" s="3">
        <v>0</v>
      </c>
      <c r="B234">
        <v>1</v>
      </c>
      <c r="C234">
        <v>0</v>
      </c>
      <c r="D234">
        <v>20</v>
      </c>
      <c r="E234">
        <v>0</v>
      </c>
      <c r="F234">
        <v>0</v>
      </c>
      <c r="G234">
        <v>0</v>
      </c>
      <c r="H234">
        <v>0</v>
      </c>
      <c r="I234">
        <v>0</v>
      </c>
      <c r="J234">
        <v>0</v>
      </c>
      <c r="K234">
        <v>0</v>
      </c>
      <c r="L234">
        <v>1</v>
      </c>
      <c r="M234">
        <v>1</v>
      </c>
      <c r="N234">
        <v>1</v>
      </c>
      <c r="O234">
        <v>1</v>
      </c>
      <c r="P234">
        <v>30000</v>
      </c>
      <c r="Q234">
        <v>3000</v>
      </c>
      <c r="R234">
        <v>1</v>
      </c>
      <c r="S234">
        <v>1</v>
      </c>
      <c r="T234">
        <v>1</v>
      </c>
      <c r="U234">
        <v>0</v>
      </c>
      <c r="V234">
        <v>103900</v>
      </c>
      <c r="W234" s="3">
        <v>31250</v>
      </c>
      <c r="X234">
        <v>0</v>
      </c>
      <c r="Y234">
        <v>30000</v>
      </c>
    </row>
    <row r="235" spans="1:25" x14ac:dyDescent="0.3">
      <c r="A235" s="3">
        <v>0</v>
      </c>
      <c r="B235">
        <v>1</v>
      </c>
      <c r="C235">
        <v>0</v>
      </c>
      <c r="D235">
        <v>20</v>
      </c>
      <c r="E235">
        <v>0</v>
      </c>
      <c r="F235">
        <v>0</v>
      </c>
      <c r="G235">
        <v>0</v>
      </c>
      <c r="H235">
        <v>0</v>
      </c>
      <c r="I235">
        <v>1</v>
      </c>
      <c r="J235">
        <v>0</v>
      </c>
      <c r="K235">
        <v>0</v>
      </c>
      <c r="L235">
        <v>1</v>
      </c>
      <c r="M235">
        <v>0</v>
      </c>
      <c r="N235">
        <v>1</v>
      </c>
      <c r="O235">
        <v>1</v>
      </c>
      <c r="P235">
        <v>20000</v>
      </c>
      <c r="Q235">
        <v>2000</v>
      </c>
      <c r="R235">
        <v>1</v>
      </c>
      <c r="S235">
        <v>1</v>
      </c>
      <c r="T235">
        <v>1</v>
      </c>
      <c r="U235">
        <v>0</v>
      </c>
      <c r="V235">
        <v>0</v>
      </c>
      <c r="W235" s="3">
        <v>97087.378639999995</v>
      </c>
      <c r="X235">
        <v>0</v>
      </c>
      <c r="Y235">
        <v>20000</v>
      </c>
    </row>
    <row r="236" spans="1:25" x14ac:dyDescent="0.3">
      <c r="A236" s="3">
        <v>60000</v>
      </c>
      <c r="B236">
        <v>1</v>
      </c>
      <c r="C236">
        <v>0</v>
      </c>
      <c r="D236">
        <v>30</v>
      </c>
      <c r="E236">
        <v>0</v>
      </c>
      <c r="F236">
        <v>1</v>
      </c>
      <c r="G236">
        <v>0</v>
      </c>
      <c r="H236">
        <v>0</v>
      </c>
      <c r="I236">
        <v>0</v>
      </c>
      <c r="J236">
        <v>0</v>
      </c>
      <c r="K236">
        <v>0</v>
      </c>
      <c r="L236">
        <v>1</v>
      </c>
      <c r="M236">
        <v>1</v>
      </c>
      <c r="N236">
        <v>1</v>
      </c>
      <c r="O236">
        <v>1</v>
      </c>
      <c r="P236">
        <v>25000</v>
      </c>
      <c r="Q236">
        <v>0</v>
      </c>
      <c r="R236">
        <v>1</v>
      </c>
      <c r="S236">
        <v>1</v>
      </c>
      <c r="T236">
        <v>1</v>
      </c>
      <c r="U236">
        <v>0</v>
      </c>
      <c r="V236">
        <v>0</v>
      </c>
      <c r="W236" s="3">
        <v>30000</v>
      </c>
      <c r="X236">
        <v>0</v>
      </c>
      <c r="Y236">
        <v>25000</v>
      </c>
    </row>
    <row r="237" spans="1:25" x14ac:dyDescent="0.3">
      <c r="A237" s="3">
        <v>120000</v>
      </c>
      <c r="B237">
        <v>1</v>
      </c>
      <c r="C237">
        <v>0</v>
      </c>
      <c r="D237">
        <v>15</v>
      </c>
      <c r="E237">
        <v>1</v>
      </c>
      <c r="F237">
        <v>0</v>
      </c>
      <c r="G237">
        <v>0</v>
      </c>
      <c r="H237">
        <v>0</v>
      </c>
      <c r="I237">
        <v>0</v>
      </c>
      <c r="J237">
        <v>0</v>
      </c>
      <c r="K237">
        <v>0</v>
      </c>
      <c r="L237">
        <v>0</v>
      </c>
      <c r="M237">
        <v>1</v>
      </c>
      <c r="N237">
        <v>1</v>
      </c>
      <c r="O237">
        <v>1</v>
      </c>
      <c r="P237">
        <v>40000</v>
      </c>
      <c r="Q237">
        <v>5000</v>
      </c>
      <c r="R237">
        <v>1</v>
      </c>
      <c r="S237">
        <v>1</v>
      </c>
      <c r="T237">
        <v>1</v>
      </c>
      <c r="U237">
        <v>0</v>
      </c>
      <c r="V237">
        <v>14000</v>
      </c>
      <c r="W237" s="3">
        <v>38000</v>
      </c>
      <c r="X237">
        <v>0</v>
      </c>
      <c r="Y237">
        <v>40000</v>
      </c>
    </row>
    <row r="238" spans="1:25" x14ac:dyDescent="0.3">
      <c r="A238" s="3">
        <v>0</v>
      </c>
      <c r="B238">
        <v>1</v>
      </c>
      <c r="C238">
        <v>0</v>
      </c>
      <c r="D238">
        <v>10</v>
      </c>
      <c r="E238">
        <v>0</v>
      </c>
      <c r="F238">
        <v>0</v>
      </c>
      <c r="G238">
        <v>0</v>
      </c>
      <c r="H238">
        <v>0</v>
      </c>
      <c r="I238">
        <v>1</v>
      </c>
      <c r="J238">
        <v>0</v>
      </c>
      <c r="K238">
        <v>0</v>
      </c>
      <c r="L238">
        <v>1</v>
      </c>
      <c r="M238">
        <v>1</v>
      </c>
      <c r="N238">
        <v>1</v>
      </c>
      <c r="O238">
        <v>1</v>
      </c>
      <c r="P238">
        <v>50000</v>
      </c>
      <c r="Q238">
        <v>0</v>
      </c>
      <c r="R238">
        <v>1</v>
      </c>
      <c r="S238">
        <v>1</v>
      </c>
      <c r="T238">
        <v>1</v>
      </c>
      <c r="U238">
        <v>0</v>
      </c>
      <c r="V238">
        <v>0</v>
      </c>
      <c r="W238" s="3">
        <v>150000</v>
      </c>
      <c r="X238">
        <v>0</v>
      </c>
      <c r="Y238">
        <v>50000</v>
      </c>
    </row>
    <row r="239" spans="1:25" x14ac:dyDescent="0.3">
      <c r="A239" s="3">
        <v>0</v>
      </c>
      <c r="B239">
        <v>1</v>
      </c>
      <c r="C239">
        <v>0</v>
      </c>
      <c r="D239">
        <v>10</v>
      </c>
      <c r="E239">
        <v>1</v>
      </c>
      <c r="F239">
        <v>1</v>
      </c>
      <c r="G239">
        <v>0</v>
      </c>
      <c r="H239">
        <v>0</v>
      </c>
      <c r="I239">
        <v>1</v>
      </c>
      <c r="J239">
        <v>0</v>
      </c>
      <c r="K239">
        <v>0</v>
      </c>
      <c r="L239">
        <v>1</v>
      </c>
      <c r="M239">
        <v>1</v>
      </c>
      <c r="N239">
        <v>1</v>
      </c>
      <c r="O239">
        <v>1</v>
      </c>
      <c r="P239">
        <v>25000</v>
      </c>
      <c r="Q239">
        <v>10000</v>
      </c>
      <c r="R239">
        <v>1</v>
      </c>
      <c r="S239">
        <v>1</v>
      </c>
      <c r="T239">
        <v>1</v>
      </c>
      <c r="U239">
        <v>0</v>
      </c>
      <c r="V239">
        <v>0</v>
      </c>
      <c r="W239" s="3">
        <v>93750</v>
      </c>
      <c r="X239">
        <v>0</v>
      </c>
      <c r="Y239">
        <v>25000</v>
      </c>
    </row>
    <row r="240" spans="1:25" x14ac:dyDescent="0.3">
      <c r="A240" s="3">
        <v>0</v>
      </c>
      <c r="B240">
        <v>1</v>
      </c>
      <c r="C240">
        <v>0</v>
      </c>
      <c r="D240">
        <v>10</v>
      </c>
      <c r="E240">
        <v>0</v>
      </c>
      <c r="F240">
        <v>0</v>
      </c>
      <c r="G240">
        <v>0</v>
      </c>
      <c r="H240">
        <v>0</v>
      </c>
      <c r="I240">
        <v>1</v>
      </c>
      <c r="J240">
        <v>0</v>
      </c>
      <c r="K240">
        <v>0</v>
      </c>
      <c r="L240">
        <v>1</v>
      </c>
      <c r="M240">
        <v>1</v>
      </c>
      <c r="N240">
        <v>1</v>
      </c>
      <c r="O240">
        <v>1</v>
      </c>
      <c r="P240">
        <v>30000</v>
      </c>
      <c r="Q240">
        <v>6000</v>
      </c>
      <c r="R240">
        <v>1</v>
      </c>
      <c r="S240">
        <v>1</v>
      </c>
      <c r="T240">
        <v>1</v>
      </c>
      <c r="U240">
        <v>0</v>
      </c>
      <c r="V240">
        <v>55000</v>
      </c>
      <c r="W240" s="3">
        <v>150000</v>
      </c>
      <c r="X240">
        <v>0</v>
      </c>
      <c r="Y240">
        <v>30000</v>
      </c>
    </row>
    <row r="241" spans="1:25" x14ac:dyDescent="0.3">
      <c r="A241" s="3">
        <v>0</v>
      </c>
      <c r="B241">
        <v>1</v>
      </c>
      <c r="C241">
        <v>0</v>
      </c>
      <c r="D241">
        <v>15</v>
      </c>
      <c r="E241">
        <v>0</v>
      </c>
      <c r="F241">
        <v>0</v>
      </c>
      <c r="G241">
        <v>0</v>
      </c>
      <c r="H241">
        <v>0</v>
      </c>
      <c r="I241">
        <v>1</v>
      </c>
      <c r="J241">
        <v>0</v>
      </c>
      <c r="K241">
        <v>0</v>
      </c>
      <c r="L241">
        <v>1</v>
      </c>
      <c r="M241">
        <v>1</v>
      </c>
      <c r="N241">
        <v>1</v>
      </c>
      <c r="O241">
        <v>1</v>
      </c>
      <c r="P241">
        <v>35000</v>
      </c>
      <c r="Q241">
        <v>4000</v>
      </c>
      <c r="R241">
        <v>1</v>
      </c>
      <c r="S241">
        <v>1</v>
      </c>
      <c r="T241">
        <v>1</v>
      </c>
      <c r="U241">
        <v>0</v>
      </c>
      <c r="V241">
        <v>75000</v>
      </c>
      <c r="W241" s="3">
        <v>40000</v>
      </c>
      <c r="X241">
        <v>0</v>
      </c>
      <c r="Y241">
        <v>35000</v>
      </c>
    </row>
    <row r="242" spans="1:25" x14ac:dyDescent="0.3">
      <c r="A242" s="3">
        <v>40000</v>
      </c>
      <c r="B242">
        <v>0</v>
      </c>
      <c r="C242">
        <v>0</v>
      </c>
      <c r="D242">
        <v>30</v>
      </c>
      <c r="E242">
        <v>0</v>
      </c>
      <c r="F242">
        <v>1</v>
      </c>
      <c r="G242">
        <v>0</v>
      </c>
      <c r="H242">
        <v>0</v>
      </c>
      <c r="I242">
        <v>1</v>
      </c>
      <c r="J242">
        <v>0</v>
      </c>
      <c r="K242">
        <v>0</v>
      </c>
      <c r="L242">
        <v>1</v>
      </c>
      <c r="M242">
        <v>1</v>
      </c>
      <c r="N242">
        <v>1</v>
      </c>
      <c r="O242">
        <v>1</v>
      </c>
      <c r="P242" s="3">
        <v>0</v>
      </c>
      <c r="Q242">
        <v>3000</v>
      </c>
      <c r="R242">
        <v>1</v>
      </c>
      <c r="S242">
        <v>1</v>
      </c>
      <c r="T242">
        <v>1</v>
      </c>
      <c r="U242">
        <v>0</v>
      </c>
      <c r="V242">
        <v>0</v>
      </c>
      <c r="W242" s="3">
        <v>93750</v>
      </c>
      <c r="X242">
        <v>0</v>
      </c>
      <c r="Y242">
        <v>0</v>
      </c>
    </row>
    <row r="243" spans="1:25" x14ac:dyDescent="0.3">
      <c r="A243" s="3">
        <v>0</v>
      </c>
      <c r="B243">
        <v>1</v>
      </c>
      <c r="C243">
        <v>0</v>
      </c>
      <c r="D243">
        <v>10</v>
      </c>
      <c r="E243">
        <v>0</v>
      </c>
      <c r="F243">
        <v>0</v>
      </c>
      <c r="G243">
        <v>0</v>
      </c>
      <c r="H243">
        <v>0</v>
      </c>
      <c r="I243">
        <v>1</v>
      </c>
      <c r="J243">
        <v>0</v>
      </c>
      <c r="K243">
        <v>0</v>
      </c>
      <c r="L243">
        <v>1</v>
      </c>
      <c r="M243">
        <v>1</v>
      </c>
      <c r="N243">
        <v>1</v>
      </c>
      <c r="O243">
        <v>1</v>
      </c>
      <c r="P243">
        <v>60000</v>
      </c>
      <c r="Q243">
        <v>3000</v>
      </c>
      <c r="R243">
        <v>1</v>
      </c>
      <c r="S243">
        <v>1</v>
      </c>
      <c r="T243">
        <v>1</v>
      </c>
      <c r="U243">
        <v>1</v>
      </c>
      <c r="V243">
        <v>75000</v>
      </c>
      <c r="W243" s="3">
        <v>42857.14286</v>
      </c>
      <c r="X243">
        <v>0</v>
      </c>
      <c r="Y243">
        <v>60000</v>
      </c>
    </row>
    <row r="244" spans="1:25" x14ac:dyDescent="0.3">
      <c r="A244" s="3">
        <v>0</v>
      </c>
      <c r="B244">
        <v>1</v>
      </c>
      <c r="C244">
        <v>0</v>
      </c>
      <c r="D244">
        <v>25</v>
      </c>
      <c r="E244">
        <v>0</v>
      </c>
      <c r="F244">
        <v>0</v>
      </c>
      <c r="G244">
        <v>0</v>
      </c>
      <c r="H244">
        <v>0</v>
      </c>
      <c r="I244">
        <v>0</v>
      </c>
      <c r="J244">
        <v>0</v>
      </c>
      <c r="K244">
        <v>0</v>
      </c>
      <c r="L244">
        <v>1</v>
      </c>
      <c r="M244">
        <v>1</v>
      </c>
      <c r="N244">
        <v>0</v>
      </c>
      <c r="O244">
        <v>0</v>
      </c>
      <c r="P244">
        <v>40000</v>
      </c>
      <c r="Q244">
        <v>1000</v>
      </c>
      <c r="R244">
        <v>1</v>
      </c>
      <c r="S244">
        <v>1</v>
      </c>
      <c r="T244">
        <v>1</v>
      </c>
      <c r="U244">
        <v>0</v>
      </c>
      <c r="V244">
        <v>0</v>
      </c>
      <c r="W244" s="3">
        <v>5000</v>
      </c>
      <c r="X244">
        <v>0</v>
      </c>
      <c r="Y244">
        <v>40000</v>
      </c>
    </row>
    <row r="245" spans="1:25" x14ac:dyDescent="0.3">
      <c r="A245" s="3">
        <v>0</v>
      </c>
      <c r="B245">
        <v>1</v>
      </c>
      <c r="C245">
        <v>0</v>
      </c>
      <c r="D245">
        <v>20</v>
      </c>
      <c r="E245">
        <v>0</v>
      </c>
      <c r="F245">
        <v>0</v>
      </c>
      <c r="G245">
        <v>0</v>
      </c>
      <c r="H245">
        <v>0</v>
      </c>
      <c r="I245">
        <v>1</v>
      </c>
      <c r="J245">
        <v>0</v>
      </c>
      <c r="K245">
        <v>0</v>
      </c>
      <c r="L245">
        <v>1</v>
      </c>
      <c r="M245">
        <v>1</v>
      </c>
      <c r="N245">
        <v>1</v>
      </c>
      <c r="O245">
        <v>1</v>
      </c>
      <c r="P245">
        <v>15000</v>
      </c>
      <c r="Q245">
        <v>2000</v>
      </c>
      <c r="R245">
        <v>1</v>
      </c>
      <c r="S245">
        <v>1</v>
      </c>
      <c r="T245">
        <v>1</v>
      </c>
      <c r="U245">
        <v>0</v>
      </c>
      <c r="V245">
        <v>16000</v>
      </c>
      <c r="W245" s="3">
        <v>12500</v>
      </c>
      <c r="X245">
        <v>0</v>
      </c>
      <c r="Y245">
        <v>15000</v>
      </c>
    </row>
    <row r="246" spans="1:25" x14ac:dyDescent="0.3">
      <c r="A246" s="3">
        <v>142200</v>
      </c>
      <c r="B246">
        <v>1</v>
      </c>
      <c r="C246">
        <v>0</v>
      </c>
      <c r="D246">
        <v>15</v>
      </c>
      <c r="E246">
        <v>0</v>
      </c>
      <c r="F246">
        <v>0</v>
      </c>
      <c r="G246">
        <v>0</v>
      </c>
      <c r="H246">
        <v>0</v>
      </c>
      <c r="I246">
        <v>0</v>
      </c>
      <c r="J246">
        <v>0</v>
      </c>
      <c r="K246">
        <v>0</v>
      </c>
      <c r="L246">
        <v>1</v>
      </c>
      <c r="M246">
        <v>1</v>
      </c>
      <c r="N246">
        <v>1</v>
      </c>
      <c r="O246">
        <v>1</v>
      </c>
      <c r="P246">
        <v>40000</v>
      </c>
      <c r="Q246">
        <v>6000</v>
      </c>
      <c r="R246">
        <v>1</v>
      </c>
      <c r="S246">
        <v>1</v>
      </c>
      <c r="T246">
        <v>1</v>
      </c>
      <c r="U246">
        <v>0</v>
      </c>
      <c r="V246">
        <v>50000</v>
      </c>
      <c r="W246" s="3">
        <v>40000</v>
      </c>
      <c r="X246">
        <v>0</v>
      </c>
      <c r="Y246">
        <v>40000</v>
      </c>
    </row>
    <row r="247" spans="1:25" x14ac:dyDescent="0.3">
      <c r="A247" s="3">
        <v>240000</v>
      </c>
      <c r="B247">
        <v>0</v>
      </c>
      <c r="C247">
        <v>0</v>
      </c>
      <c r="D247">
        <v>10</v>
      </c>
      <c r="E247">
        <v>1</v>
      </c>
      <c r="F247">
        <v>0</v>
      </c>
      <c r="G247">
        <v>0</v>
      </c>
      <c r="H247">
        <v>0</v>
      </c>
      <c r="I247">
        <v>1</v>
      </c>
      <c r="J247">
        <v>0</v>
      </c>
      <c r="K247">
        <v>0</v>
      </c>
      <c r="L247">
        <v>1</v>
      </c>
      <c r="M247">
        <v>1</v>
      </c>
      <c r="N247">
        <v>1</v>
      </c>
      <c r="O247">
        <v>1</v>
      </c>
      <c r="P247" s="3">
        <v>45000</v>
      </c>
      <c r="Q247">
        <v>1500</v>
      </c>
      <c r="R247">
        <v>1</v>
      </c>
      <c r="S247">
        <v>1</v>
      </c>
      <c r="T247">
        <v>1</v>
      </c>
      <c r="U247">
        <v>0</v>
      </c>
      <c r="V247">
        <v>50000</v>
      </c>
      <c r="W247" s="3">
        <v>10000</v>
      </c>
      <c r="X247">
        <v>0</v>
      </c>
      <c r="Y247">
        <v>45000</v>
      </c>
    </row>
    <row r="248" spans="1:25" x14ac:dyDescent="0.3">
      <c r="A248" s="3">
        <v>0</v>
      </c>
      <c r="B248">
        <v>1</v>
      </c>
      <c r="C248">
        <v>0</v>
      </c>
      <c r="D248">
        <v>16</v>
      </c>
      <c r="E248">
        <v>0</v>
      </c>
      <c r="F248">
        <v>0</v>
      </c>
      <c r="G248">
        <v>0</v>
      </c>
      <c r="H248">
        <v>0</v>
      </c>
      <c r="I248">
        <v>0</v>
      </c>
      <c r="J248">
        <v>0</v>
      </c>
      <c r="K248">
        <v>0</v>
      </c>
      <c r="L248">
        <v>1</v>
      </c>
      <c r="M248">
        <v>1</v>
      </c>
      <c r="N248">
        <v>1</v>
      </c>
      <c r="O248">
        <v>1</v>
      </c>
      <c r="P248">
        <v>80000</v>
      </c>
      <c r="Q248">
        <v>5000</v>
      </c>
      <c r="R248">
        <v>1</v>
      </c>
      <c r="S248">
        <v>1</v>
      </c>
      <c r="T248">
        <v>1</v>
      </c>
      <c r="U248">
        <v>0</v>
      </c>
      <c r="V248">
        <v>45000</v>
      </c>
      <c r="W248" s="3">
        <v>40909.090909999999</v>
      </c>
      <c r="X248">
        <v>0</v>
      </c>
      <c r="Y248">
        <v>80000</v>
      </c>
    </row>
    <row r="249" spans="1:25" x14ac:dyDescent="0.3">
      <c r="A249" s="3">
        <v>0</v>
      </c>
      <c r="B249">
        <v>1</v>
      </c>
      <c r="C249">
        <v>0</v>
      </c>
      <c r="D249">
        <v>30</v>
      </c>
      <c r="E249">
        <v>0</v>
      </c>
      <c r="F249">
        <v>0</v>
      </c>
      <c r="G249">
        <v>0</v>
      </c>
      <c r="H249">
        <v>0</v>
      </c>
      <c r="I249">
        <v>0</v>
      </c>
      <c r="J249">
        <v>0</v>
      </c>
      <c r="K249">
        <v>0</v>
      </c>
      <c r="L249">
        <v>1</v>
      </c>
      <c r="M249">
        <v>1</v>
      </c>
      <c r="N249">
        <v>1</v>
      </c>
      <c r="O249">
        <v>1</v>
      </c>
      <c r="P249">
        <v>20000</v>
      </c>
      <c r="Q249">
        <v>1000</v>
      </c>
      <c r="R249">
        <v>1</v>
      </c>
      <c r="S249">
        <v>1</v>
      </c>
      <c r="T249">
        <v>1</v>
      </c>
      <c r="U249">
        <v>0</v>
      </c>
      <c r="V249">
        <v>40000</v>
      </c>
      <c r="W249" s="3">
        <v>2500</v>
      </c>
      <c r="X249">
        <v>0</v>
      </c>
      <c r="Y249">
        <v>20000</v>
      </c>
    </row>
    <row r="250" spans="1:25" x14ac:dyDescent="0.3">
      <c r="A250" s="3">
        <v>200000</v>
      </c>
      <c r="B250">
        <v>1</v>
      </c>
      <c r="C250">
        <v>0</v>
      </c>
      <c r="D250">
        <v>10</v>
      </c>
      <c r="E250">
        <v>0</v>
      </c>
      <c r="F250">
        <v>0</v>
      </c>
      <c r="G250">
        <v>0</v>
      </c>
      <c r="H250">
        <v>0</v>
      </c>
      <c r="I250">
        <v>1</v>
      </c>
      <c r="J250">
        <v>0</v>
      </c>
      <c r="K250">
        <v>0</v>
      </c>
      <c r="L250">
        <v>1</v>
      </c>
      <c r="M250">
        <v>1</v>
      </c>
      <c r="N250">
        <v>1</v>
      </c>
      <c r="O250">
        <v>1</v>
      </c>
      <c r="P250">
        <v>10000</v>
      </c>
      <c r="Q250">
        <v>2000</v>
      </c>
      <c r="R250">
        <v>1</v>
      </c>
      <c r="S250">
        <v>1</v>
      </c>
      <c r="T250">
        <v>1</v>
      </c>
      <c r="U250">
        <v>0</v>
      </c>
      <c r="V250">
        <v>0</v>
      </c>
      <c r="W250" s="3">
        <v>70000</v>
      </c>
      <c r="X250">
        <v>0</v>
      </c>
      <c r="Y250">
        <v>10000</v>
      </c>
    </row>
    <row r="251" spans="1:25" x14ac:dyDescent="0.3">
      <c r="A251" s="3">
        <v>0</v>
      </c>
      <c r="B251">
        <v>1</v>
      </c>
      <c r="C251">
        <v>0</v>
      </c>
      <c r="D251">
        <v>30</v>
      </c>
      <c r="E251">
        <v>0</v>
      </c>
      <c r="F251">
        <v>1</v>
      </c>
      <c r="G251">
        <v>0</v>
      </c>
      <c r="H251">
        <v>0</v>
      </c>
      <c r="I251">
        <v>1</v>
      </c>
      <c r="J251">
        <v>0</v>
      </c>
      <c r="K251">
        <v>0</v>
      </c>
      <c r="L251">
        <v>1</v>
      </c>
      <c r="M251">
        <v>1</v>
      </c>
      <c r="N251">
        <v>1</v>
      </c>
      <c r="O251">
        <v>1</v>
      </c>
      <c r="P251">
        <v>80000</v>
      </c>
      <c r="Q251">
        <v>2000</v>
      </c>
      <c r="R251">
        <v>1</v>
      </c>
      <c r="S251">
        <v>1</v>
      </c>
      <c r="T251">
        <v>1</v>
      </c>
      <c r="U251">
        <v>1</v>
      </c>
      <c r="V251">
        <v>137000</v>
      </c>
      <c r="W251" s="3">
        <v>60096.153850000002</v>
      </c>
      <c r="X251">
        <v>0</v>
      </c>
      <c r="Y251">
        <v>80000</v>
      </c>
    </row>
    <row r="252" spans="1:25" x14ac:dyDescent="0.3">
      <c r="A252" s="3">
        <v>0</v>
      </c>
      <c r="B252">
        <v>1</v>
      </c>
      <c r="C252">
        <v>0</v>
      </c>
      <c r="D252">
        <v>20</v>
      </c>
      <c r="E252">
        <v>0</v>
      </c>
      <c r="F252">
        <v>0</v>
      </c>
      <c r="G252">
        <v>0</v>
      </c>
      <c r="H252">
        <v>0</v>
      </c>
      <c r="I252">
        <v>0</v>
      </c>
      <c r="J252">
        <v>0</v>
      </c>
      <c r="K252">
        <v>1</v>
      </c>
      <c r="L252">
        <v>1</v>
      </c>
      <c r="M252">
        <v>0</v>
      </c>
      <c r="N252">
        <v>1</v>
      </c>
      <c r="O252">
        <v>1</v>
      </c>
      <c r="P252">
        <v>40000</v>
      </c>
      <c r="Q252">
        <v>3000</v>
      </c>
      <c r="R252">
        <v>1</v>
      </c>
      <c r="S252">
        <v>1</v>
      </c>
      <c r="T252">
        <v>1</v>
      </c>
      <c r="U252">
        <v>0</v>
      </c>
      <c r="V252">
        <v>0</v>
      </c>
      <c r="W252" s="3">
        <v>-4166.6666670000004</v>
      </c>
      <c r="X252">
        <v>0</v>
      </c>
      <c r="Y252">
        <v>40000</v>
      </c>
    </row>
    <row r="253" spans="1:25" x14ac:dyDescent="0.3">
      <c r="A253" s="3">
        <v>200000</v>
      </c>
      <c r="B253">
        <v>1</v>
      </c>
      <c r="C253">
        <v>0</v>
      </c>
      <c r="D253">
        <v>15</v>
      </c>
      <c r="E253">
        <v>0</v>
      </c>
      <c r="F253">
        <v>0</v>
      </c>
      <c r="G253">
        <v>0</v>
      </c>
      <c r="H253">
        <v>0</v>
      </c>
      <c r="I253">
        <v>1</v>
      </c>
      <c r="J253">
        <v>0</v>
      </c>
      <c r="K253">
        <v>0</v>
      </c>
      <c r="L253">
        <v>0</v>
      </c>
      <c r="M253">
        <v>1</v>
      </c>
      <c r="N253">
        <v>1</v>
      </c>
      <c r="O253">
        <v>0</v>
      </c>
      <c r="P253">
        <v>20000</v>
      </c>
      <c r="Q253">
        <v>2000</v>
      </c>
      <c r="R253">
        <v>1</v>
      </c>
      <c r="S253">
        <v>1</v>
      </c>
      <c r="T253">
        <v>1</v>
      </c>
      <c r="U253">
        <v>0</v>
      </c>
      <c r="V253">
        <v>50000</v>
      </c>
      <c r="W253" s="3">
        <v>75000</v>
      </c>
      <c r="X253">
        <v>0</v>
      </c>
      <c r="Y253">
        <v>20000</v>
      </c>
    </row>
    <row r="254" spans="1:25" x14ac:dyDescent="0.3">
      <c r="A254" s="3">
        <v>0</v>
      </c>
      <c r="B254">
        <v>1</v>
      </c>
      <c r="C254">
        <v>0</v>
      </c>
      <c r="D254">
        <v>20</v>
      </c>
      <c r="E254">
        <v>0</v>
      </c>
      <c r="F254">
        <v>0</v>
      </c>
      <c r="G254">
        <v>0</v>
      </c>
      <c r="H254">
        <v>0</v>
      </c>
      <c r="I254">
        <v>1</v>
      </c>
      <c r="J254">
        <v>0</v>
      </c>
      <c r="K254">
        <v>0</v>
      </c>
      <c r="L254">
        <v>0</v>
      </c>
      <c r="M254">
        <v>1</v>
      </c>
      <c r="N254">
        <v>1</v>
      </c>
      <c r="O254">
        <v>1</v>
      </c>
      <c r="P254">
        <v>30000</v>
      </c>
      <c r="Q254">
        <v>2000</v>
      </c>
      <c r="R254">
        <v>1</v>
      </c>
      <c r="S254">
        <v>1</v>
      </c>
      <c r="T254">
        <v>1</v>
      </c>
      <c r="U254">
        <v>0</v>
      </c>
      <c r="V254">
        <v>0</v>
      </c>
      <c r="W254" s="3">
        <v>100000</v>
      </c>
      <c r="X254">
        <v>0</v>
      </c>
      <c r="Y254">
        <v>30000</v>
      </c>
    </row>
    <row r="255" spans="1:25" x14ac:dyDescent="0.3">
      <c r="A255" s="3">
        <v>0</v>
      </c>
      <c r="B255">
        <v>1</v>
      </c>
      <c r="C255">
        <v>0</v>
      </c>
      <c r="D255">
        <v>10</v>
      </c>
      <c r="E255">
        <v>1</v>
      </c>
      <c r="F255">
        <v>1</v>
      </c>
      <c r="G255">
        <v>0</v>
      </c>
      <c r="H255">
        <v>0</v>
      </c>
      <c r="I255">
        <v>1</v>
      </c>
      <c r="J255">
        <v>0</v>
      </c>
      <c r="K255">
        <v>0</v>
      </c>
      <c r="L255">
        <v>1</v>
      </c>
      <c r="M255">
        <v>1</v>
      </c>
      <c r="N255">
        <v>1</v>
      </c>
      <c r="O255">
        <v>1</v>
      </c>
      <c r="P255">
        <v>70000</v>
      </c>
      <c r="Q255">
        <v>2500</v>
      </c>
      <c r="R255">
        <v>1</v>
      </c>
      <c r="S255">
        <v>1</v>
      </c>
      <c r="T255">
        <v>1</v>
      </c>
      <c r="U255">
        <v>0</v>
      </c>
      <c r="V255">
        <v>0</v>
      </c>
      <c r="W255" s="3">
        <v>31250</v>
      </c>
      <c r="X255">
        <v>0</v>
      </c>
      <c r="Y255">
        <v>70000</v>
      </c>
    </row>
    <row r="256" spans="1:25" x14ac:dyDescent="0.3">
      <c r="A256" s="3">
        <v>0</v>
      </c>
      <c r="B256">
        <v>1</v>
      </c>
      <c r="C256">
        <v>0</v>
      </c>
      <c r="D256">
        <v>20</v>
      </c>
      <c r="E256">
        <v>0</v>
      </c>
      <c r="F256">
        <v>1</v>
      </c>
      <c r="G256">
        <v>0</v>
      </c>
      <c r="H256">
        <v>0</v>
      </c>
      <c r="I256">
        <v>1</v>
      </c>
      <c r="J256">
        <v>0</v>
      </c>
      <c r="K256">
        <v>1</v>
      </c>
      <c r="L256">
        <v>1</v>
      </c>
      <c r="M256">
        <v>1</v>
      </c>
      <c r="N256">
        <v>1</v>
      </c>
      <c r="O256">
        <v>1</v>
      </c>
      <c r="P256">
        <v>40000</v>
      </c>
      <c r="Q256">
        <v>2000</v>
      </c>
      <c r="R256">
        <v>1</v>
      </c>
      <c r="S256">
        <v>1</v>
      </c>
      <c r="T256">
        <v>1</v>
      </c>
      <c r="U256">
        <v>0</v>
      </c>
      <c r="V256">
        <v>0</v>
      </c>
      <c r="W256" s="3">
        <v>20000</v>
      </c>
      <c r="X256">
        <v>0</v>
      </c>
      <c r="Y256">
        <v>40000</v>
      </c>
    </row>
    <row r="257" spans="1:25" x14ac:dyDescent="0.3">
      <c r="A257" s="3">
        <v>0</v>
      </c>
      <c r="B257">
        <v>1</v>
      </c>
      <c r="C257">
        <v>0</v>
      </c>
      <c r="D257">
        <v>10</v>
      </c>
      <c r="E257">
        <v>1</v>
      </c>
      <c r="F257">
        <v>0</v>
      </c>
      <c r="G257">
        <v>0</v>
      </c>
      <c r="H257">
        <v>0</v>
      </c>
      <c r="I257">
        <v>1</v>
      </c>
      <c r="J257">
        <v>0</v>
      </c>
      <c r="K257">
        <v>0</v>
      </c>
      <c r="L257">
        <v>1</v>
      </c>
      <c r="M257">
        <v>1</v>
      </c>
      <c r="N257">
        <v>1</v>
      </c>
      <c r="O257">
        <v>1</v>
      </c>
      <c r="P257">
        <v>30000</v>
      </c>
      <c r="Q257">
        <v>1000</v>
      </c>
      <c r="R257">
        <v>1</v>
      </c>
      <c r="S257">
        <v>1</v>
      </c>
      <c r="T257">
        <v>1</v>
      </c>
      <c r="U257">
        <v>0</v>
      </c>
      <c r="V257">
        <v>0</v>
      </c>
      <c r="W257" s="3">
        <v>90909.090909999999</v>
      </c>
      <c r="X257">
        <v>0</v>
      </c>
      <c r="Y257">
        <v>30000</v>
      </c>
    </row>
    <row r="258" spans="1:25" x14ac:dyDescent="0.3">
      <c r="A258" s="3">
        <v>250000</v>
      </c>
      <c r="B258">
        <v>0</v>
      </c>
      <c r="C258">
        <v>0</v>
      </c>
      <c r="D258">
        <v>20</v>
      </c>
      <c r="E258">
        <v>0</v>
      </c>
      <c r="F258">
        <v>1</v>
      </c>
      <c r="G258">
        <v>0</v>
      </c>
      <c r="H258">
        <v>0</v>
      </c>
      <c r="I258">
        <v>1</v>
      </c>
      <c r="J258">
        <v>0</v>
      </c>
      <c r="K258">
        <v>0</v>
      </c>
      <c r="L258">
        <v>1</v>
      </c>
      <c r="M258">
        <v>1</v>
      </c>
      <c r="N258">
        <v>1</v>
      </c>
      <c r="O258">
        <v>1</v>
      </c>
      <c r="P258" s="3">
        <v>50000</v>
      </c>
      <c r="Q258">
        <v>3000</v>
      </c>
      <c r="R258">
        <v>1</v>
      </c>
      <c r="S258">
        <v>1</v>
      </c>
      <c r="T258">
        <v>1</v>
      </c>
      <c r="U258">
        <v>0</v>
      </c>
      <c r="V258" s="2">
        <v>200000</v>
      </c>
      <c r="W258" s="3">
        <v>25000</v>
      </c>
      <c r="X258">
        <v>0</v>
      </c>
      <c r="Y258">
        <v>50000</v>
      </c>
    </row>
    <row r="259" spans="1:25" x14ac:dyDescent="0.3">
      <c r="A259" s="3">
        <v>0</v>
      </c>
      <c r="B259">
        <v>1</v>
      </c>
      <c r="C259">
        <v>0</v>
      </c>
      <c r="D259">
        <v>20</v>
      </c>
      <c r="E259">
        <v>1</v>
      </c>
      <c r="F259">
        <v>0</v>
      </c>
      <c r="G259">
        <v>0</v>
      </c>
      <c r="H259">
        <v>0</v>
      </c>
      <c r="I259">
        <v>1</v>
      </c>
      <c r="J259">
        <v>0</v>
      </c>
      <c r="K259">
        <v>1</v>
      </c>
      <c r="L259">
        <v>1</v>
      </c>
      <c r="M259">
        <v>1</v>
      </c>
      <c r="N259">
        <v>1</v>
      </c>
      <c r="O259">
        <v>1</v>
      </c>
      <c r="P259">
        <v>20000</v>
      </c>
      <c r="Q259">
        <v>5000</v>
      </c>
      <c r="R259">
        <v>1</v>
      </c>
      <c r="S259">
        <v>1</v>
      </c>
      <c r="T259">
        <v>1</v>
      </c>
      <c r="U259">
        <v>0</v>
      </c>
      <c r="V259">
        <v>40000</v>
      </c>
      <c r="W259" s="3">
        <v>40000</v>
      </c>
      <c r="X259">
        <v>0</v>
      </c>
      <c r="Y259">
        <v>20000</v>
      </c>
    </row>
    <row r="260" spans="1:25" x14ac:dyDescent="0.3">
      <c r="A260" s="3">
        <v>0</v>
      </c>
      <c r="B260">
        <v>1</v>
      </c>
      <c r="C260">
        <v>0</v>
      </c>
      <c r="D260">
        <v>20</v>
      </c>
      <c r="E260">
        <v>0</v>
      </c>
      <c r="F260">
        <v>0</v>
      </c>
      <c r="G260">
        <v>0</v>
      </c>
      <c r="H260">
        <v>0</v>
      </c>
      <c r="I260">
        <v>1</v>
      </c>
      <c r="J260">
        <v>0</v>
      </c>
      <c r="K260">
        <v>0</v>
      </c>
      <c r="L260">
        <v>1</v>
      </c>
      <c r="M260">
        <v>1</v>
      </c>
      <c r="N260">
        <v>1</v>
      </c>
      <c r="O260">
        <v>1</v>
      </c>
      <c r="P260">
        <v>70000</v>
      </c>
      <c r="Q260">
        <v>4000</v>
      </c>
      <c r="R260">
        <v>1</v>
      </c>
      <c r="S260">
        <v>1</v>
      </c>
      <c r="T260">
        <v>1</v>
      </c>
      <c r="U260">
        <v>0</v>
      </c>
      <c r="V260">
        <v>0</v>
      </c>
      <c r="W260" s="3">
        <v>40000</v>
      </c>
      <c r="X260">
        <v>0</v>
      </c>
      <c r="Y260">
        <v>70000</v>
      </c>
    </row>
    <row r="261" spans="1:25" x14ac:dyDescent="0.3">
      <c r="A261" s="3">
        <v>20000</v>
      </c>
      <c r="B261">
        <v>0</v>
      </c>
      <c r="C261">
        <v>0</v>
      </c>
      <c r="D261">
        <v>10</v>
      </c>
      <c r="E261">
        <v>0</v>
      </c>
      <c r="F261">
        <v>0</v>
      </c>
      <c r="G261">
        <v>0</v>
      </c>
      <c r="H261">
        <v>0</v>
      </c>
      <c r="I261">
        <v>1</v>
      </c>
      <c r="J261">
        <v>0</v>
      </c>
      <c r="K261">
        <v>0</v>
      </c>
      <c r="L261">
        <v>0</v>
      </c>
      <c r="M261">
        <v>0</v>
      </c>
      <c r="N261">
        <v>1</v>
      </c>
      <c r="O261">
        <v>0</v>
      </c>
      <c r="P261" s="3">
        <v>60000</v>
      </c>
      <c r="Q261">
        <v>10000</v>
      </c>
      <c r="R261">
        <v>1</v>
      </c>
      <c r="S261">
        <v>1</v>
      </c>
      <c r="T261">
        <v>1</v>
      </c>
      <c r="U261">
        <v>0</v>
      </c>
      <c r="V261">
        <v>0</v>
      </c>
      <c r="W261" s="3">
        <v>25000</v>
      </c>
      <c r="X261">
        <v>1</v>
      </c>
      <c r="Y261">
        <v>60000</v>
      </c>
    </row>
    <row r="262" spans="1:25" x14ac:dyDescent="0.3">
      <c r="A262" s="3">
        <v>120000</v>
      </c>
      <c r="B262">
        <v>0</v>
      </c>
      <c r="C262">
        <v>0</v>
      </c>
      <c r="D262">
        <v>20</v>
      </c>
      <c r="E262">
        <v>1</v>
      </c>
      <c r="F262">
        <v>0</v>
      </c>
      <c r="G262">
        <v>0</v>
      </c>
      <c r="H262">
        <v>0</v>
      </c>
      <c r="I262">
        <v>0</v>
      </c>
      <c r="J262">
        <v>0</v>
      </c>
      <c r="K262">
        <v>0</v>
      </c>
      <c r="L262">
        <v>0</v>
      </c>
      <c r="M262">
        <v>0</v>
      </c>
      <c r="N262">
        <v>1</v>
      </c>
      <c r="O262">
        <v>1</v>
      </c>
      <c r="P262" s="3">
        <v>30000</v>
      </c>
      <c r="Q262">
        <v>12000</v>
      </c>
      <c r="R262">
        <v>1</v>
      </c>
      <c r="S262">
        <v>1</v>
      </c>
      <c r="T262">
        <v>1</v>
      </c>
      <c r="U262">
        <v>0</v>
      </c>
      <c r="V262">
        <v>0</v>
      </c>
      <c r="W262" s="3">
        <v>6887.052342</v>
      </c>
      <c r="X262">
        <v>1</v>
      </c>
      <c r="Y262">
        <v>30000</v>
      </c>
    </row>
    <row r="263" spans="1:25" x14ac:dyDescent="0.3">
      <c r="A263" s="3">
        <v>160000</v>
      </c>
      <c r="B263">
        <v>0</v>
      </c>
      <c r="C263">
        <v>1</v>
      </c>
      <c r="D263">
        <v>10</v>
      </c>
      <c r="E263">
        <v>0</v>
      </c>
      <c r="F263">
        <v>0</v>
      </c>
      <c r="G263">
        <v>0</v>
      </c>
      <c r="H263">
        <v>0</v>
      </c>
      <c r="I263">
        <v>0</v>
      </c>
      <c r="J263">
        <v>0</v>
      </c>
      <c r="K263">
        <v>0</v>
      </c>
      <c r="L263">
        <v>1</v>
      </c>
      <c r="M263">
        <v>0</v>
      </c>
      <c r="N263">
        <v>1</v>
      </c>
      <c r="O263">
        <v>1</v>
      </c>
      <c r="P263" s="3">
        <v>60000</v>
      </c>
      <c r="Q263">
        <v>2000</v>
      </c>
      <c r="R263">
        <v>0</v>
      </c>
      <c r="S263">
        <v>0</v>
      </c>
      <c r="T263">
        <v>1</v>
      </c>
      <c r="U263">
        <v>0</v>
      </c>
      <c r="V263">
        <v>0</v>
      </c>
      <c r="W263" s="3">
        <v>9302.3255809999991</v>
      </c>
      <c r="X263">
        <v>0</v>
      </c>
      <c r="Y263">
        <v>60000</v>
      </c>
    </row>
    <row r="264" spans="1:25" x14ac:dyDescent="0.3">
      <c r="A264" s="3">
        <v>100000</v>
      </c>
      <c r="B264">
        <v>1</v>
      </c>
      <c r="C264">
        <v>0</v>
      </c>
      <c r="D264">
        <v>30</v>
      </c>
      <c r="E264">
        <v>1</v>
      </c>
      <c r="F264">
        <v>0</v>
      </c>
      <c r="G264">
        <v>0</v>
      </c>
      <c r="H264">
        <v>0</v>
      </c>
      <c r="I264">
        <v>1</v>
      </c>
      <c r="J264">
        <v>0</v>
      </c>
      <c r="K264">
        <v>0</v>
      </c>
      <c r="L264">
        <v>0</v>
      </c>
      <c r="M264">
        <v>0</v>
      </c>
      <c r="N264">
        <v>1</v>
      </c>
      <c r="O264">
        <v>1</v>
      </c>
      <c r="P264">
        <v>15000</v>
      </c>
      <c r="Q264">
        <v>1000</v>
      </c>
      <c r="R264">
        <v>0</v>
      </c>
      <c r="S264">
        <v>0</v>
      </c>
      <c r="T264">
        <v>1</v>
      </c>
      <c r="U264">
        <v>0</v>
      </c>
      <c r="V264">
        <v>0</v>
      </c>
      <c r="W264" s="3">
        <v>4716.9811319999999</v>
      </c>
      <c r="X264">
        <v>0</v>
      </c>
      <c r="Y264">
        <v>15000</v>
      </c>
    </row>
    <row r="265" spans="1:25" x14ac:dyDescent="0.3">
      <c r="A265" s="3">
        <v>0</v>
      </c>
      <c r="B265">
        <v>1</v>
      </c>
      <c r="C265">
        <v>0</v>
      </c>
      <c r="D265">
        <v>3</v>
      </c>
      <c r="E265">
        <v>0</v>
      </c>
      <c r="F265">
        <v>0</v>
      </c>
      <c r="G265">
        <v>0</v>
      </c>
      <c r="H265">
        <v>0</v>
      </c>
      <c r="I265">
        <v>1</v>
      </c>
      <c r="J265">
        <v>0</v>
      </c>
      <c r="K265">
        <v>0</v>
      </c>
      <c r="L265">
        <v>0</v>
      </c>
      <c r="M265">
        <v>0</v>
      </c>
      <c r="N265">
        <v>1</v>
      </c>
      <c r="O265">
        <v>0</v>
      </c>
      <c r="P265">
        <v>0</v>
      </c>
      <c r="Q265">
        <v>2000</v>
      </c>
      <c r="R265">
        <v>1</v>
      </c>
      <c r="S265">
        <v>1</v>
      </c>
      <c r="T265">
        <v>1</v>
      </c>
      <c r="U265">
        <v>1</v>
      </c>
      <c r="V265">
        <v>0</v>
      </c>
      <c r="W265" s="3">
        <v>12500</v>
      </c>
      <c r="X265">
        <v>1</v>
      </c>
      <c r="Y265">
        <v>0</v>
      </c>
    </row>
    <row r="266" spans="1:25" x14ac:dyDescent="0.3">
      <c r="A266" s="3">
        <v>100000</v>
      </c>
      <c r="B266">
        <v>0</v>
      </c>
      <c r="C266">
        <v>0</v>
      </c>
      <c r="D266">
        <v>4</v>
      </c>
      <c r="E266">
        <v>0</v>
      </c>
      <c r="F266">
        <v>1</v>
      </c>
      <c r="G266">
        <v>0</v>
      </c>
      <c r="H266">
        <v>0</v>
      </c>
      <c r="I266">
        <v>0</v>
      </c>
      <c r="J266">
        <v>0</v>
      </c>
      <c r="K266">
        <v>1</v>
      </c>
      <c r="L266">
        <v>0</v>
      </c>
      <c r="M266">
        <v>0</v>
      </c>
      <c r="N266">
        <v>1</v>
      </c>
      <c r="O266">
        <v>1</v>
      </c>
      <c r="P266" s="3">
        <v>0</v>
      </c>
      <c r="Q266">
        <v>10000</v>
      </c>
      <c r="R266">
        <v>1</v>
      </c>
      <c r="S266">
        <v>1</v>
      </c>
      <c r="T266">
        <v>1</v>
      </c>
      <c r="U266">
        <v>0</v>
      </c>
      <c r="V266">
        <v>318000</v>
      </c>
      <c r="W266" s="3">
        <v>36496.350359999997</v>
      </c>
      <c r="X266">
        <v>1</v>
      </c>
      <c r="Y266">
        <v>0</v>
      </c>
    </row>
    <row r="267" spans="1:25" x14ac:dyDescent="0.3">
      <c r="A267" s="3">
        <v>40000</v>
      </c>
      <c r="B267">
        <v>0</v>
      </c>
      <c r="C267">
        <v>0</v>
      </c>
      <c r="D267">
        <v>2</v>
      </c>
      <c r="E267">
        <v>0</v>
      </c>
      <c r="F267">
        <v>0</v>
      </c>
      <c r="G267">
        <v>0</v>
      </c>
      <c r="H267">
        <v>0</v>
      </c>
      <c r="I267">
        <v>0</v>
      </c>
      <c r="J267">
        <v>0</v>
      </c>
      <c r="K267">
        <v>0</v>
      </c>
      <c r="L267">
        <v>0</v>
      </c>
      <c r="M267">
        <v>0</v>
      </c>
      <c r="N267">
        <v>1</v>
      </c>
      <c r="O267">
        <v>0</v>
      </c>
      <c r="P267" s="3">
        <v>0</v>
      </c>
      <c r="Q267">
        <v>10000</v>
      </c>
      <c r="R267">
        <v>1</v>
      </c>
      <c r="S267">
        <v>1</v>
      </c>
      <c r="T267">
        <v>1</v>
      </c>
      <c r="U267">
        <v>0</v>
      </c>
      <c r="V267">
        <v>0</v>
      </c>
      <c r="W267" s="3">
        <v>21645.021649999999</v>
      </c>
      <c r="X267">
        <v>1</v>
      </c>
      <c r="Y267">
        <v>0</v>
      </c>
    </row>
    <row r="268" spans="1:25" x14ac:dyDescent="0.3">
      <c r="A268" s="3">
        <v>50000</v>
      </c>
      <c r="B268">
        <v>0</v>
      </c>
      <c r="C268">
        <v>0</v>
      </c>
      <c r="D268">
        <v>4</v>
      </c>
      <c r="E268">
        <v>1</v>
      </c>
      <c r="F268">
        <v>0</v>
      </c>
      <c r="G268">
        <v>0</v>
      </c>
      <c r="H268">
        <v>0</v>
      </c>
      <c r="I268">
        <v>0</v>
      </c>
      <c r="J268">
        <v>0</v>
      </c>
      <c r="K268">
        <v>0</v>
      </c>
      <c r="L268">
        <v>0</v>
      </c>
      <c r="M268">
        <v>0</v>
      </c>
      <c r="N268">
        <v>1</v>
      </c>
      <c r="O268">
        <v>0</v>
      </c>
      <c r="P268" s="3">
        <v>20000</v>
      </c>
      <c r="Q268">
        <v>10000</v>
      </c>
      <c r="R268">
        <v>1</v>
      </c>
      <c r="S268">
        <v>1</v>
      </c>
      <c r="T268">
        <v>1</v>
      </c>
      <c r="U268">
        <v>0</v>
      </c>
      <c r="V268">
        <v>310000</v>
      </c>
      <c r="W268" s="3">
        <v>10000</v>
      </c>
      <c r="X268">
        <v>1</v>
      </c>
      <c r="Y268">
        <v>20000</v>
      </c>
    </row>
    <row r="269" spans="1:25" x14ac:dyDescent="0.3">
      <c r="A269" s="3">
        <v>70000</v>
      </c>
      <c r="B269">
        <v>0</v>
      </c>
      <c r="C269">
        <v>0</v>
      </c>
      <c r="D269">
        <v>8</v>
      </c>
      <c r="E269">
        <v>0</v>
      </c>
      <c r="F269">
        <v>0</v>
      </c>
      <c r="G269">
        <v>0</v>
      </c>
      <c r="H269">
        <v>0</v>
      </c>
      <c r="I269">
        <v>0</v>
      </c>
      <c r="J269">
        <v>0</v>
      </c>
      <c r="K269">
        <v>0</v>
      </c>
      <c r="L269">
        <v>0</v>
      </c>
      <c r="M269">
        <v>1</v>
      </c>
      <c r="N269">
        <v>1</v>
      </c>
      <c r="O269">
        <v>0</v>
      </c>
      <c r="P269" s="3">
        <v>50000</v>
      </c>
      <c r="Q269">
        <v>10000</v>
      </c>
      <c r="R269">
        <v>1</v>
      </c>
      <c r="S269">
        <v>1</v>
      </c>
      <c r="T269">
        <v>1</v>
      </c>
      <c r="U269">
        <v>0</v>
      </c>
      <c r="V269">
        <v>0</v>
      </c>
      <c r="W269" s="3">
        <v>11627.90698</v>
      </c>
      <c r="X269">
        <v>1</v>
      </c>
      <c r="Y269">
        <v>50000</v>
      </c>
    </row>
    <row r="270" spans="1:25" x14ac:dyDescent="0.3">
      <c r="A270" s="3">
        <v>40000</v>
      </c>
      <c r="B270">
        <v>0</v>
      </c>
      <c r="C270">
        <v>0</v>
      </c>
      <c r="D270">
        <v>2</v>
      </c>
      <c r="E270">
        <v>0</v>
      </c>
      <c r="F270">
        <v>0</v>
      </c>
      <c r="G270">
        <v>0</v>
      </c>
      <c r="H270">
        <v>0</v>
      </c>
      <c r="I270">
        <v>0</v>
      </c>
      <c r="J270">
        <v>0</v>
      </c>
      <c r="K270">
        <v>0</v>
      </c>
      <c r="L270">
        <v>0</v>
      </c>
      <c r="M270">
        <v>0</v>
      </c>
      <c r="N270">
        <v>1</v>
      </c>
      <c r="O270">
        <v>0</v>
      </c>
      <c r="P270" s="3">
        <v>40000</v>
      </c>
      <c r="Q270">
        <v>10000</v>
      </c>
      <c r="R270">
        <v>1</v>
      </c>
      <c r="S270">
        <v>1</v>
      </c>
      <c r="T270">
        <v>1</v>
      </c>
      <c r="U270">
        <v>1</v>
      </c>
      <c r="V270">
        <v>0</v>
      </c>
      <c r="W270" s="3">
        <v>45454.545449999998</v>
      </c>
      <c r="X270">
        <v>1</v>
      </c>
    </row>
    <row r="271" spans="1:25" x14ac:dyDescent="0.3">
      <c r="A271" s="3">
        <v>50000</v>
      </c>
      <c r="B271">
        <v>0</v>
      </c>
      <c r="C271">
        <v>0</v>
      </c>
      <c r="D271">
        <v>2</v>
      </c>
      <c r="E271">
        <v>0</v>
      </c>
      <c r="F271">
        <v>0</v>
      </c>
      <c r="G271">
        <v>0</v>
      </c>
      <c r="H271">
        <v>0</v>
      </c>
      <c r="I271">
        <v>0</v>
      </c>
      <c r="J271">
        <v>0</v>
      </c>
      <c r="K271">
        <v>0</v>
      </c>
      <c r="L271">
        <v>0</v>
      </c>
      <c r="M271">
        <v>0</v>
      </c>
      <c r="N271">
        <v>1</v>
      </c>
      <c r="O271">
        <v>0</v>
      </c>
      <c r="P271" s="3">
        <v>50000</v>
      </c>
      <c r="Q271">
        <v>10000</v>
      </c>
      <c r="R271">
        <v>1</v>
      </c>
      <c r="S271">
        <v>1</v>
      </c>
      <c r="T271">
        <v>1</v>
      </c>
      <c r="U271">
        <v>0</v>
      </c>
      <c r="V271">
        <v>0</v>
      </c>
      <c r="W271" s="3">
        <v>16129.03226</v>
      </c>
      <c r="X271">
        <v>1</v>
      </c>
      <c r="Y271">
        <v>50000</v>
      </c>
    </row>
    <row r="272" spans="1:25" x14ac:dyDescent="0.3">
      <c r="A272" s="3">
        <v>140000</v>
      </c>
      <c r="B272">
        <v>0</v>
      </c>
      <c r="C272">
        <v>0</v>
      </c>
      <c r="D272">
        <v>2</v>
      </c>
      <c r="E272">
        <v>0</v>
      </c>
      <c r="F272">
        <v>0</v>
      </c>
      <c r="G272">
        <v>0</v>
      </c>
      <c r="H272">
        <v>0</v>
      </c>
      <c r="I272">
        <v>0</v>
      </c>
      <c r="J272">
        <v>0</v>
      </c>
      <c r="K272">
        <v>0</v>
      </c>
      <c r="L272">
        <v>0</v>
      </c>
      <c r="M272">
        <v>0</v>
      </c>
      <c r="N272">
        <v>1</v>
      </c>
      <c r="O272">
        <v>0</v>
      </c>
      <c r="P272" s="3">
        <v>50000</v>
      </c>
      <c r="Q272">
        <v>20000</v>
      </c>
      <c r="R272">
        <v>1</v>
      </c>
      <c r="S272">
        <v>1</v>
      </c>
      <c r="T272">
        <v>1</v>
      </c>
      <c r="U272">
        <v>1</v>
      </c>
      <c r="V272">
        <v>369000</v>
      </c>
      <c r="W272" s="3">
        <v>11904.7619</v>
      </c>
      <c r="X272">
        <v>1</v>
      </c>
      <c r="Y272">
        <v>50000</v>
      </c>
    </row>
    <row r="273" spans="1:25" x14ac:dyDescent="0.3">
      <c r="A273" s="3">
        <v>49000</v>
      </c>
      <c r="B273">
        <v>0</v>
      </c>
      <c r="C273">
        <v>0</v>
      </c>
      <c r="D273">
        <v>2</v>
      </c>
      <c r="E273">
        <v>0</v>
      </c>
      <c r="F273">
        <v>0</v>
      </c>
      <c r="G273">
        <v>0</v>
      </c>
      <c r="H273">
        <v>0</v>
      </c>
      <c r="I273">
        <v>0</v>
      </c>
      <c r="J273">
        <v>0</v>
      </c>
      <c r="K273">
        <v>0</v>
      </c>
      <c r="L273">
        <v>0</v>
      </c>
      <c r="M273">
        <v>1</v>
      </c>
      <c r="N273">
        <v>1</v>
      </c>
      <c r="O273">
        <v>0</v>
      </c>
      <c r="P273" s="3">
        <v>30000</v>
      </c>
      <c r="Q273">
        <v>10000</v>
      </c>
      <c r="R273">
        <v>1</v>
      </c>
      <c r="S273">
        <v>1</v>
      </c>
      <c r="T273">
        <v>1</v>
      </c>
      <c r="U273">
        <v>1</v>
      </c>
      <c r="V273">
        <v>0</v>
      </c>
      <c r="W273" s="3">
        <v>16129.03226</v>
      </c>
      <c r="X273">
        <v>1</v>
      </c>
      <c r="Y273">
        <v>30000</v>
      </c>
    </row>
    <row r="274" spans="1:25" x14ac:dyDescent="0.3">
      <c r="A274" s="3">
        <v>80000</v>
      </c>
      <c r="B274">
        <v>0</v>
      </c>
      <c r="C274">
        <v>0</v>
      </c>
      <c r="D274">
        <v>2</v>
      </c>
      <c r="E274">
        <v>0</v>
      </c>
      <c r="F274">
        <v>0</v>
      </c>
      <c r="G274">
        <v>0</v>
      </c>
      <c r="H274">
        <v>0</v>
      </c>
      <c r="I274">
        <v>1</v>
      </c>
      <c r="J274">
        <v>0</v>
      </c>
      <c r="K274">
        <v>0</v>
      </c>
      <c r="L274">
        <v>0</v>
      </c>
      <c r="M274">
        <v>1</v>
      </c>
      <c r="N274">
        <v>1</v>
      </c>
      <c r="O274">
        <v>0</v>
      </c>
      <c r="P274" s="3">
        <v>30000</v>
      </c>
      <c r="Q274">
        <v>10000</v>
      </c>
      <c r="R274">
        <v>1</v>
      </c>
      <c r="S274">
        <v>1</v>
      </c>
      <c r="T274">
        <v>1</v>
      </c>
      <c r="U274">
        <v>1</v>
      </c>
      <c r="V274">
        <v>0</v>
      </c>
      <c r="W274" s="3">
        <v>10000</v>
      </c>
      <c r="X274">
        <v>1</v>
      </c>
      <c r="Y274">
        <v>30000</v>
      </c>
    </row>
    <row r="275" spans="1:25" x14ac:dyDescent="0.3">
      <c r="A275" s="3">
        <v>95000</v>
      </c>
      <c r="B275">
        <v>0</v>
      </c>
      <c r="C275">
        <v>0</v>
      </c>
      <c r="D275">
        <v>20</v>
      </c>
      <c r="E275">
        <v>0</v>
      </c>
      <c r="F275">
        <v>0</v>
      </c>
      <c r="G275">
        <v>0</v>
      </c>
      <c r="H275">
        <v>0</v>
      </c>
      <c r="I275">
        <v>0</v>
      </c>
      <c r="J275">
        <v>0</v>
      </c>
      <c r="K275">
        <v>0</v>
      </c>
      <c r="L275">
        <v>1</v>
      </c>
      <c r="M275">
        <v>0</v>
      </c>
      <c r="N275">
        <v>1</v>
      </c>
      <c r="O275">
        <v>0</v>
      </c>
      <c r="P275" s="3">
        <v>50000</v>
      </c>
      <c r="Q275">
        <v>10000</v>
      </c>
      <c r="R275">
        <v>1</v>
      </c>
      <c r="S275">
        <v>1</v>
      </c>
      <c r="T275">
        <v>1</v>
      </c>
      <c r="U275">
        <v>1</v>
      </c>
      <c r="V275">
        <v>297000</v>
      </c>
      <c r="W275" s="3">
        <v>39682.539680000002</v>
      </c>
      <c r="X275">
        <v>1</v>
      </c>
      <c r="Y275">
        <v>50000</v>
      </c>
    </row>
    <row r="276" spans="1:25" x14ac:dyDescent="0.3">
      <c r="A276" s="3">
        <v>75000</v>
      </c>
      <c r="B276">
        <v>0</v>
      </c>
      <c r="C276">
        <v>0</v>
      </c>
      <c r="D276">
        <v>3</v>
      </c>
      <c r="E276">
        <v>0</v>
      </c>
      <c r="F276">
        <v>0</v>
      </c>
      <c r="G276">
        <v>0</v>
      </c>
      <c r="H276">
        <v>0</v>
      </c>
      <c r="I276">
        <v>1</v>
      </c>
      <c r="J276">
        <v>0</v>
      </c>
      <c r="K276">
        <v>0</v>
      </c>
      <c r="L276">
        <v>0</v>
      </c>
      <c r="M276">
        <v>1</v>
      </c>
      <c r="N276">
        <v>1</v>
      </c>
      <c r="O276">
        <v>0</v>
      </c>
      <c r="P276" s="3">
        <v>20000</v>
      </c>
      <c r="Q276">
        <v>10000</v>
      </c>
      <c r="R276">
        <v>1</v>
      </c>
      <c r="S276">
        <v>1</v>
      </c>
      <c r="T276">
        <v>1</v>
      </c>
      <c r="U276">
        <v>1</v>
      </c>
      <c r="V276">
        <v>50000</v>
      </c>
      <c r="W276" s="3">
        <v>15151.515149999999</v>
      </c>
      <c r="X276">
        <v>1</v>
      </c>
      <c r="Y276">
        <v>20000</v>
      </c>
    </row>
    <row r="277" spans="1:25" x14ac:dyDescent="0.3">
      <c r="A277" s="3">
        <v>30000</v>
      </c>
      <c r="B277">
        <v>0</v>
      </c>
      <c r="C277">
        <v>0</v>
      </c>
      <c r="D277">
        <v>7</v>
      </c>
      <c r="E277">
        <v>0</v>
      </c>
      <c r="F277">
        <v>0</v>
      </c>
      <c r="G277">
        <v>0</v>
      </c>
      <c r="H277">
        <v>0</v>
      </c>
      <c r="I277">
        <v>0</v>
      </c>
      <c r="J277">
        <v>0</v>
      </c>
      <c r="K277">
        <v>0</v>
      </c>
      <c r="L277">
        <v>0</v>
      </c>
      <c r="M277">
        <v>1</v>
      </c>
      <c r="N277">
        <v>1</v>
      </c>
      <c r="O277">
        <v>0</v>
      </c>
      <c r="P277" s="3">
        <v>30000</v>
      </c>
      <c r="Q277">
        <v>10000</v>
      </c>
      <c r="R277">
        <v>1</v>
      </c>
      <c r="S277">
        <v>1</v>
      </c>
      <c r="T277">
        <v>1</v>
      </c>
      <c r="U277">
        <v>1</v>
      </c>
      <c r="V277">
        <v>120000</v>
      </c>
      <c r="W277" s="3">
        <v>16666.666669999999</v>
      </c>
      <c r="X277">
        <v>1</v>
      </c>
      <c r="Y277">
        <v>30000</v>
      </c>
    </row>
    <row r="278" spans="1:25" x14ac:dyDescent="0.3">
      <c r="A278" s="3">
        <v>47600</v>
      </c>
      <c r="B278">
        <v>0</v>
      </c>
      <c r="C278">
        <v>1</v>
      </c>
      <c r="D278">
        <v>10</v>
      </c>
      <c r="E278">
        <v>0</v>
      </c>
      <c r="F278">
        <v>0</v>
      </c>
      <c r="G278">
        <v>0</v>
      </c>
      <c r="H278">
        <v>0</v>
      </c>
      <c r="I278">
        <v>0</v>
      </c>
      <c r="J278">
        <v>0</v>
      </c>
      <c r="K278">
        <v>0</v>
      </c>
      <c r="L278">
        <v>0</v>
      </c>
      <c r="M278">
        <v>0</v>
      </c>
      <c r="N278">
        <v>1</v>
      </c>
      <c r="O278">
        <v>1</v>
      </c>
      <c r="P278" s="3">
        <v>20000</v>
      </c>
      <c r="Q278">
        <v>20000</v>
      </c>
      <c r="R278">
        <v>0</v>
      </c>
      <c r="S278">
        <v>0</v>
      </c>
      <c r="T278">
        <v>1</v>
      </c>
      <c r="U278">
        <v>0</v>
      </c>
      <c r="V278">
        <v>75000</v>
      </c>
      <c r="W278" s="3">
        <v>22727.272730000001</v>
      </c>
      <c r="X278">
        <v>1</v>
      </c>
      <c r="Y278">
        <v>20000</v>
      </c>
    </row>
    <row r="279" spans="1:25" x14ac:dyDescent="0.3">
      <c r="A279" s="3">
        <v>70000</v>
      </c>
      <c r="B279">
        <v>0</v>
      </c>
      <c r="C279">
        <v>0</v>
      </c>
      <c r="D279">
        <v>20</v>
      </c>
      <c r="E279">
        <v>0</v>
      </c>
      <c r="F279">
        <v>1</v>
      </c>
      <c r="G279">
        <v>0</v>
      </c>
      <c r="H279">
        <v>0</v>
      </c>
      <c r="I279">
        <v>1</v>
      </c>
      <c r="J279">
        <v>0</v>
      </c>
      <c r="K279">
        <v>0</v>
      </c>
      <c r="L279">
        <v>0</v>
      </c>
      <c r="M279">
        <v>1</v>
      </c>
      <c r="N279">
        <v>1</v>
      </c>
      <c r="O279">
        <v>0</v>
      </c>
      <c r="P279" s="3">
        <v>30000</v>
      </c>
      <c r="Q279">
        <v>2000</v>
      </c>
      <c r="R279">
        <v>0</v>
      </c>
      <c r="S279">
        <v>0</v>
      </c>
      <c r="T279">
        <v>1</v>
      </c>
      <c r="U279">
        <v>1</v>
      </c>
      <c r="V279">
        <v>50000</v>
      </c>
      <c r="W279" s="3">
        <v>12500</v>
      </c>
      <c r="X279">
        <v>0</v>
      </c>
      <c r="Y279">
        <v>30000</v>
      </c>
    </row>
    <row r="280" spans="1:25" x14ac:dyDescent="0.3">
      <c r="A280" s="3">
        <v>50000</v>
      </c>
      <c r="B280">
        <v>0</v>
      </c>
      <c r="C280">
        <v>0</v>
      </c>
      <c r="D280">
        <v>20</v>
      </c>
      <c r="E280">
        <v>1</v>
      </c>
      <c r="F280">
        <v>0</v>
      </c>
      <c r="G280">
        <v>0</v>
      </c>
      <c r="H280">
        <v>0</v>
      </c>
      <c r="I280">
        <v>0</v>
      </c>
      <c r="J280">
        <v>0</v>
      </c>
      <c r="K280">
        <v>0</v>
      </c>
      <c r="L280">
        <v>0</v>
      </c>
      <c r="M280">
        <v>1</v>
      </c>
      <c r="N280">
        <v>1</v>
      </c>
      <c r="O280">
        <v>0</v>
      </c>
      <c r="P280" s="3">
        <v>30000</v>
      </c>
      <c r="Q280">
        <v>0</v>
      </c>
      <c r="R280">
        <v>0</v>
      </c>
      <c r="S280">
        <v>0</v>
      </c>
      <c r="T280">
        <v>1</v>
      </c>
      <c r="U280">
        <v>0</v>
      </c>
      <c r="V280">
        <v>0</v>
      </c>
      <c r="W280" s="3">
        <v>8333.3333330000005</v>
      </c>
      <c r="X280">
        <v>1</v>
      </c>
      <c r="Y280">
        <v>30000</v>
      </c>
    </row>
    <row r="281" spans="1:25" x14ac:dyDescent="0.3">
      <c r="A281" s="3">
        <v>0</v>
      </c>
      <c r="B281">
        <v>1</v>
      </c>
      <c r="C281">
        <v>0</v>
      </c>
      <c r="D281">
        <v>20</v>
      </c>
      <c r="E281">
        <v>1</v>
      </c>
      <c r="F281">
        <v>0</v>
      </c>
      <c r="G281">
        <v>0</v>
      </c>
      <c r="H281">
        <v>0</v>
      </c>
      <c r="I281">
        <v>0</v>
      </c>
      <c r="J281">
        <v>0</v>
      </c>
      <c r="K281">
        <v>0</v>
      </c>
      <c r="L281">
        <v>0</v>
      </c>
      <c r="M281">
        <v>0</v>
      </c>
      <c r="N281">
        <v>0</v>
      </c>
      <c r="O281">
        <v>1</v>
      </c>
      <c r="P281">
        <v>10000</v>
      </c>
      <c r="Q281">
        <v>10000</v>
      </c>
      <c r="R281">
        <v>0</v>
      </c>
      <c r="S281">
        <v>0</v>
      </c>
      <c r="T281">
        <v>0</v>
      </c>
      <c r="U281">
        <v>0</v>
      </c>
      <c r="V281">
        <v>0</v>
      </c>
      <c r="W281" s="3">
        <v>15000</v>
      </c>
      <c r="X281">
        <v>0</v>
      </c>
      <c r="Y281">
        <v>10000</v>
      </c>
    </row>
    <row r="282" spans="1:25" x14ac:dyDescent="0.3">
      <c r="A282" s="3">
        <v>40000</v>
      </c>
      <c r="B282">
        <v>0</v>
      </c>
      <c r="C282">
        <v>0</v>
      </c>
      <c r="D282">
        <v>20</v>
      </c>
      <c r="E282">
        <v>1</v>
      </c>
      <c r="F282">
        <v>1</v>
      </c>
      <c r="G282">
        <v>1</v>
      </c>
      <c r="H282">
        <v>1</v>
      </c>
      <c r="I282">
        <v>1</v>
      </c>
      <c r="J282">
        <v>0</v>
      </c>
      <c r="K282">
        <v>1</v>
      </c>
      <c r="L282">
        <v>1</v>
      </c>
      <c r="M282">
        <v>1</v>
      </c>
      <c r="N282">
        <v>1</v>
      </c>
      <c r="O282">
        <v>0</v>
      </c>
      <c r="P282" s="3">
        <v>18000</v>
      </c>
      <c r="Q282">
        <v>2000</v>
      </c>
      <c r="R282">
        <v>1</v>
      </c>
      <c r="S282">
        <v>1</v>
      </c>
      <c r="T282">
        <v>1</v>
      </c>
      <c r="U282">
        <v>1</v>
      </c>
      <c r="V282">
        <v>43000</v>
      </c>
      <c r="W282" s="3">
        <v>9803.9215690000001</v>
      </c>
      <c r="X282">
        <v>1</v>
      </c>
    </row>
    <row r="283" spans="1:25" x14ac:dyDescent="0.3">
      <c r="A283" s="3">
        <v>25000</v>
      </c>
      <c r="B283">
        <v>0</v>
      </c>
      <c r="C283">
        <v>0</v>
      </c>
      <c r="D283">
        <v>2</v>
      </c>
      <c r="E283">
        <v>0</v>
      </c>
      <c r="F283">
        <v>0</v>
      </c>
      <c r="G283">
        <v>0</v>
      </c>
      <c r="H283">
        <v>0</v>
      </c>
      <c r="I283">
        <v>0</v>
      </c>
      <c r="J283">
        <v>0</v>
      </c>
      <c r="K283">
        <v>0</v>
      </c>
      <c r="L283">
        <v>0</v>
      </c>
      <c r="M283">
        <v>1</v>
      </c>
      <c r="N283">
        <v>1</v>
      </c>
      <c r="O283">
        <v>0</v>
      </c>
      <c r="P283" s="3">
        <v>20000</v>
      </c>
      <c r="Q283">
        <v>20000</v>
      </c>
      <c r="R283">
        <v>1</v>
      </c>
      <c r="S283">
        <v>1</v>
      </c>
      <c r="T283">
        <v>1</v>
      </c>
      <c r="U283">
        <v>1</v>
      </c>
      <c r="V283">
        <v>0</v>
      </c>
      <c r="W283" s="3">
        <v>4178.2729810000001</v>
      </c>
      <c r="X283">
        <v>1</v>
      </c>
      <c r="Y283">
        <v>20000</v>
      </c>
    </row>
    <row r="284" spans="1:25" x14ac:dyDescent="0.3">
      <c r="A284" s="3">
        <v>50000</v>
      </c>
      <c r="B284">
        <v>0</v>
      </c>
      <c r="C284">
        <v>0</v>
      </c>
      <c r="D284">
        <v>15</v>
      </c>
      <c r="E284">
        <v>0</v>
      </c>
      <c r="F284">
        <v>0</v>
      </c>
      <c r="G284">
        <v>0</v>
      </c>
      <c r="H284">
        <v>0</v>
      </c>
      <c r="I284">
        <v>0</v>
      </c>
      <c r="J284">
        <v>0</v>
      </c>
      <c r="K284">
        <v>0</v>
      </c>
      <c r="L284">
        <v>0</v>
      </c>
      <c r="M284">
        <v>1</v>
      </c>
      <c r="N284">
        <v>1</v>
      </c>
      <c r="O284">
        <v>1</v>
      </c>
      <c r="P284" s="3">
        <v>70000</v>
      </c>
      <c r="Q284">
        <v>3000</v>
      </c>
      <c r="R284">
        <v>1</v>
      </c>
      <c r="S284">
        <v>1</v>
      </c>
      <c r="T284">
        <v>1</v>
      </c>
      <c r="U284">
        <v>1</v>
      </c>
      <c r="V284">
        <v>137000</v>
      </c>
      <c r="W284" s="3">
        <v>12500</v>
      </c>
      <c r="X284">
        <v>1</v>
      </c>
      <c r="Y284">
        <v>70000</v>
      </c>
    </row>
    <row r="285" spans="1:25" x14ac:dyDescent="0.3">
      <c r="A285" s="3">
        <v>100000</v>
      </c>
      <c r="B285">
        <v>0</v>
      </c>
      <c r="C285">
        <v>0</v>
      </c>
      <c r="D285">
        <v>5</v>
      </c>
      <c r="E285">
        <v>0</v>
      </c>
      <c r="F285">
        <v>0</v>
      </c>
      <c r="G285">
        <v>0</v>
      </c>
      <c r="H285">
        <v>0</v>
      </c>
      <c r="I285">
        <v>0</v>
      </c>
      <c r="J285">
        <v>0</v>
      </c>
      <c r="K285">
        <v>0</v>
      </c>
      <c r="L285">
        <v>0</v>
      </c>
      <c r="M285">
        <v>1</v>
      </c>
      <c r="N285">
        <v>1</v>
      </c>
      <c r="O285">
        <v>0</v>
      </c>
      <c r="P285" s="3">
        <v>20000</v>
      </c>
      <c r="Q285">
        <v>15000</v>
      </c>
      <c r="R285">
        <v>1</v>
      </c>
      <c r="S285">
        <v>1</v>
      </c>
      <c r="T285">
        <v>1</v>
      </c>
      <c r="U285">
        <v>1</v>
      </c>
      <c r="V285">
        <v>85000</v>
      </c>
      <c r="W285" s="3">
        <v>41666.666669999999</v>
      </c>
      <c r="X285">
        <v>1</v>
      </c>
      <c r="Y285">
        <v>20000</v>
      </c>
    </row>
    <row r="286" spans="1:25" x14ac:dyDescent="0.3">
      <c r="A286" s="3">
        <v>140000</v>
      </c>
      <c r="B286">
        <v>0</v>
      </c>
      <c r="C286">
        <v>0</v>
      </c>
      <c r="D286">
        <v>10</v>
      </c>
      <c r="E286">
        <v>0</v>
      </c>
      <c r="F286">
        <v>0</v>
      </c>
      <c r="G286">
        <v>0</v>
      </c>
      <c r="H286">
        <v>0</v>
      </c>
      <c r="I286">
        <v>1</v>
      </c>
      <c r="J286">
        <v>0</v>
      </c>
      <c r="K286">
        <v>0</v>
      </c>
      <c r="L286">
        <v>0</v>
      </c>
      <c r="M286">
        <v>0</v>
      </c>
      <c r="N286">
        <v>1</v>
      </c>
      <c r="O286">
        <v>0</v>
      </c>
      <c r="P286" s="3">
        <v>50000</v>
      </c>
      <c r="Q286">
        <v>8000</v>
      </c>
      <c r="R286">
        <v>1</v>
      </c>
      <c r="S286">
        <v>1</v>
      </c>
      <c r="T286">
        <v>1</v>
      </c>
      <c r="U286">
        <v>0</v>
      </c>
      <c r="V286">
        <v>120000</v>
      </c>
      <c r="W286" s="3">
        <v>22727.272730000001</v>
      </c>
      <c r="X286">
        <v>1</v>
      </c>
      <c r="Y286">
        <v>50000</v>
      </c>
    </row>
    <row r="287" spans="1:25" x14ac:dyDescent="0.3">
      <c r="A287" s="3">
        <v>75000</v>
      </c>
      <c r="B287">
        <v>0</v>
      </c>
      <c r="C287">
        <v>0</v>
      </c>
      <c r="D287">
        <v>4</v>
      </c>
      <c r="E287">
        <v>0</v>
      </c>
      <c r="F287">
        <v>0</v>
      </c>
      <c r="G287">
        <v>0</v>
      </c>
      <c r="H287">
        <v>0</v>
      </c>
      <c r="I287">
        <v>0</v>
      </c>
      <c r="J287">
        <v>0</v>
      </c>
      <c r="K287">
        <v>0</v>
      </c>
      <c r="L287">
        <v>0</v>
      </c>
      <c r="M287">
        <v>0</v>
      </c>
      <c r="N287">
        <v>1</v>
      </c>
      <c r="O287">
        <v>0</v>
      </c>
      <c r="P287" s="3">
        <v>30000</v>
      </c>
      <c r="Q287">
        <v>2000</v>
      </c>
      <c r="R287">
        <v>0</v>
      </c>
      <c r="S287">
        <v>0</v>
      </c>
      <c r="T287">
        <v>1</v>
      </c>
      <c r="U287">
        <v>0</v>
      </c>
      <c r="V287">
        <v>245000</v>
      </c>
      <c r="W287" s="3">
        <v>-11904.7619</v>
      </c>
      <c r="X287">
        <v>1</v>
      </c>
      <c r="Y287">
        <v>30000</v>
      </c>
    </row>
    <row r="288" spans="1:25" x14ac:dyDescent="0.3">
      <c r="A288" s="3">
        <v>55000</v>
      </c>
      <c r="B288">
        <v>0</v>
      </c>
      <c r="C288">
        <v>0</v>
      </c>
      <c r="D288">
        <v>8</v>
      </c>
      <c r="E288">
        <v>0</v>
      </c>
      <c r="F288">
        <v>0</v>
      </c>
      <c r="G288">
        <v>0</v>
      </c>
      <c r="H288">
        <v>0</v>
      </c>
      <c r="I288">
        <v>1</v>
      </c>
      <c r="J288">
        <v>0</v>
      </c>
      <c r="K288">
        <v>0</v>
      </c>
      <c r="L288">
        <v>0</v>
      </c>
      <c r="M288">
        <v>0</v>
      </c>
      <c r="N288">
        <v>1</v>
      </c>
      <c r="O288">
        <v>0</v>
      </c>
      <c r="P288" s="3">
        <v>40000</v>
      </c>
      <c r="Q288">
        <v>20000</v>
      </c>
      <c r="R288">
        <v>1</v>
      </c>
      <c r="S288">
        <v>0</v>
      </c>
      <c r="T288">
        <v>1</v>
      </c>
      <c r="U288">
        <v>0</v>
      </c>
      <c r="V288">
        <v>70000</v>
      </c>
      <c r="W288" s="3">
        <v>41666.666669999999</v>
      </c>
      <c r="X288">
        <v>1</v>
      </c>
      <c r="Y288">
        <v>40000</v>
      </c>
    </row>
    <row r="289" spans="1:25" x14ac:dyDescent="0.3">
      <c r="A289" s="3">
        <v>230000</v>
      </c>
      <c r="B289">
        <v>0</v>
      </c>
      <c r="C289">
        <v>0</v>
      </c>
      <c r="D289">
        <v>20</v>
      </c>
      <c r="E289">
        <v>0</v>
      </c>
      <c r="F289">
        <v>0</v>
      </c>
      <c r="G289">
        <v>0</v>
      </c>
      <c r="H289">
        <v>0</v>
      </c>
      <c r="I289">
        <v>1</v>
      </c>
      <c r="J289">
        <v>0</v>
      </c>
      <c r="K289">
        <v>0</v>
      </c>
      <c r="L289">
        <v>0</v>
      </c>
      <c r="M289">
        <v>0</v>
      </c>
      <c r="N289">
        <v>1</v>
      </c>
      <c r="O289">
        <v>0</v>
      </c>
      <c r="P289" s="3">
        <v>35000</v>
      </c>
      <c r="Q289">
        <v>20000</v>
      </c>
      <c r="R289">
        <v>1</v>
      </c>
      <c r="S289">
        <v>0</v>
      </c>
      <c r="T289">
        <v>1</v>
      </c>
      <c r="U289">
        <v>0</v>
      </c>
      <c r="V289">
        <v>0</v>
      </c>
      <c r="W289" s="3">
        <v>10869.56522</v>
      </c>
      <c r="X289">
        <v>1</v>
      </c>
      <c r="Y289">
        <v>35000</v>
      </c>
    </row>
    <row r="290" spans="1:25" x14ac:dyDescent="0.3">
      <c r="A290" s="3">
        <v>70000</v>
      </c>
      <c r="B290">
        <v>0</v>
      </c>
      <c r="C290">
        <v>1</v>
      </c>
      <c r="D290">
        <v>4</v>
      </c>
      <c r="E290">
        <v>0</v>
      </c>
      <c r="F290">
        <v>0</v>
      </c>
      <c r="G290">
        <v>0</v>
      </c>
      <c r="H290">
        <v>0</v>
      </c>
      <c r="I290">
        <v>1</v>
      </c>
      <c r="J290">
        <v>0</v>
      </c>
      <c r="K290">
        <v>0</v>
      </c>
      <c r="L290">
        <v>0</v>
      </c>
      <c r="M290">
        <v>0</v>
      </c>
      <c r="N290">
        <v>1</v>
      </c>
      <c r="O290">
        <v>1</v>
      </c>
      <c r="P290" s="3">
        <v>0</v>
      </c>
      <c r="Q290">
        <v>20000</v>
      </c>
      <c r="R290">
        <v>1</v>
      </c>
      <c r="S290">
        <v>1</v>
      </c>
      <c r="T290">
        <v>1</v>
      </c>
      <c r="U290">
        <v>1</v>
      </c>
      <c r="V290">
        <v>0</v>
      </c>
      <c r="W290" s="3">
        <v>18181.818179999998</v>
      </c>
      <c r="X290">
        <v>1</v>
      </c>
      <c r="Y290">
        <v>0</v>
      </c>
    </row>
    <row r="291" spans="1:25" x14ac:dyDescent="0.3">
      <c r="A291" s="3">
        <v>85000</v>
      </c>
      <c r="B291">
        <v>0</v>
      </c>
      <c r="C291">
        <v>0</v>
      </c>
      <c r="D291">
        <v>20</v>
      </c>
      <c r="E291">
        <v>0</v>
      </c>
      <c r="F291">
        <v>0</v>
      </c>
      <c r="G291">
        <v>0</v>
      </c>
      <c r="H291">
        <v>0</v>
      </c>
      <c r="I291">
        <v>0</v>
      </c>
      <c r="J291">
        <v>0</v>
      </c>
      <c r="K291">
        <v>0</v>
      </c>
      <c r="L291">
        <v>0</v>
      </c>
      <c r="M291">
        <v>0</v>
      </c>
      <c r="N291">
        <v>1</v>
      </c>
      <c r="O291">
        <v>0</v>
      </c>
      <c r="P291" s="3">
        <v>50000</v>
      </c>
      <c r="Q291">
        <v>10000</v>
      </c>
      <c r="R291">
        <v>1</v>
      </c>
      <c r="S291">
        <v>1</v>
      </c>
      <c r="T291">
        <v>1</v>
      </c>
      <c r="U291">
        <v>1</v>
      </c>
      <c r="V291">
        <v>189000</v>
      </c>
      <c r="W291" s="3">
        <v>6993.006993</v>
      </c>
      <c r="X291">
        <v>1</v>
      </c>
      <c r="Y291">
        <v>50000</v>
      </c>
    </row>
    <row r="292" spans="1:25" x14ac:dyDescent="0.3">
      <c r="A292" s="3">
        <v>50000</v>
      </c>
      <c r="B292">
        <v>0</v>
      </c>
      <c r="C292">
        <v>0</v>
      </c>
      <c r="D292">
        <v>15</v>
      </c>
      <c r="E292">
        <v>0</v>
      </c>
      <c r="F292">
        <v>0</v>
      </c>
      <c r="G292">
        <v>0</v>
      </c>
      <c r="H292">
        <v>0</v>
      </c>
      <c r="I292">
        <v>1</v>
      </c>
      <c r="J292">
        <v>0</v>
      </c>
      <c r="K292">
        <v>0</v>
      </c>
      <c r="L292">
        <v>0</v>
      </c>
      <c r="M292">
        <v>1</v>
      </c>
      <c r="N292">
        <v>1</v>
      </c>
      <c r="O292">
        <v>0</v>
      </c>
      <c r="P292" s="3">
        <v>20000</v>
      </c>
      <c r="Q292">
        <v>10000</v>
      </c>
      <c r="R292">
        <v>1</v>
      </c>
      <c r="S292">
        <v>1</v>
      </c>
      <c r="T292">
        <v>1</v>
      </c>
      <c r="U292">
        <v>1</v>
      </c>
      <c r="V292">
        <v>95000</v>
      </c>
      <c r="W292" s="3">
        <v>4878.0487800000001</v>
      </c>
      <c r="X292">
        <v>1</v>
      </c>
    </row>
    <row r="293" spans="1:25" x14ac:dyDescent="0.3">
      <c r="A293" s="3">
        <v>80000</v>
      </c>
      <c r="B293">
        <v>0</v>
      </c>
      <c r="C293">
        <v>0</v>
      </c>
      <c r="D293">
        <v>2</v>
      </c>
      <c r="E293">
        <v>0</v>
      </c>
      <c r="F293">
        <v>0</v>
      </c>
      <c r="G293">
        <v>0</v>
      </c>
      <c r="H293">
        <v>0</v>
      </c>
      <c r="I293">
        <v>0</v>
      </c>
      <c r="J293">
        <v>0</v>
      </c>
      <c r="K293">
        <v>0</v>
      </c>
      <c r="L293">
        <v>0</v>
      </c>
      <c r="M293">
        <v>0</v>
      </c>
      <c r="N293">
        <v>1</v>
      </c>
      <c r="O293">
        <v>0</v>
      </c>
      <c r="P293" s="3">
        <v>20000</v>
      </c>
      <c r="Q293">
        <v>10000</v>
      </c>
      <c r="R293">
        <v>1</v>
      </c>
      <c r="S293">
        <v>1</v>
      </c>
      <c r="T293">
        <v>1</v>
      </c>
      <c r="U293">
        <v>1</v>
      </c>
      <c r="V293">
        <v>0</v>
      </c>
      <c r="W293" s="3">
        <v>16666.666669999999</v>
      </c>
      <c r="X293">
        <v>1</v>
      </c>
      <c r="Y293">
        <v>20000</v>
      </c>
    </row>
    <row r="294" spans="1:25" x14ac:dyDescent="0.3">
      <c r="A294" s="3">
        <v>100000</v>
      </c>
      <c r="B294">
        <v>0</v>
      </c>
      <c r="C294">
        <v>0</v>
      </c>
      <c r="D294">
        <v>10</v>
      </c>
      <c r="E294">
        <v>1</v>
      </c>
      <c r="F294">
        <v>0</v>
      </c>
      <c r="G294">
        <v>0</v>
      </c>
      <c r="H294">
        <v>0</v>
      </c>
      <c r="I294">
        <v>0</v>
      </c>
      <c r="J294">
        <v>0</v>
      </c>
      <c r="K294">
        <v>0</v>
      </c>
      <c r="L294">
        <v>0</v>
      </c>
      <c r="M294">
        <v>0</v>
      </c>
      <c r="N294">
        <v>1</v>
      </c>
      <c r="O294">
        <v>0</v>
      </c>
      <c r="P294" s="3">
        <v>0</v>
      </c>
      <c r="Q294">
        <v>1000</v>
      </c>
      <c r="R294">
        <v>0</v>
      </c>
      <c r="S294">
        <v>0</v>
      </c>
      <c r="T294">
        <v>1</v>
      </c>
      <c r="U294">
        <v>1</v>
      </c>
      <c r="V294">
        <v>0</v>
      </c>
      <c r="W294" s="3">
        <v>40000</v>
      </c>
      <c r="X294">
        <v>0</v>
      </c>
      <c r="Y294">
        <v>0</v>
      </c>
    </row>
    <row r="295" spans="1:25" x14ac:dyDescent="0.3">
      <c r="A295" s="3">
        <v>50000</v>
      </c>
      <c r="B295">
        <v>0</v>
      </c>
      <c r="C295">
        <v>0</v>
      </c>
      <c r="D295">
        <v>5</v>
      </c>
      <c r="E295">
        <v>0</v>
      </c>
      <c r="F295">
        <v>0</v>
      </c>
      <c r="G295">
        <v>0</v>
      </c>
      <c r="H295">
        <v>0</v>
      </c>
      <c r="I295">
        <v>1</v>
      </c>
      <c r="J295">
        <v>1</v>
      </c>
      <c r="K295">
        <v>0</v>
      </c>
      <c r="L295">
        <v>0</v>
      </c>
      <c r="M295">
        <v>0</v>
      </c>
      <c r="N295">
        <v>1</v>
      </c>
      <c r="O295">
        <v>1</v>
      </c>
      <c r="P295" s="3">
        <v>20000</v>
      </c>
      <c r="Q295">
        <v>2000</v>
      </c>
      <c r="R295">
        <v>0</v>
      </c>
      <c r="S295">
        <v>0</v>
      </c>
      <c r="T295">
        <v>1</v>
      </c>
      <c r="U295">
        <v>0</v>
      </c>
      <c r="V295">
        <v>35000</v>
      </c>
      <c r="W295" s="3">
        <v>12121.21212</v>
      </c>
      <c r="X295">
        <v>1</v>
      </c>
      <c r="Y295">
        <v>20000</v>
      </c>
    </row>
    <row r="296" spans="1:25" x14ac:dyDescent="0.3">
      <c r="A296" s="3">
        <v>50000</v>
      </c>
      <c r="B296">
        <v>0</v>
      </c>
      <c r="C296">
        <v>0</v>
      </c>
      <c r="D296">
        <v>20</v>
      </c>
      <c r="E296">
        <v>0</v>
      </c>
      <c r="F296">
        <v>0</v>
      </c>
      <c r="G296">
        <v>0</v>
      </c>
      <c r="H296">
        <v>0</v>
      </c>
      <c r="I296">
        <v>0</v>
      </c>
      <c r="J296">
        <v>0</v>
      </c>
      <c r="K296">
        <v>0</v>
      </c>
      <c r="L296">
        <v>0</v>
      </c>
      <c r="M296">
        <v>0</v>
      </c>
      <c r="N296">
        <v>1</v>
      </c>
      <c r="O296">
        <v>0</v>
      </c>
      <c r="P296" s="3">
        <v>50000</v>
      </c>
      <c r="Q296">
        <v>15000</v>
      </c>
      <c r="R296">
        <v>0</v>
      </c>
      <c r="S296">
        <v>0</v>
      </c>
      <c r="T296">
        <v>1</v>
      </c>
      <c r="U296">
        <v>0</v>
      </c>
      <c r="V296">
        <v>0</v>
      </c>
      <c r="W296" s="3">
        <v>-13636.36364</v>
      </c>
      <c r="X296">
        <v>1</v>
      </c>
      <c r="Y296">
        <v>50000</v>
      </c>
    </row>
    <row r="297" spans="1:25" x14ac:dyDescent="0.3">
      <c r="A297" s="3">
        <v>0</v>
      </c>
      <c r="B297">
        <v>1</v>
      </c>
      <c r="C297">
        <v>0</v>
      </c>
      <c r="D297">
        <v>2</v>
      </c>
      <c r="E297">
        <v>0</v>
      </c>
      <c r="F297">
        <v>0</v>
      </c>
      <c r="G297">
        <v>0</v>
      </c>
      <c r="H297">
        <v>0</v>
      </c>
      <c r="I297">
        <v>0</v>
      </c>
      <c r="J297">
        <v>0</v>
      </c>
      <c r="K297">
        <v>0</v>
      </c>
      <c r="L297">
        <v>0</v>
      </c>
      <c r="M297">
        <v>0</v>
      </c>
      <c r="N297">
        <v>1</v>
      </c>
      <c r="O297">
        <v>1</v>
      </c>
      <c r="P297">
        <v>20000</v>
      </c>
      <c r="Q297">
        <v>10000</v>
      </c>
      <c r="R297">
        <v>1</v>
      </c>
      <c r="S297">
        <v>1</v>
      </c>
      <c r="T297">
        <v>1</v>
      </c>
      <c r="U297">
        <v>0</v>
      </c>
      <c r="V297">
        <v>0</v>
      </c>
      <c r="W297" s="3">
        <v>8333.3333330000005</v>
      </c>
      <c r="X297">
        <v>0</v>
      </c>
      <c r="Y297">
        <v>20000</v>
      </c>
    </row>
    <row r="298" spans="1:25" x14ac:dyDescent="0.3">
      <c r="A298" s="3">
        <v>150000</v>
      </c>
      <c r="B298">
        <v>0</v>
      </c>
      <c r="C298">
        <v>0</v>
      </c>
      <c r="D298">
        <v>25</v>
      </c>
      <c r="E298">
        <v>1</v>
      </c>
      <c r="F298">
        <v>0</v>
      </c>
      <c r="G298">
        <v>0</v>
      </c>
      <c r="H298">
        <v>0</v>
      </c>
      <c r="I298">
        <v>0</v>
      </c>
      <c r="J298">
        <v>0</v>
      </c>
      <c r="K298">
        <v>0</v>
      </c>
      <c r="L298">
        <v>0</v>
      </c>
      <c r="M298">
        <v>0</v>
      </c>
      <c r="N298">
        <v>1</v>
      </c>
      <c r="O298">
        <v>0</v>
      </c>
      <c r="P298" s="3">
        <v>30000</v>
      </c>
      <c r="Q298">
        <v>10000</v>
      </c>
      <c r="R298">
        <v>1</v>
      </c>
      <c r="S298">
        <v>1</v>
      </c>
      <c r="T298">
        <v>0</v>
      </c>
      <c r="U298">
        <v>0</v>
      </c>
      <c r="V298">
        <v>75000</v>
      </c>
      <c r="W298" s="3">
        <v>25000</v>
      </c>
      <c r="X298">
        <v>1</v>
      </c>
      <c r="Y298">
        <v>30000</v>
      </c>
    </row>
    <row r="299" spans="1:25" x14ac:dyDescent="0.3">
      <c r="A299" s="3">
        <v>150000</v>
      </c>
      <c r="B299">
        <v>0</v>
      </c>
      <c r="C299">
        <v>0</v>
      </c>
      <c r="D299">
        <v>20</v>
      </c>
      <c r="E299">
        <v>0</v>
      </c>
      <c r="F299">
        <v>0</v>
      </c>
      <c r="G299">
        <v>0</v>
      </c>
      <c r="H299">
        <v>0</v>
      </c>
      <c r="I299">
        <v>0</v>
      </c>
      <c r="J299">
        <v>0</v>
      </c>
      <c r="K299">
        <v>0</v>
      </c>
      <c r="L299">
        <v>0</v>
      </c>
      <c r="M299">
        <v>0</v>
      </c>
      <c r="N299">
        <v>0</v>
      </c>
      <c r="O299">
        <v>1</v>
      </c>
      <c r="P299" s="3">
        <v>30000</v>
      </c>
      <c r="Q299">
        <v>10000</v>
      </c>
      <c r="R299">
        <v>1</v>
      </c>
      <c r="S299">
        <v>1</v>
      </c>
      <c r="T299">
        <v>1</v>
      </c>
      <c r="U299">
        <v>0</v>
      </c>
      <c r="V299">
        <v>40000</v>
      </c>
      <c r="W299" s="3">
        <v>21551.724139999998</v>
      </c>
      <c r="X299">
        <v>1</v>
      </c>
      <c r="Y299">
        <v>30000</v>
      </c>
    </row>
    <row r="300" spans="1:25" x14ac:dyDescent="0.3">
      <c r="A300" s="3">
        <v>20000</v>
      </c>
      <c r="B300">
        <v>0</v>
      </c>
      <c r="C300">
        <v>0</v>
      </c>
      <c r="D300">
        <v>15</v>
      </c>
      <c r="E300">
        <v>0</v>
      </c>
      <c r="F300">
        <v>0</v>
      </c>
      <c r="G300">
        <v>0</v>
      </c>
      <c r="H300">
        <v>0</v>
      </c>
      <c r="I300">
        <v>0</v>
      </c>
      <c r="J300">
        <v>0</v>
      </c>
      <c r="K300">
        <v>0</v>
      </c>
      <c r="L300">
        <v>0</v>
      </c>
      <c r="M300">
        <v>0</v>
      </c>
      <c r="N300">
        <v>0</v>
      </c>
      <c r="O300">
        <v>1</v>
      </c>
      <c r="P300" s="3">
        <v>20000</v>
      </c>
      <c r="Q300">
        <v>10000</v>
      </c>
      <c r="R300">
        <v>1</v>
      </c>
      <c r="S300">
        <v>1</v>
      </c>
      <c r="T300">
        <v>1</v>
      </c>
      <c r="U300">
        <v>0</v>
      </c>
      <c r="V300">
        <v>0</v>
      </c>
      <c r="W300" s="3">
        <v>41666.666669999999</v>
      </c>
      <c r="X300">
        <v>1</v>
      </c>
      <c r="Y300">
        <v>20000</v>
      </c>
    </row>
    <row r="301" spans="1:25" x14ac:dyDescent="0.3">
      <c r="A301" s="3">
        <v>0</v>
      </c>
      <c r="B301">
        <v>1</v>
      </c>
      <c r="C301">
        <v>0</v>
      </c>
      <c r="D301">
        <v>0</v>
      </c>
      <c r="E301">
        <v>0</v>
      </c>
      <c r="F301">
        <v>0</v>
      </c>
      <c r="G301">
        <v>0</v>
      </c>
      <c r="H301">
        <v>0</v>
      </c>
      <c r="I301">
        <v>0</v>
      </c>
      <c r="J301">
        <v>0</v>
      </c>
      <c r="K301">
        <v>0</v>
      </c>
      <c r="L301">
        <v>0</v>
      </c>
      <c r="M301">
        <v>0</v>
      </c>
      <c r="N301">
        <v>1</v>
      </c>
      <c r="O301">
        <v>0</v>
      </c>
      <c r="P301">
        <v>30000</v>
      </c>
      <c r="Q301">
        <v>10000</v>
      </c>
      <c r="R301">
        <v>1</v>
      </c>
      <c r="S301">
        <v>1</v>
      </c>
      <c r="T301">
        <v>1</v>
      </c>
      <c r="U301">
        <v>0</v>
      </c>
      <c r="V301">
        <v>0</v>
      </c>
      <c r="W301" s="3">
        <v>6097.5609759999998</v>
      </c>
      <c r="X301">
        <v>1</v>
      </c>
      <c r="Y301">
        <v>30000</v>
      </c>
    </row>
    <row r="302" spans="1:25" x14ac:dyDescent="0.3">
      <c r="A302" s="3">
        <v>150000</v>
      </c>
      <c r="B302">
        <v>0</v>
      </c>
      <c r="C302">
        <v>0</v>
      </c>
      <c r="D302">
        <v>20</v>
      </c>
      <c r="E302">
        <v>0</v>
      </c>
      <c r="F302">
        <v>0</v>
      </c>
      <c r="G302">
        <v>0</v>
      </c>
      <c r="H302">
        <v>0</v>
      </c>
      <c r="I302">
        <v>0</v>
      </c>
      <c r="J302">
        <v>0</v>
      </c>
      <c r="K302">
        <v>0</v>
      </c>
      <c r="L302">
        <v>0</v>
      </c>
      <c r="M302">
        <v>0</v>
      </c>
      <c r="N302">
        <v>1</v>
      </c>
      <c r="O302">
        <v>0</v>
      </c>
      <c r="P302" s="3">
        <v>30000</v>
      </c>
      <c r="Q302">
        <v>10000</v>
      </c>
      <c r="R302">
        <v>0</v>
      </c>
      <c r="S302">
        <v>0</v>
      </c>
      <c r="T302">
        <v>0</v>
      </c>
      <c r="U302">
        <v>0</v>
      </c>
      <c r="V302">
        <v>0</v>
      </c>
      <c r="W302" s="3">
        <v>47619.047619999998</v>
      </c>
      <c r="X302">
        <v>1</v>
      </c>
      <c r="Y302">
        <v>30000</v>
      </c>
    </row>
    <row r="303" spans="1:25" x14ac:dyDescent="0.3">
      <c r="A303" s="3">
        <v>100000</v>
      </c>
      <c r="B303">
        <v>0</v>
      </c>
      <c r="C303">
        <v>0</v>
      </c>
      <c r="D303">
        <v>10</v>
      </c>
      <c r="E303">
        <v>1</v>
      </c>
      <c r="F303">
        <v>0</v>
      </c>
      <c r="G303">
        <v>0</v>
      </c>
      <c r="H303">
        <v>0</v>
      </c>
      <c r="I303">
        <v>0</v>
      </c>
      <c r="J303">
        <v>0</v>
      </c>
      <c r="K303">
        <v>0</v>
      </c>
      <c r="L303">
        <v>0</v>
      </c>
      <c r="M303">
        <v>0</v>
      </c>
      <c r="N303">
        <v>0</v>
      </c>
      <c r="O303">
        <v>1</v>
      </c>
      <c r="P303" s="3">
        <v>50000</v>
      </c>
      <c r="Q303">
        <v>10000</v>
      </c>
      <c r="R303">
        <v>1</v>
      </c>
      <c r="S303">
        <v>1</v>
      </c>
      <c r="T303">
        <v>1</v>
      </c>
      <c r="U303">
        <v>0</v>
      </c>
      <c r="V303">
        <v>75000</v>
      </c>
      <c r="W303" s="3">
        <v>80000</v>
      </c>
      <c r="X303">
        <v>1</v>
      </c>
      <c r="Y303">
        <v>50000</v>
      </c>
    </row>
    <row r="304" spans="1:25" x14ac:dyDescent="0.3">
      <c r="A304" s="3">
        <v>100000</v>
      </c>
      <c r="B304">
        <v>0</v>
      </c>
      <c r="C304">
        <v>0</v>
      </c>
      <c r="D304">
        <v>10</v>
      </c>
      <c r="E304">
        <v>0</v>
      </c>
      <c r="F304">
        <v>0</v>
      </c>
      <c r="G304">
        <v>0</v>
      </c>
      <c r="H304">
        <v>0</v>
      </c>
      <c r="I304">
        <v>0</v>
      </c>
      <c r="J304">
        <v>0</v>
      </c>
      <c r="K304">
        <v>0</v>
      </c>
      <c r="L304">
        <v>0</v>
      </c>
      <c r="M304">
        <v>0</v>
      </c>
      <c r="N304">
        <v>0</v>
      </c>
      <c r="O304">
        <v>1</v>
      </c>
      <c r="P304" s="3">
        <v>30000</v>
      </c>
      <c r="Q304">
        <v>10000</v>
      </c>
      <c r="R304">
        <v>0</v>
      </c>
      <c r="S304">
        <v>0</v>
      </c>
      <c r="T304">
        <v>1</v>
      </c>
      <c r="U304">
        <v>1</v>
      </c>
      <c r="V304">
        <v>0</v>
      </c>
      <c r="W304" s="3">
        <v>10000</v>
      </c>
      <c r="X304">
        <v>1</v>
      </c>
      <c r="Y304">
        <v>30000</v>
      </c>
    </row>
    <row r="305" spans="1:25" x14ac:dyDescent="0.3">
      <c r="A305" s="3">
        <v>0</v>
      </c>
      <c r="B305">
        <v>1</v>
      </c>
      <c r="C305">
        <v>0</v>
      </c>
      <c r="D305">
        <v>3</v>
      </c>
      <c r="E305">
        <v>0</v>
      </c>
      <c r="F305">
        <v>0</v>
      </c>
      <c r="G305">
        <v>0</v>
      </c>
      <c r="H305">
        <v>0</v>
      </c>
      <c r="I305">
        <v>0</v>
      </c>
      <c r="J305">
        <v>0</v>
      </c>
      <c r="K305">
        <v>0</v>
      </c>
      <c r="L305">
        <v>0</v>
      </c>
      <c r="M305">
        <v>0</v>
      </c>
      <c r="N305">
        <v>0</v>
      </c>
      <c r="O305">
        <v>1</v>
      </c>
      <c r="P305">
        <v>30000</v>
      </c>
      <c r="Q305">
        <v>10000</v>
      </c>
      <c r="R305">
        <v>1</v>
      </c>
      <c r="S305">
        <v>1</v>
      </c>
      <c r="T305">
        <v>1</v>
      </c>
      <c r="U305">
        <v>0</v>
      </c>
      <c r="V305">
        <v>87500</v>
      </c>
      <c r="W305" s="3">
        <v>5000</v>
      </c>
      <c r="X305">
        <v>1</v>
      </c>
      <c r="Y305">
        <v>30000</v>
      </c>
    </row>
    <row r="306" spans="1:25" x14ac:dyDescent="0.3">
      <c r="A306" s="3">
        <v>0</v>
      </c>
      <c r="B306">
        <v>1</v>
      </c>
      <c r="C306">
        <v>0</v>
      </c>
      <c r="D306">
        <v>15</v>
      </c>
      <c r="E306">
        <v>1</v>
      </c>
      <c r="F306">
        <v>0</v>
      </c>
      <c r="G306">
        <v>0</v>
      </c>
      <c r="H306">
        <v>0</v>
      </c>
      <c r="I306">
        <v>0</v>
      </c>
      <c r="J306">
        <v>0</v>
      </c>
      <c r="K306">
        <v>0</v>
      </c>
      <c r="L306">
        <v>0</v>
      </c>
      <c r="M306">
        <v>0</v>
      </c>
      <c r="N306">
        <v>0</v>
      </c>
      <c r="O306">
        <v>0</v>
      </c>
      <c r="P306">
        <v>80000</v>
      </c>
      <c r="Q306">
        <v>10000</v>
      </c>
      <c r="R306">
        <v>0</v>
      </c>
      <c r="S306">
        <v>0</v>
      </c>
      <c r="T306">
        <v>1</v>
      </c>
      <c r="U306">
        <v>0</v>
      </c>
      <c r="V306">
        <v>0</v>
      </c>
      <c r="W306" s="3">
        <v>3780.7183359999999</v>
      </c>
      <c r="X306">
        <v>1</v>
      </c>
      <c r="Y306">
        <v>80000</v>
      </c>
    </row>
    <row r="307" spans="1:25" x14ac:dyDescent="0.3">
      <c r="A307" s="3">
        <v>124000</v>
      </c>
      <c r="B307">
        <v>0</v>
      </c>
      <c r="C307">
        <v>0</v>
      </c>
      <c r="D307">
        <v>30</v>
      </c>
      <c r="E307">
        <v>1</v>
      </c>
      <c r="F307">
        <v>0</v>
      </c>
      <c r="G307">
        <v>0</v>
      </c>
      <c r="H307">
        <v>0</v>
      </c>
      <c r="I307">
        <v>0</v>
      </c>
      <c r="J307">
        <v>0</v>
      </c>
      <c r="K307">
        <v>0</v>
      </c>
      <c r="L307">
        <v>0</v>
      </c>
      <c r="M307">
        <v>0</v>
      </c>
      <c r="N307">
        <v>1</v>
      </c>
      <c r="O307">
        <v>0</v>
      </c>
      <c r="P307" s="3">
        <v>30000</v>
      </c>
      <c r="Q307">
        <v>5000</v>
      </c>
      <c r="R307">
        <v>0</v>
      </c>
      <c r="S307">
        <v>0</v>
      </c>
      <c r="T307">
        <v>1</v>
      </c>
      <c r="U307">
        <v>0</v>
      </c>
      <c r="V307">
        <v>0</v>
      </c>
      <c r="W307" s="3">
        <v>6666.6666670000004</v>
      </c>
      <c r="X307">
        <v>1</v>
      </c>
      <c r="Y307">
        <v>30000</v>
      </c>
    </row>
    <row r="308" spans="1:25" x14ac:dyDescent="0.3">
      <c r="A308" s="3">
        <v>0</v>
      </c>
      <c r="B308">
        <v>1</v>
      </c>
      <c r="C308">
        <v>0</v>
      </c>
      <c r="D308">
        <v>3</v>
      </c>
      <c r="E308">
        <v>0</v>
      </c>
      <c r="F308">
        <v>0</v>
      </c>
      <c r="G308">
        <v>0</v>
      </c>
      <c r="H308">
        <v>0</v>
      </c>
      <c r="I308">
        <v>0</v>
      </c>
      <c r="J308">
        <v>0</v>
      </c>
      <c r="K308">
        <v>0</v>
      </c>
      <c r="L308">
        <v>0</v>
      </c>
      <c r="M308">
        <v>0</v>
      </c>
      <c r="N308">
        <v>1</v>
      </c>
      <c r="O308">
        <v>1</v>
      </c>
      <c r="P308">
        <v>20000</v>
      </c>
      <c r="Q308">
        <v>10000</v>
      </c>
      <c r="R308">
        <v>0</v>
      </c>
      <c r="S308">
        <v>0</v>
      </c>
      <c r="T308">
        <v>1</v>
      </c>
      <c r="U308">
        <v>1</v>
      </c>
      <c r="V308">
        <v>50000</v>
      </c>
      <c r="W308" s="3">
        <v>25000</v>
      </c>
      <c r="X308">
        <v>1</v>
      </c>
      <c r="Y308">
        <v>20000</v>
      </c>
    </row>
    <row r="309" spans="1:25" x14ac:dyDescent="0.3">
      <c r="A309" s="3">
        <v>180000</v>
      </c>
      <c r="B309">
        <v>0</v>
      </c>
      <c r="C309">
        <v>0</v>
      </c>
      <c r="D309">
        <v>25</v>
      </c>
      <c r="E309">
        <v>1</v>
      </c>
      <c r="F309">
        <v>0</v>
      </c>
      <c r="G309">
        <v>0</v>
      </c>
      <c r="H309">
        <v>0</v>
      </c>
      <c r="I309">
        <v>0</v>
      </c>
      <c r="J309">
        <v>0</v>
      </c>
      <c r="K309">
        <v>0</v>
      </c>
      <c r="L309">
        <v>0</v>
      </c>
      <c r="M309">
        <v>0</v>
      </c>
      <c r="N309">
        <v>0</v>
      </c>
      <c r="O309">
        <v>1</v>
      </c>
      <c r="P309" s="3">
        <v>30000</v>
      </c>
      <c r="Q309">
        <v>10000</v>
      </c>
      <c r="R309">
        <v>0</v>
      </c>
      <c r="S309">
        <v>0</v>
      </c>
      <c r="T309">
        <v>1</v>
      </c>
      <c r="U309">
        <v>0</v>
      </c>
      <c r="V309">
        <v>50000</v>
      </c>
      <c r="W309" s="3">
        <v>50000</v>
      </c>
      <c r="X309">
        <v>1</v>
      </c>
      <c r="Y309">
        <v>30000</v>
      </c>
    </row>
    <row r="310" spans="1:25" x14ac:dyDescent="0.3">
      <c r="A310" s="3">
        <v>0</v>
      </c>
      <c r="B310">
        <v>1</v>
      </c>
      <c r="C310">
        <v>0</v>
      </c>
      <c r="D310">
        <v>5</v>
      </c>
      <c r="E310">
        <v>0</v>
      </c>
      <c r="F310">
        <v>0</v>
      </c>
      <c r="G310">
        <v>0</v>
      </c>
      <c r="H310">
        <v>0</v>
      </c>
      <c r="I310">
        <v>0</v>
      </c>
      <c r="J310">
        <v>0</v>
      </c>
      <c r="K310">
        <v>0</v>
      </c>
      <c r="L310">
        <v>0</v>
      </c>
      <c r="M310">
        <v>0</v>
      </c>
      <c r="N310">
        <v>1</v>
      </c>
      <c r="O310">
        <v>0</v>
      </c>
      <c r="P310">
        <v>80000</v>
      </c>
      <c r="Q310">
        <v>10000</v>
      </c>
      <c r="R310">
        <v>0</v>
      </c>
      <c r="S310">
        <v>0</v>
      </c>
      <c r="T310">
        <v>1</v>
      </c>
      <c r="U310">
        <v>0</v>
      </c>
      <c r="V310">
        <v>0</v>
      </c>
      <c r="W310" s="3">
        <v>71428.571429999996</v>
      </c>
      <c r="X310">
        <v>1</v>
      </c>
      <c r="Y310">
        <v>80000</v>
      </c>
    </row>
    <row r="311" spans="1:25" x14ac:dyDescent="0.3">
      <c r="A311" s="3">
        <v>19000</v>
      </c>
      <c r="B311">
        <v>0</v>
      </c>
      <c r="C311">
        <v>0</v>
      </c>
      <c r="D311">
        <v>35</v>
      </c>
      <c r="E311">
        <v>1</v>
      </c>
      <c r="F311">
        <v>0</v>
      </c>
      <c r="G311">
        <v>0</v>
      </c>
      <c r="H311">
        <v>0</v>
      </c>
      <c r="I311">
        <v>0</v>
      </c>
      <c r="J311">
        <v>0</v>
      </c>
      <c r="K311">
        <v>0</v>
      </c>
      <c r="L311">
        <v>0</v>
      </c>
      <c r="M311">
        <v>0</v>
      </c>
      <c r="N311">
        <v>1</v>
      </c>
      <c r="O311">
        <v>0</v>
      </c>
      <c r="P311" s="3">
        <v>20000</v>
      </c>
      <c r="Q311">
        <v>4000</v>
      </c>
      <c r="R311">
        <v>0</v>
      </c>
      <c r="S311">
        <v>0</v>
      </c>
      <c r="T311">
        <v>0</v>
      </c>
      <c r="U311">
        <v>0</v>
      </c>
      <c r="V311">
        <v>87000</v>
      </c>
      <c r="W311" s="3">
        <v>30000</v>
      </c>
      <c r="X311">
        <v>1</v>
      </c>
      <c r="Y311">
        <v>20000</v>
      </c>
    </row>
    <row r="312" spans="1:25" x14ac:dyDescent="0.3">
      <c r="A312" s="3">
        <v>0</v>
      </c>
      <c r="B312">
        <v>1</v>
      </c>
      <c r="C312">
        <v>0</v>
      </c>
      <c r="D312">
        <v>20</v>
      </c>
      <c r="E312">
        <v>0</v>
      </c>
      <c r="F312">
        <v>0</v>
      </c>
      <c r="G312">
        <v>0</v>
      </c>
      <c r="H312">
        <v>0</v>
      </c>
      <c r="I312">
        <v>0</v>
      </c>
      <c r="J312">
        <v>0</v>
      </c>
      <c r="K312">
        <v>1</v>
      </c>
      <c r="L312">
        <v>0</v>
      </c>
      <c r="M312">
        <v>0</v>
      </c>
      <c r="N312">
        <v>1</v>
      </c>
      <c r="O312">
        <v>0</v>
      </c>
      <c r="P312">
        <v>25000</v>
      </c>
      <c r="Q312">
        <v>10000</v>
      </c>
      <c r="R312">
        <v>0</v>
      </c>
      <c r="S312">
        <v>0</v>
      </c>
      <c r="T312">
        <v>1</v>
      </c>
      <c r="U312">
        <v>0</v>
      </c>
      <c r="V312">
        <v>0</v>
      </c>
      <c r="W312" s="3">
        <v>37500</v>
      </c>
      <c r="X312">
        <v>1</v>
      </c>
      <c r="Y312">
        <v>25000</v>
      </c>
    </row>
    <row r="313" spans="1:25" x14ac:dyDescent="0.3">
      <c r="A313" s="3">
        <v>85000</v>
      </c>
      <c r="B313">
        <v>0</v>
      </c>
      <c r="C313">
        <v>0</v>
      </c>
      <c r="D313">
        <v>8</v>
      </c>
      <c r="E313">
        <v>0</v>
      </c>
      <c r="F313">
        <v>0</v>
      </c>
      <c r="G313">
        <v>0</v>
      </c>
      <c r="H313">
        <v>0</v>
      </c>
      <c r="I313">
        <v>0</v>
      </c>
      <c r="J313">
        <v>0</v>
      </c>
      <c r="K313">
        <v>0</v>
      </c>
      <c r="L313">
        <v>0</v>
      </c>
      <c r="M313">
        <v>0</v>
      </c>
      <c r="N313">
        <v>1</v>
      </c>
      <c r="O313">
        <v>0</v>
      </c>
      <c r="P313" s="3">
        <v>30000</v>
      </c>
      <c r="Q313">
        <v>2000</v>
      </c>
      <c r="R313">
        <v>1</v>
      </c>
      <c r="S313">
        <v>1</v>
      </c>
      <c r="T313">
        <v>1</v>
      </c>
      <c r="U313">
        <v>1</v>
      </c>
      <c r="V313">
        <v>0</v>
      </c>
      <c r="W313" s="3">
        <v>10000</v>
      </c>
      <c r="X313">
        <v>1</v>
      </c>
      <c r="Y313">
        <v>30000</v>
      </c>
    </row>
    <row r="314" spans="1:25" x14ac:dyDescent="0.3">
      <c r="A314" s="3">
        <v>40000</v>
      </c>
      <c r="B314">
        <v>0</v>
      </c>
      <c r="C314">
        <v>0</v>
      </c>
      <c r="D314">
        <v>20</v>
      </c>
      <c r="E314">
        <v>1</v>
      </c>
      <c r="F314">
        <v>1</v>
      </c>
      <c r="G314">
        <v>0</v>
      </c>
      <c r="H314">
        <v>0</v>
      </c>
      <c r="I314">
        <v>1</v>
      </c>
      <c r="J314">
        <v>0</v>
      </c>
      <c r="K314">
        <v>1</v>
      </c>
      <c r="L314">
        <v>0</v>
      </c>
      <c r="M314">
        <v>0</v>
      </c>
      <c r="N314">
        <v>1</v>
      </c>
      <c r="O314">
        <v>0</v>
      </c>
      <c r="P314" s="3">
        <v>30000</v>
      </c>
      <c r="Q314">
        <v>2000</v>
      </c>
      <c r="R314">
        <v>1</v>
      </c>
      <c r="S314">
        <v>1</v>
      </c>
      <c r="T314">
        <v>1</v>
      </c>
      <c r="U314">
        <v>1</v>
      </c>
      <c r="V314">
        <v>90000</v>
      </c>
      <c r="W314" s="3">
        <v>15625</v>
      </c>
      <c r="X314">
        <v>1</v>
      </c>
      <c r="Y314">
        <v>30000</v>
      </c>
    </row>
    <row r="315" spans="1:25" x14ac:dyDescent="0.3">
      <c r="A315" s="3">
        <v>85000</v>
      </c>
      <c r="B315">
        <v>0</v>
      </c>
      <c r="C315">
        <v>1</v>
      </c>
      <c r="D315">
        <v>5</v>
      </c>
      <c r="E315">
        <v>0</v>
      </c>
      <c r="F315">
        <v>0</v>
      </c>
      <c r="G315">
        <v>0</v>
      </c>
      <c r="H315">
        <v>0</v>
      </c>
      <c r="I315">
        <v>0</v>
      </c>
      <c r="J315">
        <v>0</v>
      </c>
      <c r="K315">
        <v>0</v>
      </c>
      <c r="L315">
        <v>1</v>
      </c>
      <c r="M315">
        <v>0</v>
      </c>
      <c r="N315">
        <v>1</v>
      </c>
      <c r="O315">
        <v>0</v>
      </c>
      <c r="P315" s="3">
        <v>30000</v>
      </c>
      <c r="Q315">
        <v>1000</v>
      </c>
      <c r="R315">
        <v>1</v>
      </c>
      <c r="S315">
        <v>1</v>
      </c>
      <c r="T315">
        <v>1</v>
      </c>
      <c r="U315">
        <v>1</v>
      </c>
      <c r="V315">
        <v>85000</v>
      </c>
      <c r="W315" s="3">
        <v>27272.727269999999</v>
      </c>
      <c r="X315">
        <v>1</v>
      </c>
      <c r="Y315">
        <v>30000</v>
      </c>
    </row>
    <row r="316" spans="1:25" x14ac:dyDescent="0.3">
      <c r="A316" s="3">
        <v>0</v>
      </c>
      <c r="B316">
        <v>1</v>
      </c>
      <c r="C316">
        <v>0</v>
      </c>
      <c r="D316">
        <v>3</v>
      </c>
      <c r="E316">
        <v>0</v>
      </c>
      <c r="F316">
        <v>0</v>
      </c>
      <c r="G316">
        <v>0</v>
      </c>
      <c r="H316">
        <v>0</v>
      </c>
      <c r="I316">
        <v>0</v>
      </c>
      <c r="J316">
        <v>0</v>
      </c>
      <c r="K316">
        <v>0</v>
      </c>
      <c r="L316">
        <v>0</v>
      </c>
      <c r="M316">
        <v>0</v>
      </c>
      <c r="N316">
        <v>1</v>
      </c>
      <c r="O316">
        <v>0</v>
      </c>
      <c r="P316">
        <v>0</v>
      </c>
      <c r="Q316">
        <v>2000</v>
      </c>
      <c r="R316">
        <v>1</v>
      </c>
      <c r="S316">
        <v>1</v>
      </c>
      <c r="T316">
        <v>1</v>
      </c>
      <c r="U316">
        <v>1</v>
      </c>
      <c r="V316">
        <v>0</v>
      </c>
      <c r="W316" s="3">
        <v>4000</v>
      </c>
      <c r="X316">
        <v>1</v>
      </c>
      <c r="Y316">
        <v>0</v>
      </c>
    </row>
    <row r="317" spans="1:25" x14ac:dyDescent="0.3">
      <c r="A317" s="3">
        <v>165000</v>
      </c>
      <c r="B317">
        <v>0</v>
      </c>
      <c r="C317">
        <v>1</v>
      </c>
      <c r="D317">
        <v>5</v>
      </c>
      <c r="E317">
        <v>0</v>
      </c>
      <c r="F317">
        <v>0</v>
      </c>
      <c r="G317">
        <v>0</v>
      </c>
      <c r="H317">
        <v>0</v>
      </c>
      <c r="I317">
        <v>1</v>
      </c>
      <c r="J317">
        <v>0</v>
      </c>
      <c r="K317">
        <v>0</v>
      </c>
      <c r="L317">
        <v>0</v>
      </c>
      <c r="M317">
        <v>0</v>
      </c>
      <c r="N317">
        <v>1</v>
      </c>
      <c r="O317">
        <v>0</v>
      </c>
      <c r="P317" s="3">
        <v>20000</v>
      </c>
      <c r="Q317">
        <v>20000</v>
      </c>
      <c r="R317">
        <v>1</v>
      </c>
      <c r="S317">
        <v>1</v>
      </c>
      <c r="T317">
        <v>1</v>
      </c>
      <c r="U317">
        <v>0</v>
      </c>
      <c r="V317">
        <v>75000</v>
      </c>
      <c r="W317" s="3">
        <v>5555.5555560000003</v>
      </c>
      <c r="X317">
        <v>1</v>
      </c>
      <c r="Y317">
        <v>20000</v>
      </c>
    </row>
    <row r="318" spans="1:25" x14ac:dyDescent="0.3">
      <c r="A318" s="3">
        <v>60000</v>
      </c>
      <c r="B318">
        <v>0</v>
      </c>
      <c r="C318">
        <v>0</v>
      </c>
      <c r="D318">
        <v>15</v>
      </c>
      <c r="E318">
        <v>1</v>
      </c>
      <c r="F318">
        <v>0</v>
      </c>
      <c r="G318">
        <v>0</v>
      </c>
      <c r="H318">
        <v>0</v>
      </c>
      <c r="I318">
        <v>0</v>
      </c>
      <c r="J318">
        <v>0</v>
      </c>
      <c r="K318">
        <v>1</v>
      </c>
      <c r="L318">
        <v>1</v>
      </c>
      <c r="M318">
        <v>0</v>
      </c>
      <c r="N318">
        <v>1</v>
      </c>
      <c r="O318">
        <v>0</v>
      </c>
      <c r="P318" s="3">
        <v>40000</v>
      </c>
      <c r="Q318">
        <v>2000</v>
      </c>
      <c r="R318">
        <v>0</v>
      </c>
      <c r="S318">
        <v>0</v>
      </c>
      <c r="T318">
        <v>1</v>
      </c>
      <c r="U318">
        <v>0</v>
      </c>
      <c r="V318">
        <v>50000</v>
      </c>
      <c r="W318" s="3">
        <v>5791.5057919999999</v>
      </c>
      <c r="X318">
        <v>1</v>
      </c>
      <c r="Y318">
        <v>40000</v>
      </c>
    </row>
    <row r="319" spans="1:25" x14ac:dyDescent="0.3">
      <c r="A319" s="3">
        <v>200000</v>
      </c>
      <c r="B319">
        <v>0</v>
      </c>
      <c r="C319">
        <v>1</v>
      </c>
      <c r="D319">
        <v>10</v>
      </c>
      <c r="E319">
        <v>0</v>
      </c>
      <c r="F319">
        <v>0</v>
      </c>
      <c r="G319">
        <v>0</v>
      </c>
      <c r="H319">
        <v>0</v>
      </c>
      <c r="I319">
        <v>0</v>
      </c>
      <c r="J319">
        <v>0</v>
      </c>
      <c r="K319">
        <v>0</v>
      </c>
      <c r="L319">
        <v>0</v>
      </c>
      <c r="M319">
        <v>0</v>
      </c>
      <c r="N319">
        <v>1</v>
      </c>
      <c r="O319">
        <v>0</v>
      </c>
      <c r="P319" s="3">
        <v>30000</v>
      </c>
      <c r="Q319">
        <v>20000</v>
      </c>
      <c r="R319">
        <v>0</v>
      </c>
      <c r="S319">
        <v>0</v>
      </c>
      <c r="T319">
        <v>1</v>
      </c>
      <c r="U319">
        <v>0</v>
      </c>
      <c r="V319">
        <v>75000</v>
      </c>
      <c r="W319" s="3">
        <v>6250</v>
      </c>
      <c r="X319">
        <v>1</v>
      </c>
      <c r="Y319">
        <v>30000</v>
      </c>
    </row>
    <row r="320" spans="1:25" x14ac:dyDescent="0.3">
      <c r="A320" s="3">
        <v>50000</v>
      </c>
      <c r="B320">
        <v>0</v>
      </c>
      <c r="C320">
        <v>0</v>
      </c>
      <c r="D320">
        <v>15</v>
      </c>
      <c r="E320">
        <v>0</v>
      </c>
      <c r="F320">
        <v>1</v>
      </c>
      <c r="G320">
        <v>1</v>
      </c>
      <c r="H320">
        <v>0</v>
      </c>
      <c r="I320">
        <v>0</v>
      </c>
      <c r="J320">
        <v>0</v>
      </c>
      <c r="K320">
        <v>1</v>
      </c>
      <c r="L320">
        <v>1</v>
      </c>
      <c r="M320">
        <v>0</v>
      </c>
      <c r="N320">
        <v>1</v>
      </c>
      <c r="O320">
        <v>0</v>
      </c>
      <c r="P320" s="3">
        <v>15000</v>
      </c>
      <c r="Q320">
        <v>10000</v>
      </c>
      <c r="R320">
        <v>1</v>
      </c>
      <c r="S320">
        <v>1</v>
      </c>
      <c r="T320">
        <v>1</v>
      </c>
      <c r="U320">
        <v>0</v>
      </c>
      <c r="V320">
        <v>0</v>
      </c>
      <c r="W320" s="3">
        <v>10000</v>
      </c>
      <c r="X320">
        <v>1</v>
      </c>
      <c r="Y320">
        <v>15000</v>
      </c>
    </row>
    <row r="321" spans="1:25" x14ac:dyDescent="0.3">
      <c r="A321" s="3">
        <v>150000</v>
      </c>
      <c r="B321">
        <v>0</v>
      </c>
      <c r="C321">
        <v>0</v>
      </c>
      <c r="D321">
        <v>10</v>
      </c>
      <c r="E321">
        <v>0</v>
      </c>
      <c r="F321">
        <v>0</v>
      </c>
      <c r="G321">
        <v>0</v>
      </c>
      <c r="H321">
        <v>0</v>
      </c>
      <c r="I321">
        <v>1</v>
      </c>
      <c r="J321">
        <v>1</v>
      </c>
      <c r="K321">
        <v>0</v>
      </c>
      <c r="L321">
        <v>1</v>
      </c>
      <c r="M321">
        <v>0</v>
      </c>
      <c r="N321">
        <v>1</v>
      </c>
      <c r="O321">
        <v>1</v>
      </c>
      <c r="P321" s="3">
        <v>30000</v>
      </c>
      <c r="Q321">
        <v>2000</v>
      </c>
      <c r="R321">
        <v>0</v>
      </c>
      <c r="S321">
        <v>0</v>
      </c>
      <c r="T321">
        <v>1</v>
      </c>
      <c r="U321">
        <v>1</v>
      </c>
      <c r="V321">
        <v>72500</v>
      </c>
      <c r="W321" s="3">
        <v>11666.666670000001</v>
      </c>
      <c r="X321">
        <v>1</v>
      </c>
      <c r="Y321">
        <v>30000</v>
      </c>
    </row>
    <row r="322" spans="1:25" x14ac:dyDescent="0.3">
      <c r="A322" s="3">
        <v>0</v>
      </c>
      <c r="B322">
        <v>1</v>
      </c>
      <c r="C322">
        <v>0</v>
      </c>
      <c r="D322">
        <v>10</v>
      </c>
      <c r="E322">
        <v>1</v>
      </c>
      <c r="F322">
        <v>0</v>
      </c>
      <c r="G322">
        <v>0</v>
      </c>
      <c r="H322">
        <v>0</v>
      </c>
      <c r="I322">
        <v>1</v>
      </c>
      <c r="J322">
        <v>1</v>
      </c>
      <c r="K322">
        <v>0</v>
      </c>
      <c r="L322">
        <v>1</v>
      </c>
      <c r="M322">
        <v>0</v>
      </c>
      <c r="N322">
        <v>1</v>
      </c>
      <c r="O322">
        <v>1</v>
      </c>
      <c r="P322">
        <v>20000</v>
      </c>
      <c r="Q322">
        <v>1000</v>
      </c>
      <c r="R322">
        <v>0</v>
      </c>
      <c r="S322">
        <v>0</v>
      </c>
      <c r="T322">
        <v>1</v>
      </c>
      <c r="U322">
        <v>0</v>
      </c>
      <c r="V322">
        <v>0</v>
      </c>
      <c r="W322" s="3">
        <v>10000</v>
      </c>
      <c r="X322">
        <v>1</v>
      </c>
      <c r="Y322">
        <v>20000</v>
      </c>
    </row>
    <row r="323" spans="1:25" x14ac:dyDescent="0.3">
      <c r="A323" s="3">
        <v>150000</v>
      </c>
      <c r="B323">
        <v>0</v>
      </c>
      <c r="C323">
        <v>0</v>
      </c>
      <c r="D323">
        <v>15</v>
      </c>
      <c r="E323">
        <v>0</v>
      </c>
      <c r="F323">
        <v>0</v>
      </c>
      <c r="G323">
        <v>0</v>
      </c>
      <c r="H323">
        <v>0</v>
      </c>
      <c r="I323">
        <v>0</v>
      </c>
      <c r="J323">
        <v>0</v>
      </c>
      <c r="K323">
        <v>0</v>
      </c>
      <c r="L323">
        <v>0</v>
      </c>
      <c r="M323">
        <v>0</v>
      </c>
      <c r="N323">
        <v>1</v>
      </c>
      <c r="O323">
        <v>1</v>
      </c>
      <c r="P323" s="3">
        <v>5000</v>
      </c>
      <c r="Q323">
        <v>2000</v>
      </c>
      <c r="R323">
        <v>0</v>
      </c>
      <c r="S323">
        <v>0</v>
      </c>
      <c r="T323">
        <v>1</v>
      </c>
      <c r="U323">
        <v>0</v>
      </c>
      <c r="V323">
        <v>0</v>
      </c>
      <c r="W323" s="3">
        <v>4545.4545449999996</v>
      </c>
      <c r="X323">
        <v>0</v>
      </c>
      <c r="Y323">
        <v>5000</v>
      </c>
    </row>
    <row r="324" spans="1:25" x14ac:dyDescent="0.3">
      <c r="A324" s="3">
        <v>100000</v>
      </c>
      <c r="B324">
        <v>0</v>
      </c>
      <c r="C324">
        <v>0</v>
      </c>
      <c r="D324">
        <v>20</v>
      </c>
      <c r="E324">
        <v>1</v>
      </c>
      <c r="F324">
        <v>0</v>
      </c>
      <c r="G324">
        <v>0</v>
      </c>
      <c r="H324">
        <v>0</v>
      </c>
      <c r="I324">
        <v>0</v>
      </c>
      <c r="J324">
        <v>0</v>
      </c>
      <c r="K324">
        <v>0</v>
      </c>
      <c r="L324">
        <v>0</v>
      </c>
      <c r="M324">
        <v>0</v>
      </c>
      <c r="N324">
        <v>1</v>
      </c>
      <c r="O324">
        <v>0</v>
      </c>
      <c r="P324" s="3">
        <v>20000</v>
      </c>
      <c r="Q324">
        <v>10000</v>
      </c>
      <c r="R324">
        <v>0</v>
      </c>
      <c r="S324">
        <v>0</v>
      </c>
      <c r="T324">
        <v>1</v>
      </c>
      <c r="U324">
        <v>0</v>
      </c>
      <c r="V324">
        <v>0</v>
      </c>
      <c r="W324" s="3">
        <v>30000</v>
      </c>
      <c r="X324">
        <v>0</v>
      </c>
      <c r="Y324">
        <v>20000</v>
      </c>
    </row>
    <row r="325" spans="1:25" x14ac:dyDescent="0.3">
      <c r="A325" s="3">
        <v>50000</v>
      </c>
      <c r="B325">
        <v>0</v>
      </c>
      <c r="C325">
        <v>0</v>
      </c>
      <c r="D325">
        <v>20</v>
      </c>
      <c r="E325">
        <v>0</v>
      </c>
      <c r="F325">
        <v>0</v>
      </c>
      <c r="G325">
        <v>0</v>
      </c>
      <c r="H325">
        <v>0</v>
      </c>
      <c r="I325">
        <v>0</v>
      </c>
      <c r="J325">
        <v>0</v>
      </c>
      <c r="K325">
        <v>0</v>
      </c>
      <c r="L325">
        <v>1</v>
      </c>
      <c r="M325">
        <v>1</v>
      </c>
      <c r="N325">
        <v>1</v>
      </c>
      <c r="O325">
        <v>1</v>
      </c>
      <c r="P325" s="3">
        <v>35000</v>
      </c>
      <c r="Q325">
        <v>1000</v>
      </c>
      <c r="R325">
        <v>0</v>
      </c>
      <c r="S325">
        <v>0</v>
      </c>
      <c r="T325">
        <v>1</v>
      </c>
      <c r="U325">
        <v>0</v>
      </c>
      <c r="V325">
        <v>0</v>
      </c>
      <c r="W325" s="3">
        <v>12500</v>
      </c>
      <c r="X325">
        <v>0</v>
      </c>
      <c r="Y325">
        <v>35000</v>
      </c>
    </row>
    <row r="326" spans="1:25" x14ac:dyDescent="0.3">
      <c r="A326" s="3">
        <v>50000</v>
      </c>
      <c r="B326">
        <v>0</v>
      </c>
      <c r="C326">
        <v>0</v>
      </c>
      <c r="D326">
        <v>5</v>
      </c>
      <c r="E326">
        <v>1</v>
      </c>
      <c r="F326">
        <v>0</v>
      </c>
      <c r="G326">
        <v>0</v>
      </c>
      <c r="H326">
        <v>0</v>
      </c>
      <c r="I326">
        <v>0</v>
      </c>
      <c r="J326">
        <v>0</v>
      </c>
      <c r="K326">
        <v>0</v>
      </c>
      <c r="L326">
        <v>0</v>
      </c>
      <c r="M326">
        <v>1</v>
      </c>
      <c r="N326">
        <v>1</v>
      </c>
      <c r="O326">
        <v>1</v>
      </c>
      <c r="P326" s="3">
        <v>35000</v>
      </c>
      <c r="Q326">
        <v>1000</v>
      </c>
      <c r="R326">
        <v>1</v>
      </c>
      <c r="S326">
        <v>1</v>
      </c>
      <c r="T326">
        <v>1</v>
      </c>
      <c r="U326">
        <v>0</v>
      </c>
      <c r="V326">
        <v>0</v>
      </c>
      <c r="W326" s="3">
        <v>12605.042020000001</v>
      </c>
      <c r="X326">
        <v>0</v>
      </c>
      <c r="Y326">
        <v>35000</v>
      </c>
    </row>
    <row r="327" spans="1:25" x14ac:dyDescent="0.3">
      <c r="A327" s="3">
        <v>100000</v>
      </c>
      <c r="B327">
        <v>0</v>
      </c>
      <c r="C327">
        <v>1</v>
      </c>
      <c r="D327">
        <v>20</v>
      </c>
      <c r="E327">
        <v>1</v>
      </c>
      <c r="F327">
        <v>0</v>
      </c>
      <c r="G327">
        <v>0</v>
      </c>
      <c r="H327">
        <v>0</v>
      </c>
      <c r="I327">
        <v>0</v>
      </c>
      <c r="J327">
        <v>0</v>
      </c>
      <c r="K327">
        <v>0</v>
      </c>
      <c r="L327">
        <v>1</v>
      </c>
      <c r="M327">
        <v>0</v>
      </c>
      <c r="N327">
        <v>1</v>
      </c>
      <c r="O327">
        <v>1</v>
      </c>
      <c r="P327" s="3">
        <v>55000</v>
      </c>
      <c r="Q327">
        <v>0</v>
      </c>
      <c r="R327">
        <v>0</v>
      </c>
      <c r="S327">
        <v>0</v>
      </c>
      <c r="T327">
        <v>0</v>
      </c>
      <c r="U327">
        <v>0</v>
      </c>
      <c r="V327">
        <v>0</v>
      </c>
      <c r="W327" s="3">
        <v>16666.666669999999</v>
      </c>
      <c r="X327">
        <v>1</v>
      </c>
      <c r="Y327">
        <v>55000</v>
      </c>
    </row>
    <row r="328" spans="1:25" x14ac:dyDescent="0.3">
      <c r="A328" s="3">
        <v>100000</v>
      </c>
      <c r="B328">
        <v>0</v>
      </c>
      <c r="C328">
        <v>0</v>
      </c>
      <c r="D328">
        <v>18</v>
      </c>
      <c r="E328">
        <v>0</v>
      </c>
      <c r="F328">
        <v>0</v>
      </c>
      <c r="G328">
        <v>0</v>
      </c>
      <c r="H328">
        <v>0</v>
      </c>
      <c r="I328">
        <v>0</v>
      </c>
      <c r="J328">
        <v>0</v>
      </c>
      <c r="K328">
        <v>0</v>
      </c>
      <c r="L328">
        <v>0</v>
      </c>
      <c r="M328">
        <v>1</v>
      </c>
      <c r="N328">
        <v>1</v>
      </c>
      <c r="O328">
        <v>1</v>
      </c>
      <c r="P328" s="3">
        <v>80000</v>
      </c>
      <c r="Q328">
        <v>10000</v>
      </c>
      <c r="R328">
        <v>0</v>
      </c>
      <c r="S328">
        <v>0</v>
      </c>
      <c r="T328">
        <v>1</v>
      </c>
      <c r="U328">
        <v>0</v>
      </c>
      <c r="V328">
        <v>0</v>
      </c>
      <c r="W328" s="3">
        <v>20454.545450000001</v>
      </c>
      <c r="X328">
        <v>0</v>
      </c>
      <c r="Y328">
        <v>80000</v>
      </c>
    </row>
    <row r="329" spans="1:25" x14ac:dyDescent="0.3">
      <c r="A329" s="3">
        <v>200000</v>
      </c>
      <c r="B329">
        <v>0</v>
      </c>
      <c r="C329">
        <v>0</v>
      </c>
      <c r="D329">
        <v>3</v>
      </c>
      <c r="E329">
        <v>0</v>
      </c>
      <c r="F329">
        <v>0</v>
      </c>
      <c r="G329">
        <v>0</v>
      </c>
      <c r="H329">
        <v>0</v>
      </c>
      <c r="I329">
        <v>0</v>
      </c>
      <c r="J329">
        <v>0</v>
      </c>
      <c r="K329">
        <v>0</v>
      </c>
      <c r="L329">
        <v>0</v>
      </c>
      <c r="M329">
        <v>0</v>
      </c>
      <c r="N329">
        <v>1</v>
      </c>
      <c r="O329">
        <v>1</v>
      </c>
      <c r="P329" s="3">
        <v>50000</v>
      </c>
      <c r="Q329">
        <v>2000</v>
      </c>
      <c r="R329">
        <v>0</v>
      </c>
      <c r="S329">
        <v>0</v>
      </c>
      <c r="T329">
        <v>1</v>
      </c>
      <c r="U329">
        <v>0</v>
      </c>
      <c r="V329">
        <v>35000</v>
      </c>
      <c r="W329" s="3">
        <v>-6349.206349</v>
      </c>
      <c r="X329">
        <v>1</v>
      </c>
      <c r="Y329">
        <v>50000</v>
      </c>
    </row>
    <row r="330" spans="1:25" x14ac:dyDescent="0.3">
      <c r="A330" s="3">
        <v>190000</v>
      </c>
      <c r="B330">
        <v>0</v>
      </c>
      <c r="C330">
        <v>0</v>
      </c>
      <c r="D330">
        <v>20</v>
      </c>
      <c r="E330">
        <v>0</v>
      </c>
      <c r="F330">
        <v>0</v>
      </c>
      <c r="G330">
        <v>0</v>
      </c>
      <c r="H330">
        <v>0</v>
      </c>
      <c r="I330">
        <v>1</v>
      </c>
      <c r="J330">
        <v>0</v>
      </c>
      <c r="K330">
        <v>0</v>
      </c>
      <c r="L330">
        <v>0</v>
      </c>
      <c r="M330">
        <v>0</v>
      </c>
      <c r="N330">
        <v>1</v>
      </c>
      <c r="O330">
        <v>1</v>
      </c>
      <c r="P330" s="3">
        <v>40000</v>
      </c>
      <c r="Q330">
        <v>5000</v>
      </c>
      <c r="R330">
        <v>0</v>
      </c>
      <c r="S330">
        <v>0</v>
      </c>
      <c r="T330">
        <v>1</v>
      </c>
      <c r="U330">
        <v>0</v>
      </c>
      <c r="V330">
        <v>0</v>
      </c>
      <c r="W330" s="3">
        <v>9302.3255809999991</v>
      </c>
      <c r="X330">
        <v>1</v>
      </c>
      <c r="Y330">
        <v>40000</v>
      </c>
    </row>
    <row r="331" spans="1:25" x14ac:dyDescent="0.3">
      <c r="A331" s="3">
        <v>50000</v>
      </c>
      <c r="B331">
        <v>1</v>
      </c>
      <c r="C331">
        <v>0</v>
      </c>
      <c r="D331">
        <v>15</v>
      </c>
      <c r="E331">
        <v>0</v>
      </c>
      <c r="F331">
        <v>0</v>
      </c>
      <c r="G331">
        <v>0</v>
      </c>
      <c r="H331">
        <v>0</v>
      </c>
      <c r="I331">
        <v>0</v>
      </c>
      <c r="J331">
        <v>0</v>
      </c>
      <c r="K331">
        <v>1</v>
      </c>
      <c r="L331">
        <v>0</v>
      </c>
      <c r="M331">
        <v>0</v>
      </c>
      <c r="N331">
        <v>1</v>
      </c>
      <c r="O331">
        <v>0</v>
      </c>
      <c r="P331">
        <v>75000</v>
      </c>
      <c r="Q331">
        <v>0</v>
      </c>
      <c r="R331">
        <v>0</v>
      </c>
      <c r="S331">
        <v>0</v>
      </c>
      <c r="T331">
        <v>1</v>
      </c>
      <c r="U331">
        <v>0</v>
      </c>
      <c r="V331">
        <v>152500</v>
      </c>
      <c r="W331" s="3">
        <v>25694.444439999999</v>
      </c>
      <c r="X331">
        <v>0</v>
      </c>
      <c r="Y331">
        <v>75000</v>
      </c>
    </row>
    <row r="332" spans="1:25" x14ac:dyDescent="0.3">
      <c r="A332" s="3">
        <v>50000</v>
      </c>
      <c r="B332">
        <v>0</v>
      </c>
      <c r="C332">
        <v>0</v>
      </c>
      <c r="D332">
        <v>25</v>
      </c>
      <c r="E332">
        <v>1</v>
      </c>
      <c r="F332">
        <v>0</v>
      </c>
      <c r="G332">
        <v>0</v>
      </c>
      <c r="H332">
        <v>0</v>
      </c>
      <c r="I332">
        <v>1</v>
      </c>
      <c r="J332">
        <v>0</v>
      </c>
      <c r="K332">
        <v>1</v>
      </c>
      <c r="L332">
        <v>0</v>
      </c>
      <c r="M332">
        <v>1</v>
      </c>
      <c r="N332">
        <v>1</v>
      </c>
      <c r="O332">
        <v>0</v>
      </c>
      <c r="P332" s="3">
        <v>50000</v>
      </c>
      <c r="Q332">
        <v>0</v>
      </c>
      <c r="R332">
        <v>1</v>
      </c>
      <c r="S332">
        <v>1</v>
      </c>
      <c r="T332">
        <v>1</v>
      </c>
      <c r="U332">
        <v>1</v>
      </c>
      <c r="V332">
        <v>165000</v>
      </c>
      <c r="W332" s="3">
        <v>6666.6666670000004</v>
      </c>
      <c r="X332">
        <v>0</v>
      </c>
      <c r="Y332">
        <v>50000</v>
      </c>
    </row>
    <row r="333" spans="1:25" x14ac:dyDescent="0.3">
      <c r="A333" s="3">
        <v>250000</v>
      </c>
      <c r="B333">
        <v>0</v>
      </c>
      <c r="C333">
        <v>0</v>
      </c>
      <c r="D333">
        <v>20</v>
      </c>
      <c r="E333">
        <v>0</v>
      </c>
      <c r="F333">
        <v>0</v>
      </c>
      <c r="G333">
        <v>0</v>
      </c>
      <c r="H333">
        <v>0</v>
      </c>
      <c r="I333">
        <v>0</v>
      </c>
      <c r="J333">
        <v>0</v>
      </c>
      <c r="K333">
        <v>0</v>
      </c>
      <c r="L333">
        <v>1</v>
      </c>
      <c r="M333">
        <v>0</v>
      </c>
      <c r="N333">
        <v>1</v>
      </c>
      <c r="O333">
        <v>0</v>
      </c>
      <c r="P333" s="3">
        <v>30000</v>
      </c>
      <c r="Q333">
        <v>2000</v>
      </c>
      <c r="R333">
        <v>0</v>
      </c>
      <c r="S333">
        <v>0</v>
      </c>
      <c r="T333">
        <v>1</v>
      </c>
      <c r="U333">
        <v>0</v>
      </c>
      <c r="V333">
        <v>0</v>
      </c>
      <c r="W333" s="3">
        <v>1666.666667</v>
      </c>
      <c r="X333">
        <v>0</v>
      </c>
      <c r="Y333">
        <v>30000</v>
      </c>
    </row>
    <row r="334" spans="1:25" x14ac:dyDescent="0.3">
      <c r="A334" s="3">
        <v>100000</v>
      </c>
      <c r="B334">
        <v>1</v>
      </c>
      <c r="C334">
        <v>0</v>
      </c>
      <c r="D334">
        <v>3</v>
      </c>
      <c r="E334">
        <v>0</v>
      </c>
      <c r="F334">
        <v>0</v>
      </c>
      <c r="G334">
        <v>0</v>
      </c>
      <c r="H334">
        <v>0</v>
      </c>
      <c r="I334">
        <v>0</v>
      </c>
      <c r="J334">
        <v>0</v>
      </c>
      <c r="K334">
        <v>0</v>
      </c>
      <c r="L334">
        <v>0</v>
      </c>
      <c r="M334">
        <v>0</v>
      </c>
      <c r="N334">
        <v>0</v>
      </c>
      <c r="O334">
        <v>0</v>
      </c>
      <c r="P334">
        <v>30000</v>
      </c>
      <c r="Q334">
        <v>0</v>
      </c>
      <c r="R334">
        <v>1</v>
      </c>
      <c r="S334">
        <v>1</v>
      </c>
      <c r="T334">
        <v>1</v>
      </c>
      <c r="U334">
        <v>0</v>
      </c>
      <c r="V334">
        <v>169680</v>
      </c>
      <c r="W334" s="3">
        <v>12500</v>
      </c>
      <c r="X334">
        <v>1</v>
      </c>
      <c r="Y334">
        <v>30000</v>
      </c>
    </row>
    <row r="335" spans="1:25" x14ac:dyDescent="0.3">
      <c r="A335" s="3">
        <v>0</v>
      </c>
      <c r="B335">
        <v>1</v>
      </c>
      <c r="C335">
        <v>0</v>
      </c>
      <c r="D335">
        <v>4</v>
      </c>
      <c r="E335">
        <v>1</v>
      </c>
      <c r="F335">
        <v>0</v>
      </c>
      <c r="G335">
        <v>0</v>
      </c>
      <c r="H335">
        <v>0</v>
      </c>
      <c r="I335">
        <v>0</v>
      </c>
      <c r="J335">
        <v>0</v>
      </c>
      <c r="K335">
        <v>0</v>
      </c>
      <c r="L335">
        <v>1</v>
      </c>
      <c r="M335">
        <v>0</v>
      </c>
      <c r="N335">
        <v>0</v>
      </c>
      <c r="O335">
        <v>0</v>
      </c>
      <c r="P335">
        <v>45000</v>
      </c>
      <c r="Q335">
        <v>1000</v>
      </c>
      <c r="R335">
        <v>0</v>
      </c>
      <c r="S335">
        <v>0</v>
      </c>
      <c r="T335">
        <v>0</v>
      </c>
      <c r="U335">
        <v>0</v>
      </c>
      <c r="V335">
        <v>165000</v>
      </c>
      <c r="W335" s="3">
        <v>18571.42857</v>
      </c>
      <c r="X335">
        <v>0</v>
      </c>
      <c r="Y335">
        <v>45000</v>
      </c>
    </row>
    <row r="336" spans="1:25" x14ac:dyDescent="0.3">
      <c r="A336" s="3">
        <v>0</v>
      </c>
      <c r="B336">
        <v>1</v>
      </c>
      <c r="C336">
        <v>0</v>
      </c>
      <c r="D336">
        <v>3</v>
      </c>
      <c r="E336">
        <v>0</v>
      </c>
      <c r="F336">
        <v>0</v>
      </c>
      <c r="G336">
        <v>0</v>
      </c>
      <c r="H336">
        <v>0</v>
      </c>
      <c r="I336">
        <v>0</v>
      </c>
      <c r="J336">
        <v>0</v>
      </c>
      <c r="K336">
        <v>1</v>
      </c>
      <c r="L336">
        <v>0</v>
      </c>
      <c r="M336">
        <v>0</v>
      </c>
      <c r="N336">
        <v>0</v>
      </c>
      <c r="O336">
        <v>0</v>
      </c>
      <c r="P336">
        <v>45000</v>
      </c>
      <c r="Q336">
        <v>0</v>
      </c>
      <c r="R336">
        <v>1</v>
      </c>
      <c r="S336">
        <v>1</v>
      </c>
      <c r="T336">
        <v>1</v>
      </c>
      <c r="U336">
        <v>0</v>
      </c>
      <c r="V336">
        <v>109000</v>
      </c>
      <c r="W336" s="3">
        <v>12500</v>
      </c>
      <c r="X336">
        <v>1</v>
      </c>
      <c r="Y336">
        <v>45000</v>
      </c>
    </row>
    <row r="337" spans="1:25" x14ac:dyDescent="0.3">
      <c r="A337" s="3">
        <v>0</v>
      </c>
      <c r="B337">
        <v>1</v>
      </c>
      <c r="C337">
        <v>0</v>
      </c>
      <c r="D337">
        <v>30</v>
      </c>
      <c r="E337">
        <v>0</v>
      </c>
      <c r="F337">
        <v>0</v>
      </c>
      <c r="G337">
        <v>0</v>
      </c>
      <c r="H337">
        <v>0</v>
      </c>
      <c r="I337">
        <v>1</v>
      </c>
      <c r="J337">
        <v>0</v>
      </c>
      <c r="K337">
        <v>0</v>
      </c>
      <c r="L337">
        <v>1</v>
      </c>
      <c r="M337">
        <v>1</v>
      </c>
      <c r="N337">
        <v>1</v>
      </c>
      <c r="O337">
        <v>0</v>
      </c>
      <c r="P337">
        <v>50000</v>
      </c>
      <c r="Q337">
        <v>1000</v>
      </c>
      <c r="R337">
        <v>1</v>
      </c>
      <c r="S337">
        <v>1</v>
      </c>
      <c r="T337">
        <v>1</v>
      </c>
      <c r="U337">
        <v>0</v>
      </c>
      <c r="V337">
        <v>12000</v>
      </c>
      <c r="W337" s="3">
        <v>90909.090909999999</v>
      </c>
      <c r="X337">
        <v>0</v>
      </c>
      <c r="Y337">
        <v>50000</v>
      </c>
    </row>
    <row r="338" spans="1:25" x14ac:dyDescent="0.3">
      <c r="A338" s="3">
        <v>0</v>
      </c>
      <c r="B338">
        <v>1</v>
      </c>
      <c r="C338">
        <v>0</v>
      </c>
      <c r="D338">
        <v>30</v>
      </c>
      <c r="E338">
        <v>0</v>
      </c>
      <c r="F338">
        <v>0</v>
      </c>
      <c r="G338">
        <v>0</v>
      </c>
      <c r="H338">
        <v>0</v>
      </c>
      <c r="I338">
        <v>0</v>
      </c>
      <c r="J338">
        <v>1</v>
      </c>
      <c r="K338">
        <v>0</v>
      </c>
      <c r="L338">
        <v>0</v>
      </c>
      <c r="M338">
        <v>1</v>
      </c>
      <c r="N338">
        <v>0</v>
      </c>
      <c r="O338">
        <v>1</v>
      </c>
      <c r="P338">
        <v>40000</v>
      </c>
      <c r="Q338">
        <v>3000</v>
      </c>
      <c r="R338">
        <v>1</v>
      </c>
      <c r="S338">
        <v>1</v>
      </c>
      <c r="T338">
        <v>1</v>
      </c>
      <c r="U338">
        <v>0</v>
      </c>
      <c r="V338">
        <v>0</v>
      </c>
      <c r="W338" s="3">
        <v>75000</v>
      </c>
      <c r="X338">
        <v>0</v>
      </c>
      <c r="Y338">
        <v>40000</v>
      </c>
    </row>
    <row r="339" spans="1:25" x14ac:dyDescent="0.3">
      <c r="A339" s="3">
        <v>0</v>
      </c>
      <c r="B339">
        <v>1</v>
      </c>
      <c r="C339">
        <v>0</v>
      </c>
      <c r="D339">
        <v>20</v>
      </c>
      <c r="E339">
        <v>0</v>
      </c>
      <c r="F339">
        <v>0</v>
      </c>
      <c r="G339">
        <v>0</v>
      </c>
      <c r="H339">
        <v>0</v>
      </c>
      <c r="I339">
        <v>0</v>
      </c>
      <c r="J339">
        <v>1</v>
      </c>
      <c r="K339">
        <v>0</v>
      </c>
      <c r="L339">
        <v>0</v>
      </c>
      <c r="M339">
        <v>1</v>
      </c>
      <c r="N339">
        <v>0</v>
      </c>
      <c r="O339">
        <v>1</v>
      </c>
      <c r="P339">
        <v>30000</v>
      </c>
      <c r="Q339">
        <v>2500</v>
      </c>
      <c r="R339">
        <v>1</v>
      </c>
      <c r="S339">
        <v>1</v>
      </c>
      <c r="T339">
        <v>1</v>
      </c>
      <c r="U339">
        <v>0</v>
      </c>
      <c r="V339">
        <v>0</v>
      </c>
      <c r="W339" s="3">
        <v>155000</v>
      </c>
      <c r="X339">
        <v>0</v>
      </c>
      <c r="Y339">
        <v>30000</v>
      </c>
    </row>
    <row r="340" spans="1:25" x14ac:dyDescent="0.3">
      <c r="A340" s="3">
        <v>0</v>
      </c>
      <c r="B340">
        <v>1</v>
      </c>
      <c r="C340">
        <v>0</v>
      </c>
      <c r="D340">
        <v>20</v>
      </c>
      <c r="E340">
        <v>0</v>
      </c>
      <c r="F340">
        <v>0</v>
      </c>
      <c r="G340">
        <v>0</v>
      </c>
      <c r="H340">
        <v>0</v>
      </c>
      <c r="I340">
        <v>0</v>
      </c>
      <c r="J340">
        <v>0</v>
      </c>
      <c r="K340">
        <v>0</v>
      </c>
      <c r="L340">
        <v>0</v>
      </c>
      <c r="M340">
        <v>1</v>
      </c>
      <c r="N340">
        <v>0</v>
      </c>
      <c r="O340">
        <v>1</v>
      </c>
      <c r="P340">
        <v>20000</v>
      </c>
      <c r="Q340">
        <v>3000</v>
      </c>
      <c r="R340">
        <v>1</v>
      </c>
      <c r="S340">
        <v>1</v>
      </c>
      <c r="T340">
        <v>1</v>
      </c>
      <c r="U340">
        <v>1</v>
      </c>
      <c r="V340">
        <v>0</v>
      </c>
      <c r="W340" s="3">
        <v>87719.298250000007</v>
      </c>
      <c r="X340">
        <v>0</v>
      </c>
      <c r="Y340">
        <v>20000</v>
      </c>
    </row>
    <row r="341" spans="1:25" x14ac:dyDescent="0.3">
      <c r="A341" s="3">
        <v>0</v>
      </c>
      <c r="B341">
        <v>1</v>
      </c>
      <c r="C341">
        <v>0</v>
      </c>
      <c r="D341">
        <v>8</v>
      </c>
      <c r="E341">
        <v>0</v>
      </c>
      <c r="F341">
        <v>0</v>
      </c>
      <c r="G341">
        <v>0</v>
      </c>
      <c r="H341">
        <v>0</v>
      </c>
      <c r="I341">
        <v>0</v>
      </c>
      <c r="J341">
        <v>1</v>
      </c>
      <c r="K341">
        <v>0</v>
      </c>
      <c r="L341">
        <v>0</v>
      </c>
      <c r="M341">
        <v>1</v>
      </c>
      <c r="N341">
        <v>1</v>
      </c>
      <c r="O341">
        <v>1</v>
      </c>
      <c r="P341">
        <v>40000</v>
      </c>
      <c r="Q341">
        <v>3000</v>
      </c>
      <c r="R341">
        <v>1</v>
      </c>
      <c r="S341">
        <v>1</v>
      </c>
      <c r="T341">
        <v>1</v>
      </c>
      <c r="U341">
        <v>0</v>
      </c>
      <c r="V341">
        <v>20000</v>
      </c>
      <c r="W341" s="3">
        <v>50000</v>
      </c>
      <c r="X341">
        <v>0</v>
      </c>
      <c r="Y341">
        <v>40000</v>
      </c>
    </row>
    <row r="342" spans="1:25" x14ac:dyDescent="0.3">
      <c r="A342" s="3">
        <v>0</v>
      </c>
      <c r="B342">
        <v>1</v>
      </c>
      <c r="C342">
        <v>0</v>
      </c>
      <c r="D342">
        <v>25</v>
      </c>
      <c r="E342">
        <v>0</v>
      </c>
      <c r="F342">
        <v>1</v>
      </c>
      <c r="G342">
        <v>0</v>
      </c>
      <c r="H342">
        <v>0</v>
      </c>
      <c r="I342">
        <v>0</v>
      </c>
      <c r="J342">
        <v>1</v>
      </c>
      <c r="K342">
        <v>0</v>
      </c>
      <c r="L342">
        <v>0</v>
      </c>
      <c r="M342">
        <v>1</v>
      </c>
      <c r="N342">
        <v>0</v>
      </c>
      <c r="O342">
        <v>1</v>
      </c>
      <c r="P342">
        <v>30000</v>
      </c>
      <c r="Q342">
        <v>2500</v>
      </c>
      <c r="R342">
        <v>1</v>
      </c>
      <c r="S342">
        <v>1</v>
      </c>
      <c r="T342">
        <v>1</v>
      </c>
      <c r="U342">
        <v>0</v>
      </c>
      <c r="V342">
        <v>30000</v>
      </c>
      <c r="W342" s="3">
        <v>118181.81819999999</v>
      </c>
      <c r="X342">
        <v>0</v>
      </c>
      <c r="Y342">
        <v>30000</v>
      </c>
    </row>
    <row r="343" spans="1:25" x14ac:dyDescent="0.3">
      <c r="A343" s="3">
        <v>100000</v>
      </c>
      <c r="B343">
        <v>0</v>
      </c>
      <c r="C343">
        <v>0</v>
      </c>
      <c r="D343">
        <v>20</v>
      </c>
      <c r="E343">
        <v>1</v>
      </c>
      <c r="F343">
        <v>0</v>
      </c>
      <c r="G343">
        <v>0</v>
      </c>
      <c r="H343">
        <v>0</v>
      </c>
      <c r="I343">
        <v>1</v>
      </c>
      <c r="J343">
        <v>0</v>
      </c>
      <c r="K343">
        <v>0</v>
      </c>
      <c r="L343">
        <v>1</v>
      </c>
      <c r="M343">
        <v>1</v>
      </c>
      <c r="N343">
        <v>1</v>
      </c>
      <c r="O343">
        <v>0</v>
      </c>
      <c r="P343" s="3">
        <v>40000</v>
      </c>
      <c r="Q343">
        <v>8000</v>
      </c>
      <c r="R343">
        <v>1</v>
      </c>
      <c r="S343">
        <v>1</v>
      </c>
      <c r="T343">
        <v>1</v>
      </c>
      <c r="U343">
        <v>0</v>
      </c>
      <c r="V343">
        <v>0</v>
      </c>
      <c r="W343" s="3">
        <v>100000</v>
      </c>
      <c r="X343">
        <v>0</v>
      </c>
      <c r="Y343">
        <v>40000</v>
      </c>
    </row>
    <row r="344" spans="1:25" x14ac:dyDescent="0.3">
      <c r="A344" s="3">
        <v>50000</v>
      </c>
      <c r="B344">
        <v>0</v>
      </c>
      <c r="C344">
        <v>0</v>
      </c>
      <c r="D344">
        <v>30</v>
      </c>
      <c r="E344">
        <v>0</v>
      </c>
      <c r="F344">
        <v>0</v>
      </c>
      <c r="G344">
        <v>0</v>
      </c>
      <c r="H344">
        <v>0</v>
      </c>
      <c r="I344">
        <v>1</v>
      </c>
      <c r="J344">
        <v>0</v>
      </c>
      <c r="K344">
        <v>0</v>
      </c>
      <c r="L344">
        <v>1</v>
      </c>
      <c r="M344">
        <v>0</v>
      </c>
      <c r="N344">
        <v>0</v>
      </c>
      <c r="O344">
        <v>0</v>
      </c>
      <c r="P344" s="3">
        <v>100000</v>
      </c>
      <c r="Q344">
        <v>20000</v>
      </c>
      <c r="R344">
        <v>1</v>
      </c>
      <c r="S344">
        <v>1</v>
      </c>
      <c r="T344">
        <v>1</v>
      </c>
      <c r="U344">
        <v>0</v>
      </c>
      <c r="V344">
        <v>0</v>
      </c>
      <c r="W344" s="3">
        <v>90909.090909999999</v>
      </c>
      <c r="X344">
        <v>0</v>
      </c>
      <c r="Y344" s="2">
        <v>100000</v>
      </c>
    </row>
    <row r="345" spans="1:25" x14ac:dyDescent="0.3">
      <c r="A345" s="3">
        <v>0</v>
      </c>
      <c r="B345">
        <v>1</v>
      </c>
      <c r="C345">
        <v>0</v>
      </c>
      <c r="D345">
        <v>0</v>
      </c>
      <c r="E345">
        <v>1</v>
      </c>
      <c r="F345">
        <v>0</v>
      </c>
      <c r="G345">
        <v>0</v>
      </c>
      <c r="H345">
        <v>0</v>
      </c>
      <c r="I345">
        <v>0</v>
      </c>
      <c r="J345">
        <v>0</v>
      </c>
      <c r="K345">
        <v>0</v>
      </c>
      <c r="L345">
        <v>0</v>
      </c>
      <c r="M345">
        <v>1</v>
      </c>
      <c r="N345">
        <v>1</v>
      </c>
      <c r="O345">
        <v>1</v>
      </c>
      <c r="P345">
        <v>25000</v>
      </c>
      <c r="Q345">
        <v>0</v>
      </c>
      <c r="R345">
        <v>1</v>
      </c>
      <c r="S345">
        <v>1</v>
      </c>
      <c r="T345">
        <v>1</v>
      </c>
      <c r="U345">
        <v>0</v>
      </c>
      <c r="V345">
        <v>0</v>
      </c>
      <c r="W345" s="3">
        <v>60000</v>
      </c>
      <c r="X345">
        <v>0</v>
      </c>
      <c r="Y345">
        <v>25000</v>
      </c>
    </row>
    <row r="346" spans="1:25" x14ac:dyDescent="0.3">
      <c r="A346" s="3">
        <v>50000</v>
      </c>
      <c r="B346">
        <v>1</v>
      </c>
      <c r="C346">
        <v>0</v>
      </c>
      <c r="D346">
        <v>24</v>
      </c>
      <c r="E346">
        <v>1</v>
      </c>
      <c r="F346">
        <v>0</v>
      </c>
      <c r="G346">
        <v>0</v>
      </c>
      <c r="H346">
        <v>0</v>
      </c>
      <c r="I346">
        <v>1</v>
      </c>
      <c r="J346">
        <v>0</v>
      </c>
      <c r="K346">
        <v>0</v>
      </c>
      <c r="L346">
        <v>1</v>
      </c>
      <c r="M346">
        <v>1</v>
      </c>
      <c r="N346">
        <v>1</v>
      </c>
      <c r="O346">
        <v>1</v>
      </c>
      <c r="P346">
        <v>20000</v>
      </c>
      <c r="Q346">
        <v>1000</v>
      </c>
      <c r="R346">
        <v>1</v>
      </c>
      <c r="S346">
        <v>1</v>
      </c>
      <c r="T346">
        <v>1</v>
      </c>
      <c r="U346">
        <v>0</v>
      </c>
      <c r="V346">
        <v>16000</v>
      </c>
      <c r="W346" s="3">
        <v>63025.210079999997</v>
      </c>
      <c r="X346">
        <v>0</v>
      </c>
    </row>
    <row r="347" spans="1:25" x14ac:dyDescent="0.3">
      <c r="A347" s="3">
        <v>100000</v>
      </c>
      <c r="B347">
        <v>1</v>
      </c>
      <c r="C347">
        <v>0</v>
      </c>
      <c r="D347">
        <v>20</v>
      </c>
      <c r="E347">
        <v>0</v>
      </c>
      <c r="F347">
        <v>0</v>
      </c>
      <c r="G347">
        <v>0</v>
      </c>
      <c r="H347">
        <v>0</v>
      </c>
      <c r="I347">
        <v>1</v>
      </c>
      <c r="J347">
        <v>0</v>
      </c>
      <c r="K347">
        <v>0</v>
      </c>
      <c r="L347">
        <v>1</v>
      </c>
      <c r="M347">
        <v>1</v>
      </c>
      <c r="N347">
        <v>1</v>
      </c>
      <c r="O347">
        <v>1</v>
      </c>
      <c r="P347">
        <v>10000</v>
      </c>
      <c r="Q347">
        <v>1000</v>
      </c>
      <c r="R347">
        <v>1</v>
      </c>
      <c r="S347">
        <v>1</v>
      </c>
      <c r="T347">
        <v>1</v>
      </c>
      <c r="U347">
        <v>0</v>
      </c>
      <c r="V347">
        <v>0</v>
      </c>
      <c r="W347" s="3">
        <v>31250</v>
      </c>
      <c r="X347">
        <v>0</v>
      </c>
      <c r="Y347">
        <v>10000</v>
      </c>
    </row>
    <row r="348" spans="1:25" x14ac:dyDescent="0.3">
      <c r="A348" s="3">
        <v>150000</v>
      </c>
      <c r="B348">
        <v>1</v>
      </c>
      <c r="C348">
        <v>1</v>
      </c>
      <c r="D348">
        <v>20</v>
      </c>
      <c r="E348">
        <v>0</v>
      </c>
      <c r="F348">
        <v>1</v>
      </c>
      <c r="G348">
        <v>0</v>
      </c>
      <c r="H348">
        <v>0</v>
      </c>
      <c r="I348">
        <v>1</v>
      </c>
      <c r="J348">
        <v>0</v>
      </c>
      <c r="K348">
        <v>0</v>
      </c>
      <c r="L348">
        <v>1</v>
      </c>
      <c r="M348">
        <v>1</v>
      </c>
      <c r="N348">
        <v>1</v>
      </c>
      <c r="O348">
        <v>0</v>
      </c>
      <c r="P348">
        <v>15000</v>
      </c>
      <c r="Q348">
        <v>6000</v>
      </c>
      <c r="R348">
        <v>1</v>
      </c>
      <c r="S348">
        <v>1</v>
      </c>
      <c r="T348">
        <v>1</v>
      </c>
      <c r="U348">
        <v>0</v>
      </c>
      <c r="V348">
        <v>13500</v>
      </c>
      <c r="W348" s="3">
        <v>22727.272730000001</v>
      </c>
      <c r="X348">
        <v>0</v>
      </c>
      <c r="Y348">
        <v>15000</v>
      </c>
    </row>
    <row r="349" spans="1:25" x14ac:dyDescent="0.3">
      <c r="A349" s="3">
        <v>0</v>
      </c>
      <c r="B349">
        <v>1</v>
      </c>
      <c r="C349">
        <v>1</v>
      </c>
      <c r="D349">
        <v>10</v>
      </c>
      <c r="E349">
        <v>0</v>
      </c>
      <c r="F349">
        <v>0</v>
      </c>
      <c r="G349">
        <v>0</v>
      </c>
      <c r="H349">
        <v>0</v>
      </c>
      <c r="I349">
        <v>1</v>
      </c>
      <c r="J349">
        <v>0</v>
      </c>
      <c r="K349">
        <v>0</v>
      </c>
      <c r="L349">
        <v>1</v>
      </c>
      <c r="M349">
        <v>1</v>
      </c>
      <c r="N349">
        <v>0</v>
      </c>
      <c r="O349">
        <v>0</v>
      </c>
      <c r="P349">
        <v>19000</v>
      </c>
      <c r="Q349">
        <v>10000</v>
      </c>
      <c r="R349">
        <v>1</v>
      </c>
      <c r="S349">
        <v>1</v>
      </c>
      <c r="T349">
        <v>1</v>
      </c>
      <c r="U349">
        <v>0</v>
      </c>
      <c r="V349">
        <v>0</v>
      </c>
      <c r="W349" s="3">
        <v>20000</v>
      </c>
      <c r="X349">
        <v>0</v>
      </c>
      <c r="Y349">
        <v>19000</v>
      </c>
    </row>
    <row r="350" spans="1:25" x14ac:dyDescent="0.3">
      <c r="A350" s="3">
        <v>0</v>
      </c>
      <c r="B350">
        <v>1</v>
      </c>
      <c r="C350">
        <v>0</v>
      </c>
      <c r="D350">
        <v>20</v>
      </c>
      <c r="E350">
        <v>0</v>
      </c>
      <c r="F350">
        <v>0</v>
      </c>
      <c r="G350">
        <v>0</v>
      </c>
      <c r="H350">
        <v>0</v>
      </c>
      <c r="I350">
        <v>1</v>
      </c>
      <c r="J350">
        <v>0</v>
      </c>
      <c r="K350">
        <v>0</v>
      </c>
      <c r="L350">
        <v>1</v>
      </c>
      <c r="M350">
        <v>1</v>
      </c>
      <c r="N350">
        <v>1</v>
      </c>
      <c r="O350">
        <v>0</v>
      </c>
      <c r="P350">
        <v>40000</v>
      </c>
      <c r="Q350">
        <v>10000</v>
      </c>
      <c r="R350">
        <v>1</v>
      </c>
      <c r="S350">
        <v>1</v>
      </c>
      <c r="T350">
        <v>1</v>
      </c>
      <c r="U350">
        <v>0</v>
      </c>
      <c r="V350">
        <v>0</v>
      </c>
      <c r="W350" s="3">
        <v>0</v>
      </c>
      <c r="X350">
        <v>0</v>
      </c>
      <c r="Y350">
        <v>40000</v>
      </c>
    </row>
    <row r="351" spans="1:25" x14ac:dyDescent="0.3">
      <c r="A351" s="3">
        <v>0</v>
      </c>
      <c r="B351">
        <v>1</v>
      </c>
      <c r="C351">
        <v>0</v>
      </c>
      <c r="D351">
        <v>7</v>
      </c>
      <c r="E351">
        <v>1</v>
      </c>
      <c r="F351">
        <v>0</v>
      </c>
      <c r="G351">
        <v>0</v>
      </c>
      <c r="H351">
        <v>0</v>
      </c>
      <c r="I351">
        <v>1</v>
      </c>
      <c r="J351">
        <v>0</v>
      </c>
      <c r="K351">
        <v>0</v>
      </c>
      <c r="L351">
        <v>1</v>
      </c>
      <c r="M351">
        <v>1</v>
      </c>
      <c r="N351">
        <v>1</v>
      </c>
      <c r="O351">
        <v>1</v>
      </c>
      <c r="P351">
        <v>35000</v>
      </c>
      <c r="Q351">
        <v>10000</v>
      </c>
      <c r="R351">
        <v>1</v>
      </c>
      <c r="S351">
        <v>1</v>
      </c>
      <c r="T351">
        <v>1</v>
      </c>
      <c r="U351">
        <v>0</v>
      </c>
      <c r="V351">
        <v>0</v>
      </c>
      <c r="W351" s="3">
        <v>0</v>
      </c>
      <c r="X351">
        <v>0</v>
      </c>
      <c r="Y351">
        <v>35000</v>
      </c>
    </row>
    <row r="352" spans="1:25" x14ac:dyDescent="0.3">
      <c r="A352" s="3">
        <v>50000</v>
      </c>
      <c r="B352">
        <v>1</v>
      </c>
      <c r="C352">
        <v>0</v>
      </c>
      <c r="D352">
        <v>20</v>
      </c>
      <c r="E352">
        <v>0</v>
      </c>
      <c r="F352">
        <v>0</v>
      </c>
      <c r="G352">
        <v>0</v>
      </c>
      <c r="H352">
        <v>0</v>
      </c>
      <c r="I352">
        <v>1</v>
      </c>
      <c r="J352">
        <v>0</v>
      </c>
      <c r="K352">
        <v>0</v>
      </c>
      <c r="L352">
        <v>1</v>
      </c>
      <c r="M352">
        <v>0</v>
      </c>
      <c r="N352">
        <v>0</v>
      </c>
      <c r="O352">
        <v>0</v>
      </c>
      <c r="P352">
        <v>25000</v>
      </c>
      <c r="Q352">
        <v>10000</v>
      </c>
      <c r="R352">
        <v>1</v>
      </c>
      <c r="S352">
        <v>1</v>
      </c>
      <c r="T352">
        <v>1</v>
      </c>
      <c r="U352">
        <v>0</v>
      </c>
      <c r="V352">
        <v>0</v>
      </c>
      <c r="W352" s="3">
        <v>41666.666669999999</v>
      </c>
      <c r="X352">
        <v>0</v>
      </c>
      <c r="Y352">
        <v>25000</v>
      </c>
    </row>
    <row r="353" spans="1:25" x14ac:dyDescent="0.3">
      <c r="A353" s="3">
        <v>95000</v>
      </c>
      <c r="B353">
        <v>1</v>
      </c>
      <c r="C353">
        <v>0</v>
      </c>
      <c r="D353">
        <v>20</v>
      </c>
      <c r="E353">
        <v>0</v>
      </c>
      <c r="F353">
        <v>0</v>
      </c>
      <c r="G353">
        <v>0</v>
      </c>
      <c r="H353">
        <v>0</v>
      </c>
      <c r="I353">
        <v>1</v>
      </c>
      <c r="J353">
        <v>0</v>
      </c>
      <c r="K353">
        <v>0</v>
      </c>
      <c r="L353">
        <v>1</v>
      </c>
      <c r="M353">
        <v>1</v>
      </c>
      <c r="N353">
        <v>1</v>
      </c>
      <c r="O353">
        <v>0</v>
      </c>
      <c r="P353">
        <v>20000</v>
      </c>
      <c r="Q353">
        <v>10000</v>
      </c>
      <c r="R353">
        <v>1</v>
      </c>
      <c r="S353">
        <v>1</v>
      </c>
      <c r="T353">
        <v>1</v>
      </c>
      <c r="U353">
        <v>0</v>
      </c>
      <c r="V353">
        <v>0</v>
      </c>
      <c r="W353" s="3">
        <v>50000</v>
      </c>
      <c r="X353">
        <v>0</v>
      </c>
      <c r="Y353">
        <v>20000</v>
      </c>
    </row>
    <row r="354" spans="1:25" x14ac:dyDescent="0.3">
      <c r="A354" s="3">
        <v>50000</v>
      </c>
      <c r="B354">
        <v>1</v>
      </c>
      <c r="C354">
        <v>1</v>
      </c>
      <c r="D354">
        <v>15</v>
      </c>
      <c r="E354">
        <v>1</v>
      </c>
      <c r="F354">
        <v>0</v>
      </c>
      <c r="G354">
        <v>0</v>
      </c>
      <c r="H354">
        <v>0</v>
      </c>
      <c r="I354">
        <v>1</v>
      </c>
      <c r="J354">
        <v>0</v>
      </c>
      <c r="K354">
        <v>0</v>
      </c>
      <c r="L354">
        <v>1</v>
      </c>
      <c r="M354">
        <v>1</v>
      </c>
      <c r="N354">
        <v>1</v>
      </c>
      <c r="O354">
        <v>0</v>
      </c>
      <c r="P354">
        <v>8000</v>
      </c>
      <c r="Q354">
        <v>5000</v>
      </c>
      <c r="R354">
        <v>1</v>
      </c>
      <c r="S354">
        <v>1</v>
      </c>
      <c r="T354">
        <v>1</v>
      </c>
      <c r="U354">
        <v>0</v>
      </c>
      <c r="V354">
        <v>15000</v>
      </c>
      <c r="W354" s="3">
        <v>11904.7619</v>
      </c>
      <c r="X354">
        <v>0</v>
      </c>
      <c r="Y354">
        <v>8000</v>
      </c>
    </row>
    <row r="355" spans="1:25" x14ac:dyDescent="0.3">
      <c r="A355" s="3">
        <v>175000</v>
      </c>
      <c r="B355">
        <v>1</v>
      </c>
      <c r="C355">
        <v>0</v>
      </c>
      <c r="D355">
        <v>20</v>
      </c>
      <c r="E355">
        <v>0</v>
      </c>
      <c r="F355">
        <v>0</v>
      </c>
      <c r="G355">
        <v>0</v>
      </c>
      <c r="H355">
        <v>0</v>
      </c>
      <c r="I355">
        <v>1</v>
      </c>
      <c r="J355">
        <v>0</v>
      </c>
      <c r="K355">
        <v>0</v>
      </c>
      <c r="L355">
        <v>1</v>
      </c>
      <c r="M355">
        <v>1</v>
      </c>
      <c r="N355">
        <v>1</v>
      </c>
      <c r="O355">
        <v>0</v>
      </c>
      <c r="P355">
        <v>60000</v>
      </c>
      <c r="Q355">
        <v>5000</v>
      </c>
      <c r="R355">
        <v>1</v>
      </c>
      <c r="S355">
        <v>1</v>
      </c>
      <c r="T355">
        <v>1</v>
      </c>
      <c r="U355">
        <v>0</v>
      </c>
      <c r="V355">
        <v>150000</v>
      </c>
      <c r="W355" s="3">
        <v>100000</v>
      </c>
      <c r="X355">
        <v>0</v>
      </c>
      <c r="Y355">
        <v>60000</v>
      </c>
    </row>
    <row r="356" spans="1:25" x14ac:dyDescent="0.3">
      <c r="A356" s="3">
        <v>0</v>
      </c>
      <c r="B356">
        <v>1</v>
      </c>
      <c r="C356">
        <v>0</v>
      </c>
      <c r="D356">
        <v>15</v>
      </c>
      <c r="E356">
        <v>0</v>
      </c>
      <c r="F356">
        <v>0</v>
      </c>
      <c r="G356">
        <v>0</v>
      </c>
      <c r="H356">
        <v>0</v>
      </c>
      <c r="I356">
        <v>0</v>
      </c>
      <c r="J356">
        <v>0</v>
      </c>
      <c r="K356">
        <v>0</v>
      </c>
      <c r="L356">
        <v>1</v>
      </c>
      <c r="M356">
        <v>1</v>
      </c>
      <c r="N356">
        <v>0</v>
      </c>
      <c r="O356">
        <v>0</v>
      </c>
      <c r="P356">
        <v>40000</v>
      </c>
      <c r="Q356">
        <v>1000</v>
      </c>
      <c r="R356">
        <v>1</v>
      </c>
      <c r="S356">
        <v>1</v>
      </c>
      <c r="T356">
        <v>1</v>
      </c>
      <c r="U356">
        <v>0</v>
      </c>
      <c r="V356">
        <v>0</v>
      </c>
      <c r="W356" s="3">
        <v>83333.333329999994</v>
      </c>
      <c r="X356">
        <v>0</v>
      </c>
      <c r="Y356">
        <v>40000</v>
      </c>
    </row>
    <row r="357" spans="1:25" x14ac:dyDescent="0.3">
      <c r="A357" s="3">
        <v>0</v>
      </c>
      <c r="B357">
        <v>1</v>
      </c>
      <c r="C357">
        <v>0</v>
      </c>
      <c r="D357">
        <v>30</v>
      </c>
      <c r="E357">
        <v>0</v>
      </c>
      <c r="F357">
        <v>0</v>
      </c>
      <c r="G357">
        <v>0</v>
      </c>
      <c r="H357">
        <v>0</v>
      </c>
      <c r="I357">
        <v>1</v>
      </c>
      <c r="J357">
        <v>0</v>
      </c>
      <c r="K357">
        <v>0</v>
      </c>
      <c r="L357">
        <v>1</v>
      </c>
      <c r="M357">
        <v>1</v>
      </c>
      <c r="N357">
        <v>1</v>
      </c>
      <c r="O357">
        <v>0</v>
      </c>
      <c r="P357">
        <v>60000</v>
      </c>
      <c r="Q357">
        <v>10000</v>
      </c>
      <c r="R357">
        <v>1</v>
      </c>
      <c r="S357">
        <v>1</v>
      </c>
      <c r="T357">
        <v>1</v>
      </c>
      <c r="U357">
        <v>0</v>
      </c>
      <c r="V357">
        <v>0</v>
      </c>
      <c r="W357" s="3">
        <v>66666.666670000006</v>
      </c>
      <c r="X357">
        <v>0</v>
      </c>
      <c r="Y357">
        <v>60000</v>
      </c>
    </row>
    <row r="358" spans="1:25" x14ac:dyDescent="0.3">
      <c r="A358" s="3">
        <v>0</v>
      </c>
      <c r="B358">
        <v>1</v>
      </c>
      <c r="C358">
        <v>0</v>
      </c>
      <c r="D358">
        <v>25</v>
      </c>
      <c r="E358">
        <v>0</v>
      </c>
      <c r="F358">
        <v>0</v>
      </c>
      <c r="G358">
        <v>0</v>
      </c>
      <c r="H358">
        <v>0</v>
      </c>
      <c r="I358">
        <v>0</v>
      </c>
      <c r="J358">
        <v>0</v>
      </c>
      <c r="K358">
        <v>1</v>
      </c>
      <c r="L358">
        <v>1</v>
      </c>
      <c r="M358">
        <v>1</v>
      </c>
      <c r="N358">
        <v>0</v>
      </c>
      <c r="O358">
        <v>0</v>
      </c>
      <c r="P358">
        <v>30000</v>
      </c>
      <c r="Q358">
        <v>3000</v>
      </c>
      <c r="R358">
        <v>1</v>
      </c>
      <c r="S358">
        <v>1</v>
      </c>
      <c r="T358">
        <v>1</v>
      </c>
      <c r="U358">
        <v>0</v>
      </c>
      <c r="V358">
        <v>35000</v>
      </c>
      <c r="W358" s="3">
        <v>20000</v>
      </c>
      <c r="X358">
        <v>0</v>
      </c>
      <c r="Y358">
        <v>30000</v>
      </c>
    </row>
    <row r="359" spans="1:25" x14ac:dyDescent="0.3">
      <c r="A359" s="3">
        <v>0</v>
      </c>
      <c r="B359">
        <v>1</v>
      </c>
      <c r="C359">
        <v>0</v>
      </c>
      <c r="D359">
        <v>0</v>
      </c>
      <c r="E359">
        <v>1</v>
      </c>
      <c r="F359">
        <v>1</v>
      </c>
      <c r="G359">
        <v>0</v>
      </c>
      <c r="H359">
        <v>0</v>
      </c>
      <c r="I359">
        <v>0</v>
      </c>
      <c r="J359">
        <v>1</v>
      </c>
      <c r="K359">
        <v>0</v>
      </c>
      <c r="L359">
        <v>0</v>
      </c>
      <c r="M359">
        <v>1</v>
      </c>
      <c r="N359">
        <v>0</v>
      </c>
      <c r="O359">
        <v>1</v>
      </c>
      <c r="P359">
        <v>40000</v>
      </c>
      <c r="Q359">
        <v>3000</v>
      </c>
      <c r="R359">
        <v>1</v>
      </c>
      <c r="S359">
        <v>1</v>
      </c>
      <c r="T359">
        <v>1</v>
      </c>
      <c r="U359">
        <v>0</v>
      </c>
      <c r="V359">
        <v>0</v>
      </c>
      <c r="W359" s="3">
        <v>37590.909090000001</v>
      </c>
      <c r="X359">
        <v>0</v>
      </c>
      <c r="Y359">
        <v>40000</v>
      </c>
    </row>
    <row r="360" spans="1:25" x14ac:dyDescent="0.3">
      <c r="A360" s="3">
        <v>0</v>
      </c>
      <c r="B360">
        <v>1</v>
      </c>
      <c r="C360">
        <v>0</v>
      </c>
      <c r="D360">
        <v>20</v>
      </c>
      <c r="E360">
        <v>0</v>
      </c>
      <c r="F360">
        <v>0</v>
      </c>
      <c r="G360">
        <v>0</v>
      </c>
      <c r="H360">
        <v>0</v>
      </c>
      <c r="I360">
        <v>1</v>
      </c>
      <c r="J360">
        <v>0</v>
      </c>
      <c r="K360">
        <v>1</v>
      </c>
      <c r="L360">
        <v>1</v>
      </c>
      <c r="M360">
        <v>1</v>
      </c>
      <c r="N360">
        <v>1</v>
      </c>
      <c r="O360">
        <v>1</v>
      </c>
      <c r="P360">
        <v>40000</v>
      </c>
      <c r="Q360">
        <v>1000</v>
      </c>
      <c r="R360">
        <v>1</v>
      </c>
      <c r="S360">
        <v>1</v>
      </c>
      <c r="T360">
        <v>1</v>
      </c>
      <c r="U360">
        <v>0</v>
      </c>
      <c r="V360" s="2">
        <v>100000</v>
      </c>
      <c r="W360" s="3">
        <v>100000</v>
      </c>
      <c r="X360">
        <v>0</v>
      </c>
      <c r="Y360">
        <v>40000</v>
      </c>
    </row>
    <row r="361" spans="1:25" x14ac:dyDescent="0.3">
      <c r="A361" s="3">
        <v>0</v>
      </c>
      <c r="B361">
        <v>1</v>
      </c>
      <c r="C361">
        <v>0</v>
      </c>
      <c r="D361">
        <v>0</v>
      </c>
      <c r="E361">
        <v>0</v>
      </c>
      <c r="F361">
        <v>0</v>
      </c>
      <c r="G361">
        <v>0</v>
      </c>
      <c r="H361">
        <v>0</v>
      </c>
      <c r="I361">
        <v>0</v>
      </c>
      <c r="J361">
        <v>0</v>
      </c>
      <c r="K361">
        <v>1</v>
      </c>
      <c r="L361">
        <v>1</v>
      </c>
      <c r="M361">
        <v>1</v>
      </c>
      <c r="N361">
        <v>0</v>
      </c>
      <c r="O361">
        <v>0</v>
      </c>
      <c r="P361">
        <v>35000</v>
      </c>
      <c r="Q361">
        <v>2000</v>
      </c>
      <c r="R361">
        <v>1</v>
      </c>
      <c r="S361">
        <v>1</v>
      </c>
      <c r="T361">
        <v>1</v>
      </c>
      <c r="U361">
        <v>0</v>
      </c>
      <c r="V361">
        <v>0</v>
      </c>
      <c r="W361" s="3">
        <v>63636.363640000003</v>
      </c>
      <c r="X361">
        <v>0</v>
      </c>
      <c r="Y361">
        <v>35000</v>
      </c>
    </row>
    <row r="362" spans="1:25" x14ac:dyDescent="0.3">
      <c r="A362" s="3">
        <v>0</v>
      </c>
      <c r="B362">
        <v>1</v>
      </c>
      <c r="C362">
        <v>0</v>
      </c>
      <c r="D362">
        <v>25</v>
      </c>
      <c r="E362">
        <v>0</v>
      </c>
      <c r="F362">
        <v>0</v>
      </c>
      <c r="G362">
        <v>0</v>
      </c>
      <c r="H362">
        <v>0</v>
      </c>
      <c r="I362">
        <v>0</v>
      </c>
      <c r="J362">
        <v>0</v>
      </c>
      <c r="K362">
        <v>1</v>
      </c>
      <c r="L362">
        <v>1</v>
      </c>
      <c r="M362">
        <v>1</v>
      </c>
      <c r="N362">
        <v>0</v>
      </c>
      <c r="O362">
        <v>0</v>
      </c>
      <c r="P362">
        <v>45000</v>
      </c>
      <c r="Q362">
        <v>3000</v>
      </c>
      <c r="R362">
        <v>1</v>
      </c>
      <c r="S362">
        <v>1</v>
      </c>
      <c r="T362">
        <v>1</v>
      </c>
      <c r="U362">
        <v>0</v>
      </c>
      <c r="V362">
        <v>15000</v>
      </c>
      <c r="W362" s="3">
        <v>125000</v>
      </c>
      <c r="X362">
        <v>0</v>
      </c>
      <c r="Y362">
        <v>45000</v>
      </c>
    </row>
    <row r="363" spans="1:25" x14ac:dyDescent="0.3">
      <c r="A363" s="3">
        <v>0</v>
      </c>
      <c r="B363">
        <v>1</v>
      </c>
      <c r="C363">
        <v>0</v>
      </c>
      <c r="D363">
        <v>40</v>
      </c>
      <c r="E363">
        <v>0</v>
      </c>
      <c r="F363">
        <v>0</v>
      </c>
      <c r="G363">
        <v>0</v>
      </c>
      <c r="H363">
        <v>0</v>
      </c>
      <c r="I363">
        <v>1</v>
      </c>
      <c r="J363">
        <v>0</v>
      </c>
      <c r="K363">
        <v>0</v>
      </c>
      <c r="L363">
        <v>0</v>
      </c>
      <c r="M363">
        <v>1</v>
      </c>
      <c r="N363">
        <v>0</v>
      </c>
      <c r="O363">
        <v>0</v>
      </c>
      <c r="P363">
        <v>30000</v>
      </c>
      <c r="Q363">
        <v>3500</v>
      </c>
      <c r="R363">
        <v>1</v>
      </c>
      <c r="S363">
        <v>1</v>
      </c>
      <c r="T363">
        <v>1</v>
      </c>
      <c r="U363">
        <v>0</v>
      </c>
      <c r="V363">
        <v>0</v>
      </c>
      <c r="W363" s="3">
        <v>45365.853660000001</v>
      </c>
      <c r="X363">
        <v>0</v>
      </c>
      <c r="Y363">
        <v>30000</v>
      </c>
    </row>
    <row r="364" spans="1:25" x14ac:dyDescent="0.3">
      <c r="A364" s="3">
        <v>0</v>
      </c>
      <c r="B364">
        <v>1</v>
      </c>
      <c r="C364">
        <v>0</v>
      </c>
      <c r="D364">
        <v>20</v>
      </c>
      <c r="E364">
        <v>0</v>
      </c>
      <c r="F364">
        <v>0</v>
      </c>
      <c r="G364">
        <v>0</v>
      </c>
      <c r="H364">
        <v>0</v>
      </c>
      <c r="I364">
        <v>0</v>
      </c>
      <c r="J364">
        <v>0</v>
      </c>
      <c r="K364">
        <v>1</v>
      </c>
      <c r="L364">
        <v>1</v>
      </c>
      <c r="M364">
        <v>1</v>
      </c>
      <c r="N364">
        <v>0</v>
      </c>
      <c r="O364">
        <v>0</v>
      </c>
      <c r="P364">
        <v>65000</v>
      </c>
      <c r="Q364">
        <v>6000</v>
      </c>
      <c r="R364">
        <v>1</v>
      </c>
      <c r="S364">
        <v>1</v>
      </c>
      <c r="T364">
        <v>1</v>
      </c>
      <c r="U364">
        <v>0</v>
      </c>
      <c r="V364">
        <v>0</v>
      </c>
      <c r="W364" s="3">
        <v>73333.333329999994</v>
      </c>
      <c r="X364">
        <v>0</v>
      </c>
      <c r="Y364">
        <v>65000</v>
      </c>
    </row>
    <row r="365" spans="1:25" x14ac:dyDescent="0.3">
      <c r="A365" s="3">
        <v>0</v>
      </c>
      <c r="B365">
        <v>1</v>
      </c>
      <c r="C365">
        <v>0</v>
      </c>
      <c r="D365">
        <v>15</v>
      </c>
      <c r="E365">
        <v>0</v>
      </c>
      <c r="F365">
        <v>0</v>
      </c>
      <c r="G365">
        <v>0</v>
      </c>
      <c r="H365">
        <v>0</v>
      </c>
      <c r="I365">
        <v>1</v>
      </c>
      <c r="J365">
        <v>1</v>
      </c>
      <c r="K365">
        <v>1</v>
      </c>
      <c r="L365">
        <v>1</v>
      </c>
      <c r="M365">
        <v>1</v>
      </c>
      <c r="N365">
        <v>0</v>
      </c>
      <c r="O365">
        <v>1</v>
      </c>
      <c r="P365">
        <v>60000</v>
      </c>
      <c r="Q365">
        <v>10000</v>
      </c>
      <c r="R365">
        <v>1</v>
      </c>
      <c r="S365">
        <v>1</v>
      </c>
      <c r="T365">
        <v>1</v>
      </c>
      <c r="U365">
        <v>0</v>
      </c>
      <c r="V365">
        <v>0</v>
      </c>
      <c r="W365" s="3">
        <v>114000</v>
      </c>
      <c r="X365">
        <v>0</v>
      </c>
      <c r="Y365">
        <v>60000</v>
      </c>
    </row>
    <row r="366" spans="1:25" x14ac:dyDescent="0.3">
      <c r="A366" s="3">
        <v>200000</v>
      </c>
      <c r="B366">
        <v>1</v>
      </c>
      <c r="C366">
        <v>0</v>
      </c>
      <c r="D366">
        <v>20</v>
      </c>
      <c r="E366">
        <v>1</v>
      </c>
      <c r="F366">
        <v>1</v>
      </c>
      <c r="G366">
        <v>0</v>
      </c>
      <c r="H366">
        <v>0</v>
      </c>
      <c r="I366">
        <v>0</v>
      </c>
      <c r="J366">
        <v>0</v>
      </c>
      <c r="K366">
        <v>0</v>
      </c>
      <c r="L366">
        <v>1</v>
      </c>
      <c r="M366">
        <v>1</v>
      </c>
      <c r="N366">
        <v>0</v>
      </c>
      <c r="O366">
        <v>0</v>
      </c>
      <c r="P366">
        <v>50000</v>
      </c>
      <c r="Q366">
        <v>5000</v>
      </c>
      <c r="R366">
        <v>1</v>
      </c>
      <c r="S366">
        <v>1</v>
      </c>
      <c r="T366">
        <v>1</v>
      </c>
      <c r="U366">
        <v>0</v>
      </c>
      <c r="V366">
        <v>0</v>
      </c>
      <c r="W366" s="3">
        <v>29585.79882</v>
      </c>
      <c r="X366">
        <v>0</v>
      </c>
      <c r="Y366">
        <v>50000</v>
      </c>
    </row>
    <row r="367" spans="1:25" x14ac:dyDescent="0.3">
      <c r="A367" s="3">
        <v>50000</v>
      </c>
      <c r="B367">
        <v>1</v>
      </c>
      <c r="C367">
        <v>0</v>
      </c>
      <c r="D367">
        <v>15</v>
      </c>
      <c r="E367">
        <v>1</v>
      </c>
      <c r="F367">
        <v>0</v>
      </c>
      <c r="G367">
        <v>0</v>
      </c>
      <c r="H367">
        <v>0</v>
      </c>
      <c r="I367">
        <v>1</v>
      </c>
      <c r="J367">
        <v>0</v>
      </c>
      <c r="K367">
        <v>0</v>
      </c>
      <c r="L367">
        <v>1</v>
      </c>
      <c r="M367">
        <v>1</v>
      </c>
      <c r="N367">
        <v>1</v>
      </c>
      <c r="O367">
        <v>0</v>
      </c>
      <c r="P367">
        <v>60000</v>
      </c>
      <c r="Q367">
        <v>4000</v>
      </c>
      <c r="R367">
        <v>1</v>
      </c>
      <c r="S367">
        <v>1</v>
      </c>
      <c r="T367">
        <v>1</v>
      </c>
      <c r="U367">
        <v>0</v>
      </c>
      <c r="V367">
        <v>0</v>
      </c>
      <c r="W367" s="3">
        <v>45454.545449999998</v>
      </c>
      <c r="X367">
        <v>0</v>
      </c>
      <c r="Y367">
        <v>60000</v>
      </c>
    </row>
    <row r="368" spans="1:25" x14ac:dyDescent="0.3">
      <c r="A368" s="3">
        <v>0</v>
      </c>
      <c r="B368">
        <v>1</v>
      </c>
      <c r="C368">
        <v>0</v>
      </c>
      <c r="D368">
        <v>30</v>
      </c>
      <c r="E368">
        <v>0</v>
      </c>
      <c r="F368">
        <v>0</v>
      </c>
      <c r="G368">
        <v>0</v>
      </c>
      <c r="H368">
        <v>0</v>
      </c>
      <c r="I368">
        <v>0</v>
      </c>
      <c r="J368">
        <v>0</v>
      </c>
      <c r="K368">
        <v>1</v>
      </c>
      <c r="L368">
        <v>1</v>
      </c>
      <c r="M368">
        <v>1</v>
      </c>
      <c r="N368">
        <v>0</v>
      </c>
      <c r="O368">
        <v>0</v>
      </c>
      <c r="P368">
        <v>60000</v>
      </c>
      <c r="Q368">
        <v>10000</v>
      </c>
      <c r="R368">
        <v>1</v>
      </c>
      <c r="S368">
        <v>1</v>
      </c>
      <c r="T368">
        <v>1</v>
      </c>
      <c r="U368">
        <v>0</v>
      </c>
      <c r="V368">
        <v>0</v>
      </c>
      <c r="W368" s="3">
        <v>100000</v>
      </c>
      <c r="X368">
        <v>0</v>
      </c>
      <c r="Y368">
        <v>60000</v>
      </c>
    </row>
    <row r="369" spans="1:25" x14ac:dyDescent="0.3">
      <c r="A369" s="3">
        <v>0</v>
      </c>
      <c r="B369">
        <v>1</v>
      </c>
      <c r="C369">
        <v>0</v>
      </c>
      <c r="D369">
        <v>25</v>
      </c>
      <c r="E369">
        <v>0</v>
      </c>
      <c r="F369">
        <v>1</v>
      </c>
      <c r="G369">
        <v>0</v>
      </c>
      <c r="H369">
        <v>0</v>
      </c>
      <c r="I369">
        <v>1</v>
      </c>
      <c r="J369">
        <v>0</v>
      </c>
      <c r="K369">
        <v>1</v>
      </c>
      <c r="L369">
        <v>1</v>
      </c>
      <c r="M369">
        <v>1</v>
      </c>
      <c r="N369">
        <v>0</v>
      </c>
      <c r="O369">
        <v>0</v>
      </c>
      <c r="P369">
        <v>35000</v>
      </c>
      <c r="Q369">
        <v>2000</v>
      </c>
      <c r="R369">
        <v>1</v>
      </c>
      <c r="S369">
        <v>1</v>
      </c>
      <c r="T369">
        <v>1</v>
      </c>
      <c r="U369">
        <v>0</v>
      </c>
      <c r="V369">
        <v>0</v>
      </c>
      <c r="W369" s="3">
        <v>75000</v>
      </c>
      <c r="X369">
        <v>0</v>
      </c>
      <c r="Y369">
        <v>35000</v>
      </c>
    </row>
    <row r="370" spans="1:25" x14ac:dyDescent="0.3">
      <c r="A370" s="3">
        <v>140000</v>
      </c>
      <c r="B370">
        <v>0</v>
      </c>
      <c r="C370">
        <v>0</v>
      </c>
      <c r="D370">
        <v>20</v>
      </c>
      <c r="E370">
        <v>0</v>
      </c>
      <c r="F370">
        <v>1</v>
      </c>
      <c r="G370">
        <v>0</v>
      </c>
      <c r="H370">
        <v>0</v>
      </c>
      <c r="I370">
        <v>0</v>
      </c>
      <c r="J370">
        <v>0</v>
      </c>
      <c r="K370">
        <v>1</v>
      </c>
      <c r="L370">
        <v>1</v>
      </c>
      <c r="M370">
        <v>1</v>
      </c>
      <c r="N370">
        <v>1</v>
      </c>
      <c r="O370">
        <v>0</v>
      </c>
      <c r="P370" s="3">
        <v>75000</v>
      </c>
      <c r="Q370">
        <v>5000</v>
      </c>
      <c r="R370">
        <v>1</v>
      </c>
      <c r="S370">
        <v>1</v>
      </c>
      <c r="T370">
        <v>1</v>
      </c>
      <c r="U370">
        <v>0</v>
      </c>
      <c r="V370">
        <v>83000</v>
      </c>
      <c r="W370" s="3">
        <v>45454.545449999998</v>
      </c>
      <c r="X370">
        <v>0</v>
      </c>
      <c r="Y370">
        <v>75000</v>
      </c>
    </row>
    <row r="371" spans="1:25" x14ac:dyDescent="0.3">
      <c r="A371" s="3">
        <v>0</v>
      </c>
      <c r="B371">
        <v>1</v>
      </c>
      <c r="C371">
        <v>0</v>
      </c>
      <c r="D371">
        <v>10</v>
      </c>
      <c r="E371">
        <v>0</v>
      </c>
      <c r="F371">
        <v>0</v>
      </c>
      <c r="G371">
        <v>1</v>
      </c>
      <c r="H371">
        <v>0</v>
      </c>
      <c r="I371">
        <v>0</v>
      </c>
      <c r="J371">
        <v>0</v>
      </c>
      <c r="K371">
        <v>1</v>
      </c>
      <c r="L371">
        <v>1</v>
      </c>
      <c r="M371">
        <v>0</v>
      </c>
      <c r="N371">
        <v>0</v>
      </c>
      <c r="O371">
        <v>0</v>
      </c>
      <c r="P371">
        <v>60000</v>
      </c>
      <c r="Q371">
        <v>4000</v>
      </c>
      <c r="R371">
        <v>1</v>
      </c>
      <c r="S371">
        <v>1</v>
      </c>
      <c r="T371">
        <v>1</v>
      </c>
      <c r="U371">
        <v>0</v>
      </c>
      <c r="V371">
        <v>0</v>
      </c>
      <c r="W371" s="3">
        <v>64516.129029999996</v>
      </c>
      <c r="X371">
        <v>0</v>
      </c>
      <c r="Y371">
        <v>60000</v>
      </c>
    </row>
    <row r="372" spans="1:25" x14ac:dyDescent="0.3">
      <c r="A372" s="3">
        <v>0</v>
      </c>
      <c r="B372">
        <v>1</v>
      </c>
      <c r="C372">
        <v>0</v>
      </c>
      <c r="D372">
        <v>25</v>
      </c>
      <c r="E372">
        <v>0</v>
      </c>
      <c r="F372">
        <v>0</v>
      </c>
      <c r="G372">
        <v>0</v>
      </c>
      <c r="H372">
        <v>0</v>
      </c>
      <c r="I372">
        <v>0</v>
      </c>
      <c r="J372">
        <v>0</v>
      </c>
      <c r="K372">
        <v>1</v>
      </c>
      <c r="L372">
        <v>1</v>
      </c>
      <c r="M372">
        <v>1</v>
      </c>
      <c r="N372">
        <v>1</v>
      </c>
      <c r="O372">
        <v>0</v>
      </c>
      <c r="P372">
        <v>60000</v>
      </c>
      <c r="Q372">
        <v>2000</v>
      </c>
      <c r="R372">
        <v>1</v>
      </c>
      <c r="S372">
        <v>1</v>
      </c>
      <c r="T372">
        <v>1</v>
      </c>
      <c r="U372">
        <v>0</v>
      </c>
      <c r="V372">
        <v>0</v>
      </c>
      <c r="W372" s="3">
        <v>90909.090909999999</v>
      </c>
      <c r="X372">
        <v>0</v>
      </c>
      <c r="Y372">
        <v>60000</v>
      </c>
    </row>
    <row r="373" spans="1:25" x14ac:dyDescent="0.3">
      <c r="A373" s="3">
        <v>0</v>
      </c>
      <c r="B373">
        <v>1</v>
      </c>
      <c r="C373">
        <v>0</v>
      </c>
      <c r="D373">
        <v>20</v>
      </c>
      <c r="E373">
        <v>0</v>
      </c>
      <c r="F373">
        <v>0</v>
      </c>
      <c r="G373">
        <v>0</v>
      </c>
      <c r="H373">
        <v>0</v>
      </c>
      <c r="I373">
        <v>1</v>
      </c>
      <c r="J373">
        <v>0</v>
      </c>
      <c r="K373">
        <v>0</v>
      </c>
      <c r="L373">
        <v>1</v>
      </c>
      <c r="M373">
        <v>1</v>
      </c>
      <c r="N373">
        <v>1</v>
      </c>
      <c r="O373">
        <v>1</v>
      </c>
      <c r="P373">
        <v>30000</v>
      </c>
      <c r="Q373">
        <v>10000</v>
      </c>
      <c r="R373">
        <v>1</v>
      </c>
      <c r="S373">
        <v>1</v>
      </c>
      <c r="T373">
        <v>1</v>
      </c>
      <c r="U373">
        <v>0</v>
      </c>
      <c r="V373">
        <v>150000</v>
      </c>
      <c r="W373" s="3">
        <v>83333.333329999994</v>
      </c>
      <c r="X373">
        <v>0</v>
      </c>
      <c r="Y373">
        <v>30000</v>
      </c>
    </row>
    <row r="374" spans="1:25" x14ac:dyDescent="0.3">
      <c r="A374" s="3">
        <v>100000</v>
      </c>
      <c r="B374">
        <v>1</v>
      </c>
      <c r="C374">
        <v>0</v>
      </c>
      <c r="D374">
        <v>20</v>
      </c>
      <c r="E374">
        <v>0</v>
      </c>
      <c r="F374">
        <v>0</v>
      </c>
      <c r="G374">
        <v>0</v>
      </c>
      <c r="H374">
        <v>0</v>
      </c>
      <c r="I374">
        <v>1</v>
      </c>
      <c r="J374">
        <v>0</v>
      </c>
      <c r="K374">
        <v>0</v>
      </c>
      <c r="L374">
        <v>1</v>
      </c>
      <c r="M374">
        <v>1</v>
      </c>
      <c r="N374">
        <v>1</v>
      </c>
      <c r="O374">
        <v>1</v>
      </c>
      <c r="P374">
        <v>40000</v>
      </c>
      <c r="Q374">
        <v>10000</v>
      </c>
      <c r="R374">
        <v>1</v>
      </c>
      <c r="S374">
        <v>1</v>
      </c>
      <c r="T374">
        <v>1</v>
      </c>
      <c r="U374">
        <v>0</v>
      </c>
      <c r="V374">
        <v>80000</v>
      </c>
      <c r="W374" s="3">
        <v>46875</v>
      </c>
      <c r="X374">
        <v>0</v>
      </c>
      <c r="Y374">
        <v>40000</v>
      </c>
    </row>
    <row r="375" spans="1:25" x14ac:dyDescent="0.3">
      <c r="A375" s="3">
        <v>145000</v>
      </c>
      <c r="B375">
        <v>1</v>
      </c>
      <c r="C375">
        <v>0</v>
      </c>
      <c r="D375">
        <v>10</v>
      </c>
      <c r="E375">
        <v>0</v>
      </c>
      <c r="F375">
        <v>0</v>
      </c>
      <c r="G375">
        <v>0</v>
      </c>
      <c r="H375">
        <v>0</v>
      </c>
      <c r="I375">
        <v>0</v>
      </c>
      <c r="J375">
        <v>0</v>
      </c>
      <c r="K375">
        <v>0</v>
      </c>
      <c r="L375">
        <v>1</v>
      </c>
      <c r="M375">
        <v>1</v>
      </c>
      <c r="N375">
        <v>0</v>
      </c>
      <c r="O375">
        <v>0</v>
      </c>
      <c r="P375">
        <v>40000</v>
      </c>
      <c r="Q375">
        <v>1500</v>
      </c>
      <c r="R375">
        <v>1</v>
      </c>
      <c r="S375">
        <v>1</v>
      </c>
      <c r="T375">
        <v>1</v>
      </c>
      <c r="U375">
        <v>0</v>
      </c>
      <c r="V375">
        <v>0</v>
      </c>
      <c r="W375" s="3">
        <v>66666.666670000006</v>
      </c>
      <c r="X375">
        <v>0</v>
      </c>
      <c r="Y375">
        <v>40000</v>
      </c>
    </row>
    <row r="376" spans="1:25" x14ac:dyDescent="0.3">
      <c r="A376" s="3">
        <v>0</v>
      </c>
      <c r="B376">
        <v>1</v>
      </c>
      <c r="C376">
        <v>1</v>
      </c>
      <c r="D376">
        <v>30</v>
      </c>
      <c r="E376">
        <v>1</v>
      </c>
      <c r="F376">
        <v>0</v>
      </c>
      <c r="G376">
        <v>0</v>
      </c>
      <c r="H376">
        <v>0</v>
      </c>
      <c r="I376">
        <v>1</v>
      </c>
      <c r="J376">
        <v>0</v>
      </c>
      <c r="K376">
        <v>0</v>
      </c>
      <c r="L376">
        <v>1</v>
      </c>
      <c r="M376">
        <v>1</v>
      </c>
      <c r="N376">
        <v>1</v>
      </c>
      <c r="O376">
        <v>0</v>
      </c>
      <c r="P376">
        <v>40000</v>
      </c>
      <c r="Q376">
        <v>5000</v>
      </c>
      <c r="R376">
        <v>1</v>
      </c>
      <c r="S376">
        <v>1</v>
      </c>
      <c r="T376">
        <v>1</v>
      </c>
      <c r="U376">
        <v>0</v>
      </c>
      <c r="V376">
        <v>160000</v>
      </c>
      <c r="W376" s="3">
        <v>25000</v>
      </c>
      <c r="X376">
        <v>0</v>
      </c>
      <c r="Y376">
        <v>40000</v>
      </c>
    </row>
    <row r="377" spans="1:25" x14ac:dyDescent="0.3">
      <c r="A377" s="3">
        <v>0</v>
      </c>
      <c r="B377">
        <v>1</v>
      </c>
      <c r="C377">
        <v>0</v>
      </c>
      <c r="D377">
        <v>8</v>
      </c>
      <c r="E377">
        <v>0</v>
      </c>
      <c r="F377">
        <v>0</v>
      </c>
      <c r="G377">
        <v>0</v>
      </c>
      <c r="H377">
        <v>0</v>
      </c>
      <c r="I377">
        <v>1</v>
      </c>
      <c r="J377">
        <v>0</v>
      </c>
      <c r="K377">
        <v>0</v>
      </c>
      <c r="L377">
        <v>1</v>
      </c>
      <c r="M377">
        <v>1</v>
      </c>
      <c r="N377">
        <v>1</v>
      </c>
      <c r="O377">
        <v>0</v>
      </c>
      <c r="P377">
        <v>50000</v>
      </c>
      <c r="Q377">
        <v>1000</v>
      </c>
      <c r="R377">
        <v>1</v>
      </c>
      <c r="S377">
        <v>1</v>
      </c>
      <c r="T377">
        <v>1</v>
      </c>
      <c r="U377">
        <v>0</v>
      </c>
      <c r="V377">
        <v>0</v>
      </c>
      <c r="W377" s="3">
        <v>83333.333329999994</v>
      </c>
      <c r="X377">
        <v>0</v>
      </c>
      <c r="Y377">
        <v>50000</v>
      </c>
    </row>
    <row r="378" spans="1:25" x14ac:dyDescent="0.3">
      <c r="A378" s="3">
        <v>0</v>
      </c>
      <c r="B378">
        <v>1</v>
      </c>
      <c r="C378">
        <v>1</v>
      </c>
      <c r="D378">
        <v>40</v>
      </c>
      <c r="E378">
        <v>0</v>
      </c>
      <c r="F378">
        <v>0</v>
      </c>
      <c r="G378">
        <v>0</v>
      </c>
      <c r="H378">
        <v>0</v>
      </c>
      <c r="I378">
        <v>1</v>
      </c>
      <c r="J378">
        <v>0</v>
      </c>
      <c r="K378">
        <v>0</v>
      </c>
      <c r="L378">
        <v>0</v>
      </c>
      <c r="M378">
        <v>1</v>
      </c>
      <c r="N378">
        <v>1</v>
      </c>
      <c r="O378">
        <v>0</v>
      </c>
      <c r="P378">
        <v>20000</v>
      </c>
      <c r="Q378">
        <v>5000</v>
      </c>
      <c r="R378">
        <v>1</v>
      </c>
      <c r="S378">
        <v>1</v>
      </c>
      <c r="T378">
        <v>1</v>
      </c>
      <c r="U378">
        <v>0</v>
      </c>
      <c r="V378">
        <v>30000</v>
      </c>
      <c r="W378" s="3">
        <v>0</v>
      </c>
      <c r="X378">
        <v>0</v>
      </c>
      <c r="Y378">
        <v>20000</v>
      </c>
    </row>
    <row r="379" spans="1:25" x14ac:dyDescent="0.3">
      <c r="A379" s="3">
        <v>20000</v>
      </c>
      <c r="B379">
        <v>1</v>
      </c>
      <c r="C379">
        <v>0</v>
      </c>
      <c r="D379">
        <v>10</v>
      </c>
      <c r="E379">
        <v>0</v>
      </c>
      <c r="F379">
        <v>0</v>
      </c>
      <c r="G379">
        <v>0</v>
      </c>
      <c r="H379">
        <v>0</v>
      </c>
      <c r="I379">
        <v>1</v>
      </c>
      <c r="J379">
        <v>0</v>
      </c>
      <c r="K379">
        <v>0</v>
      </c>
      <c r="L379">
        <v>1</v>
      </c>
      <c r="M379">
        <v>1</v>
      </c>
      <c r="N379">
        <v>1</v>
      </c>
      <c r="O379">
        <v>0</v>
      </c>
      <c r="P379">
        <v>40000</v>
      </c>
      <c r="Q379">
        <v>1000</v>
      </c>
      <c r="R379">
        <v>1</v>
      </c>
      <c r="S379">
        <v>1</v>
      </c>
      <c r="T379">
        <v>1</v>
      </c>
      <c r="U379">
        <v>0</v>
      </c>
      <c r="V379">
        <v>0</v>
      </c>
      <c r="W379" s="3">
        <v>83333.333329999994</v>
      </c>
      <c r="X379">
        <v>0</v>
      </c>
      <c r="Y379">
        <v>40000</v>
      </c>
    </row>
    <row r="380" spans="1:25" x14ac:dyDescent="0.3">
      <c r="A380" s="3">
        <v>0</v>
      </c>
      <c r="B380">
        <v>1</v>
      </c>
      <c r="C380">
        <v>0</v>
      </c>
      <c r="D380">
        <v>25</v>
      </c>
      <c r="E380">
        <v>0</v>
      </c>
      <c r="F380">
        <v>0</v>
      </c>
      <c r="G380">
        <v>0</v>
      </c>
      <c r="H380">
        <v>0</v>
      </c>
      <c r="I380">
        <v>1</v>
      </c>
      <c r="J380">
        <v>0</v>
      </c>
      <c r="K380">
        <v>0</v>
      </c>
      <c r="L380">
        <v>1</v>
      </c>
      <c r="M380">
        <v>1</v>
      </c>
      <c r="N380">
        <v>1</v>
      </c>
      <c r="O380">
        <v>0</v>
      </c>
      <c r="P380">
        <v>10000</v>
      </c>
      <c r="Q380">
        <v>1000</v>
      </c>
      <c r="R380">
        <v>1</v>
      </c>
      <c r="S380">
        <v>1</v>
      </c>
      <c r="T380">
        <v>1</v>
      </c>
      <c r="U380">
        <v>0</v>
      </c>
      <c r="V380">
        <v>0</v>
      </c>
      <c r="W380" s="3">
        <v>90909.090909999999</v>
      </c>
      <c r="X380">
        <v>0</v>
      </c>
      <c r="Y380">
        <v>10000</v>
      </c>
    </row>
    <row r="381" spans="1:25" x14ac:dyDescent="0.3">
      <c r="A381" s="3">
        <v>215000</v>
      </c>
      <c r="B381">
        <v>1</v>
      </c>
      <c r="C381">
        <v>0</v>
      </c>
      <c r="D381">
        <v>20</v>
      </c>
      <c r="E381">
        <v>0</v>
      </c>
      <c r="F381">
        <v>0</v>
      </c>
      <c r="G381">
        <v>0</v>
      </c>
      <c r="H381">
        <v>0</v>
      </c>
      <c r="I381">
        <v>1</v>
      </c>
      <c r="J381">
        <v>0</v>
      </c>
      <c r="K381">
        <v>0</v>
      </c>
      <c r="L381">
        <v>1</v>
      </c>
      <c r="M381">
        <v>1</v>
      </c>
      <c r="N381">
        <v>1</v>
      </c>
      <c r="O381">
        <v>0</v>
      </c>
      <c r="P381">
        <v>40000</v>
      </c>
      <c r="Q381">
        <v>2000</v>
      </c>
      <c r="R381">
        <v>1</v>
      </c>
      <c r="S381">
        <v>1</v>
      </c>
      <c r="T381">
        <v>1</v>
      </c>
      <c r="U381">
        <v>0</v>
      </c>
      <c r="V381">
        <v>12000</v>
      </c>
      <c r="W381" s="3">
        <v>100000</v>
      </c>
      <c r="X381">
        <v>0</v>
      </c>
      <c r="Y381">
        <v>40000</v>
      </c>
    </row>
    <row r="382" spans="1:25" x14ac:dyDescent="0.3">
      <c r="A382" s="3">
        <v>0</v>
      </c>
      <c r="B382">
        <v>1</v>
      </c>
      <c r="C382">
        <v>0</v>
      </c>
      <c r="D382">
        <v>40</v>
      </c>
      <c r="E382">
        <v>0</v>
      </c>
      <c r="F382">
        <v>0</v>
      </c>
      <c r="G382">
        <v>0</v>
      </c>
      <c r="H382">
        <v>0</v>
      </c>
      <c r="I382">
        <v>1</v>
      </c>
      <c r="J382">
        <v>0</v>
      </c>
      <c r="K382">
        <v>0</v>
      </c>
      <c r="L382">
        <v>1</v>
      </c>
      <c r="M382">
        <v>1</v>
      </c>
      <c r="N382">
        <v>1</v>
      </c>
      <c r="O382">
        <v>0</v>
      </c>
      <c r="P382">
        <v>20000</v>
      </c>
      <c r="Q382">
        <v>1000</v>
      </c>
      <c r="R382">
        <v>1</v>
      </c>
      <c r="S382">
        <v>1</v>
      </c>
      <c r="T382">
        <v>1</v>
      </c>
      <c r="U382">
        <v>0</v>
      </c>
      <c r="V382">
        <v>0</v>
      </c>
      <c r="W382" s="3">
        <v>100000</v>
      </c>
      <c r="X382">
        <v>0</v>
      </c>
      <c r="Y382">
        <v>20000</v>
      </c>
    </row>
    <row r="383" spans="1:25" x14ac:dyDescent="0.3">
      <c r="A383" s="3">
        <v>50000</v>
      </c>
      <c r="B383">
        <v>1</v>
      </c>
      <c r="C383">
        <v>0</v>
      </c>
      <c r="D383">
        <v>22</v>
      </c>
      <c r="E383">
        <v>1</v>
      </c>
      <c r="F383">
        <v>0</v>
      </c>
      <c r="G383">
        <v>0</v>
      </c>
      <c r="H383">
        <v>0</v>
      </c>
      <c r="I383">
        <v>1</v>
      </c>
      <c r="J383">
        <v>0</v>
      </c>
      <c r="K383">
        <v>0</v>
      </c>
      <c r="L383">
        <v>1</v>
      </c>
      <c r="M383">
        <v>1</v>
      </c>
      <c r="N383">
        <v>1</v>
      </c>
      <c r="O383">
        <v>0</v>
      </c>
      <c r="P383">
        <v>50000</v>
      </c>
      <c r="Q383">
        <v>1000</v>
      </c>
      <c r="R383">
        <v>1</v>
      </c>
      <c r="S383">
        <v>1</v>
      </c>
      <c r="T383">
        <v>1</v>
      </c>
      <c r="U383">
        <v>0</v>
      </c>
      <c r="V383">
        <v>30000</v>
      </c>
      <c r="W383" s="3">
        <v>153846.1538</v>
      </c>
      <c r="X383">
        <v>0</v>
      </c>
      <c r="Y383">
        <v>50000</v>
      </c>
    </row>
    <row r="384" spans="1:25" x14ac:dyDescent="0.3">
      <c r="A384" s="3">
        <v>98000</v>
      </c>
      <c r="B384">
        <v>1</v>
      </c>
      <c r="C384">
        <v>0</v>
      </c>
      <c r="D384">
        <v>15</v>
      </c>
      <c r="E384">
        <v>0</v>
      </c>
      <c r="F384">
        <v>0</v>
      </c>
      <c r="G384">
        <v>0</v>
      </c>
      <c r="H384">
        <v>0</v>
      </c>
      <c r="I384">
        <v>1</v>
      </c>
      <c r="J384">
        <v>0</v>
      </c>
      <c r="K384">
        <v>0</v>
      </c>
      <c r="L384">
        <v>1</v>
      </c>
      <c r="M384">
        <v>1</v>
      </c>
      <c r="N384">
        <v>1</v>
      </c>
      <c r="O384">
        <v>0</v>
      </c>
      <c r="P384">
        <v>40000</v>
      </c>
      <c r="Q384">
        <v>0</v>
      </c>
      <c r="R384">
        <v>1</v>
      </c>
      <c r="S384">
        <v>1</v>
      </c>
      <c r="T384">
        <v>1</v>
      </c>
      <c r="U384">
        <v>0</v>
      </c>
      <c r="V384">
        <v>13500</v>
      </c>
      <c r="W384" s="3">
        <v>83333.333329999994</v>
      </c>
      <c r="X384">
        <v>0</v>
      </c>
      <c r="Y384">
        <v>40000</v>
      </c>
    </row>
    <row r="385" spans="1:25" x14ac:dyDescent="0.3">
      <c r="A385" s="3">
        <v>0</v>
      </c>
      <c r="B385">
        <v>1</v>
      </c>
      <c r="C385">
        <v>0</v>
      </c>
      <c r="D385">
        <v>40</v>
      </c>
      <c r="E385">
        <v>0</v>
      </c>
      <c r="F385">
        <v>0</v>
      </c>
      <c r="G385">
        <v>0</v>
      </c>
      <c r="H385">
        <v>0</v>
      </c>
      <c r="I385">
        <v>1</v>
      </c>
      <c r="J385">
        <v>0</v>
      </c>
      <c r="K385">
        <v>0</v>
      </c>
      <c r="L385">
        <v>1</v>
      </c>
      <c r="M385">
        <v>1</v>
      </c>
      <c r="N385">
        <v>1</v>
      </c>
      <c r="O385">
        <v>0</v>
      </c>
      <c r="P385">
        <v>40000</v>
      </c>
      <c r="Q385">
        <v>1000</v>
      </c>
      <c r="R385">
        <v>1</v>
      </c>
      <c r="S385">
        <v>1</v>
      </c>
      <c r="T385">
        <v>1</v>
      </c>
      <c r="U385">
        <v>0</v>
      </c>
      <c r="V385">
        <v>16000</v>
      </c>
      <c r="W385" s="3">
        <v>111111.11109999999</v>
      </c>
      <c r="X385">
        <v>0</v>
      </c>
      <c r="Y385">
        <v>40000</v>
      </c>
    </row>
    <row r="386" spans="1:25" x14ac:dyDescent="0.3">
      <c r="A386" s="3">
        <v>0</v>
      </c>
      <c r="B386">
        <v>1</v>
      </c>
      <c r="C386">
        <v>0</v>
      </c>
      <c r="D386">
        <v>0</v>
      </c>
      <c r="E386">
        <v>0</v>
      </c>
      <c r="F386">
        <v>0</v>
      </c>
      <c r="G386">
        <v>0</v>
      </c>
      <c r="H386">
        <v>0</v>
      </c>
      <c r="I386">
        <v>1</v>
      </c>
      <c r="J386">
        <v>0</v>
      </c>
      <c r="K386">
        <v>0</v>
      </c>
      <c r="L386">
        <v>1</v>
      </c>
      <c r="M386">
        <v>1</v>
      </c>
      <c r="N386">
        <v>1</v>
      </c>
      <c r="O386">
        <v>0</v>
      </c>
      <c r="P386">
        <v>30000</v>
      </c>
      <c r="Q386">
        <v>1000</v>
      </c>
      <c r="R386">
        <v>1</v>
      </c>
      <c r="S386">
        <v>1</v>
      </c>
      <c r="T386">
        <v>1</v>
      </c>
      <c r="U386">
        <v>0</v>
      </c>
      <c r="V386">
        <v>0</v>
      </c>
      <c r="W386" s="3">
        <v>50000</v>
      </c>
      <c r="X386">
        <v>0</v>
      </c>
      <c r="Y386">
        <v>30000</v>
      </c>
    </row>
    <row r="387" spans="1:25" x14ac:dyDescent="0.3">
      <c r="A387" s="3">
        <v>0</v>
      </c>
      <c r="B387">
        <v>1</v>
      </c>
      <c r="C387">
        <v>0</v>
      </c>
      <c r="D387">
        <v>20</v>
      </c>
      <c r="E387">
        <v>0</v>
      </c>
      <c r="F387">
        <v>0</v>
      </c>
      <c r="G387">
        <v>0</v>
      </c>
      <c r="H387">
        <v>0</v>
      </c>
      <c r="I387">
        <v>1</v>
      </c>
      <c r="J387">
        <v>0</v>
      </c>
      <c r="K387">
        <v>0</v>
      </c>
      <c r="L387">
        <v>1</v>
      </c>
      <c r="M387">
        <v>1</v>
      </c>
      <c r="N387">
        <v>1</v>
      </c>
      <c r="O387">
        <v>0</v>
      </c>
      <c r="P387">
        <v>0</v>
      </c>
      <c r="Q387">
        <v>1000</v>
      </c>
      <c r="R387">
        <v>1</v>
      </c>
      <c r="S387">
        <v>1</v>
      </c>
      <c r="T387">
        <v>1</v>
      </c>
      <c r="U387">
        <v>0</v>
      </c>
      <c r="V387">
        <v>0</v>
      </c>
      <c r="W387" s="3">
        <v>136363.63639999999</v>
      </c>
      <c r="X387">
        <v>0</v>
      </c>
      <c r="Y387">
        <v>0</v>
      </c>
    </row>
    <row r="388" spans="1:25" x14ac:dyDescent="0.3">
      <c r="A388" s="3">
        <v>129000</v>
      </c>
      <c r="B388">
        <v>1</v>
      </c>
      <c r="C388">
        <v>1</v>
      </c>
      <c r="D388">
        <v>40</v>
      </c>
      <c r="E388">
        <v>1</v>
      </c>
      <c r="F388">
        <v>0</v>
      </c>
      <c r="G388">
        <v>0</v>
      </c>
      <c r="H388">
        <v>0</v>
      </c>
      <c r="I388">
        <v>1</v>
      </c>
      <c r="J388">
        <v>0</v>
      </c>
      <c r="K388">
        <v>0</v>
      </c>
      <c r="L388">
        <v>1</v>
      </c>
      <c r="M388">
        <v>1</v>
      </c>
      <c r="N388">
        <v>1</v>
      </c>
      <c r="O388">
        <v>0</v>
      </c>
      <c r="P388">
        <v>50000</v>
      </c>
      <c r="Q388">
        <v>5000</v>
      </c>
      <c r="R388">
        <v>1</v>
      </c>
      <c r="S388">
        <v>1</v>
      </c>
      <c r="T388">
        <v>1</v>
      </c>
      <c r="U388">
        <v>0</v>
      </c>
      <c r="V388">
        <v>269600</v>
      </c>
      <c r="W388" s="3">
        <v>25000</v>
      </c>
      <c r="X388">
        <v>0</v>
      </c>
      <c r="Y388">
        <v>50000</v>
      </c>
    </row>
    <row r="389" spans="1:25" x14ac:dyDescent="0.3">
      <c r="A389" s="3">
        <v>0</v>
      </c>
      <c r="B389">
        <v>1</v>
      </c>
      <c r="C389">
        <v>0</v>
      </c>
      <c r="D389">
        <v>20</v>
      </c>
      <c r="E389">
        <v>0</v>
      </c>
      <c r="F389">
        <v>0</v>
      </c>
      <c r="G389">
        <v>0</v>
      </c>
      <c r="H389">
        <v>0</v>
      </c>
      <c r="I389">
        <v>1</v>
      </c>
      <c r="J389">
        <v>0</v>
      </c>
      <c r="K389">
        <v>0</v>
      </c>
      <c r="L389">
        <v>1</v>
      </c>
      <c r="M389">
        <v>1</v>
      </c>
      <c r="N389">
        <v>1</v>
      </c>
      <c r="O389">
        <v>0</v>
      </c>
      <c r="P389">
        <v>20000</v>
      </c>
      <c r="Q389">
        <v>1000</v>
      </c>
      <c r="R389">
        <v>1</v>
      </c>
      <c r="S389">
        <v>1</v>
      </c>
      <c r="T389">
        <v>1</v>
      </c>
      <c r="U389">
        <v>0</v>
      </c>
      <c r="V389">
        <v>0</v>
      </c>
      <c r="W389" s="3">
        <v>66666.666670000006</v>
      </c>
      <c r="X389">
        <v>0</v>
      </c>
      <c r="Y389">
        <v>20000</v>
      </c>
    </row>
    <row r="390" spans="1:25" x14ac:dyDescent="0.3">
      <c r="A390" s="3">
        <v>0</v>
      </c>
      <c r="B390">
        <v>1</v>
      </c>
      <c r="C390">
        <v>0</v>
      </c>
      <c r="D390">
        <v>15</v>
      </c>
      <c r="E390">
        <v>0</v>
      </c>
      <c r="F390">
        <v>0</v>
      </c>
      <c r="G390">
        <v>0</v>
      </c>
      <c r="H390">
        <v>0</v>
      </c>
      <c r="I390">
        <v>1</v>
      </c>
      <c r="J390">
        <v>0</v>
      </c>
      <c r="K390">
        <v>0</v>
      </c>
      <c r="L390">
        <v>1</v>
      </c>
      <c r="M390">
        <v>1</v>
      </c>
      <c r="N390">
        <v>0</v>
      </c>
      <c r="O390">
        <v>0</v>
      </c>
      <c r="P390">
        <v>20000</v>
      </c>
      <c r="Q390">
        <v>10000</v>
      </c>
      <c r="R390">
        <v>1</v>
      </c>
      <c r="S390">
        <v>1</v>
      </c>
      <c r="T390">
        <v>1</v>
      </c>
      <c r="U390">
        <v>0</v>
      </c>
      <c r="V390">
        <v>0</v>
      </c>
      <c r="W390" s="3">
        <v>100000</v>
      </c>
      <c r="X390">
        <v>0</v>
      </c>
      <c r="Y390">
        <v>20000</v>
      </c>
    </row>
    <row r="391" spans="1:25" x14ac:dyDescent="0.3">
      <c r="A391" s="3">
        <v>0</v>
      </c>
      <c r="B391">
        <v>1</v>
      </c>
      <c r="C391">
        <v>1</v>
      </c>
      <c r="D391">
        <v>4</v>
      </c>
      <c r="E391">
        <v>0</v>
      </c>
      <c r="F391">
        <v>0</v>
      </c>
      <c r="G391">
        <v>0</v>
      </c>
      <c r="H391">
        <v>0</v>
      </c>
      <c r="I391">
        <v>0</v>
      </c>
      <c r="J391">
        <v>0</v>
      </c>
      <c r="K391">
        <v>0</v>
      </c>
      <c r="L391">
        <v>1</v>
      </c>
      <c r="M391">
        <v>1</v>
      </c>
      <c r="N391">
        <v>0</v>
      </c>
      <c r="O391">
        <v>1</v>
      </c>
      <c r="P391" s="2">
        <v>100000</v>
      </c>
      <c r="Q391">
        <v>10000</v>
      </c>
      <c r="R391">
        <v>1</v>
      </c>
      <c r="S391">
        <v>1</v>
      </c>
      <c r="T391">
        <v>1</v>
      </c>
      <c r="U391">
        <v>0</v>
      </c>
      <c r="V391">
        <v>0</v>
      </c>
      <c r="W391" s="3">
        <v>25000</v>
      </c>
      <c r="X391">
        <v>0</v>
      </c>
      <c r="Y391" s="2">
        <v>100000</v>
      </c>
    </row>
    <row r="392" spans="1:25" x14ac:dyDescent="0.3">
      <c r="A392" s="3">
        <v>0</v>
      </c>
      <c r="B392">
        <v>1</v>
      </c>
      <c r="C392">
        <v>1</v>
      </c>
      <c r="D392">
        <v>20</v>
      </c>
      <c r="E392">
        <v>1</v>
      </c>
      <c r="F392">
        <v>0</v>
      </c>
      <c r="G392">
        <v>0</v>
      </c>
      <c r="H392">
        <v>0</v>
      </c>
      <c r="I392">
        <v>1</v>
      </c>
      <c r="J392">
        <v>0</v>
      </c>
      <c r="K392">
        <v>0</v>
      </c>
      <c r="L392">
        <v>1</v>
      </c>
      <c r="M392">
        <v>1</v>
      </c>
      <c r="N392">
        <v>1</v>
      </c>
      <c r="O392">
        <v>0</v>
      </c>
      <c r="P392">
        <v>10000</v>
      </c>
      <c r="Q392">
        <v>5000</v>
      </c>
      <c r="R392">
        <v>1</v>
      </c>
      <c r="S392">
        <v>1</v>
      </c>
      <c r="T392">
        <v>1</v>
      </c>
      <c r="U392">
        <v>0</v>
      </c>
      <c r="V392">
        <v>0</v>
      </c>
      <c r="W392" s="3">
        <v>83333.333329999994</v>
      </c>
      <c r="X392">
        <v>0</v>
      </c>
      <c r="Y392">
        <v>10000</v>
      </c>
    </row>
    <row r="393" spans="1:25" x14ac:dyDescent="0.3">
      <c r="A393" s="3">
        <v>0</v>
      </c>
      <c r="B393">
        <v>1</v>
      </c>
      <c r="C393">
        <v>0</v>
      </c>
      <c r="D393">
        <v>15</v>
      </c>
      <c r="E393">
        <v>0</v>
      </c>
      <c r="F393">
        <v>0</v>
      </c>
      <c r="G393">
        <v>0</v>
      </c>
      <c r="H393">
        <v>0</v>
      </c>
      <c r="I393">
        <v>0</v>
      </c>
      <c r="J393">
        <v>0</v>
      </c>
      <c r="K393">
        <v>0</v>
      </c>
      <c r="L393">
        <v>1</v>
      </c>
      <c r="M393">
        <v>1</v>
      </c>
      <c r="N393">
        <v>0</v>
      </c>
      <c r="O393">
        <v>0</v>
      </c>
      <c r="P393">
        <v>50000</v>
      </c>
      <c r="Q393">
        <v>1500</v>
      </c>
      <c r="R393">
        <v>1</v>
      </c>
      <c r="S393">
        <v>1</v>
      </c>
      <c r="T393">
        <v>1</v>
      </c>
      <c r="U393">
        <v>0</v>
      </c>
      <c r="V393">
        <v>0</v>
      </c>
      <c r="W393" s="3">
        <v>136363.63639999999</v>
      </c>
      <c r="X393">
        <v>0</v>
      </c>
      <c r="Y393">
        <v>50000</v>
      </c>
    </row>
    <row r="394" spans="1:25" x14ac:dyDescent="0.3">
      <c r="A394" s="3">
        <v>0</v>
      </c>
      <c r="B394">
        <v>1</v>
      </c>
      <c r="C394">
        <v>0</v>
      </c>
      <c r="D394">
        <v>2</v>
      </c>
      <c r="E394">
        <v>0</v>
      </c>
      <c r="F394">
        <v>0</v>
      </c>
      <c r="G394">
        <v>0</v>
      </c>
      <c r="H394">
        <v>0</v>
      </c>
      <c r="I394">
        <v>1</v>
      </c>
      <c r="J394">
        <v>0</v>
      </c>
      <c r="K394">
        <v>0</v>
      </c>
      <c r="L394">
        <v>0</v>
      </c>
      <c r="M394">
        <v>1</v>
      </c>
      <c r="N394">
        <v>1</v>
      </c>
      <c r="O394">
        <v>1</v>
      </c>
      <c r="P394">
        <v>20000</v>
      </c>
      <c r="Q394">
        <v>1000</v>
      </c>
      <c r="R394">
        <v>1</v>
      </c>
      <c r="S394">
        <v>1</v>
      </c>
      <c r="T394">
        <v>1</v>
      </c>
      <c r="U394">
        <v>0</v>
      </c>
      <c r="V394">
        <v>0</v>
      </c>
      <c r="W394" s="3">
        <v>6250</v>
      </c>
      <c r="X394">
        <v>0</v>
      </c>
      <c r="Y394">
        <v>20000</v>
      </c>
    </row>
    <row r="395" spans="1:25" x14ac:dyDescent="0.3">
      <c r="A395" s="3">
        <v>195000</v>
      </c>
      <c r="B395">
        <v>1</v>
      </c>
      <c r="C395">
        <v>1</v>
      </c>
      <c r="D395">
        <v>3</v>
      </c>
      <c r="E395">
        <v>1</v>
      </c>
      <c r="F395">
        <v>0</v>
      </c>
      <c r="G395">
        <v>0</v>
      </c>
      <c r="H395">
        <v>0</v>
      </c>
      <c r="I395">
        <v>1</v>
      </c>
      <c r="J395">
        <v>0</v>
      </c>
      <c r="K395">
        <v>1</v>
      </c>
      <c r="L395">
        <v>1</v>
      </c>
      <c r="M395">
        <v>0</v>
      </c>
      <c r="N395">
        <v>0</v>
      </c>
      <c r="O395">
        <v>0</v>
      </c>
      <c r="P395">
        <v>15000</v>
      </c>
      <c r="Q395">
        <v>5000</v>
      </c>
      <c r="R395">
        <v>1</v>
      </c>
      <c r="S395">
        <v>1</v>
      </c>
      <c r="T395">
        <v>1</v>
      </c>
      <c r="U395">
        <v>0</v>
      </c>
      <c r="V395">
        <v>15750</v>
      </c>
      <c r="W395" s="3">
        <v>16129.03226</v>
      </c>
      <c r="X395">
        <v>0</v>
      </c>
      <c r="Y395">
        <v>15000</v>
      </c>
    </row>
    <row r="396" spans="1:25" x14ac:dyDescent="0.3">
      <c r="A396" s="3">
        <v>50000</v>
      </c>
      <c r="B396">
        <v>1</v>
      </c>
      <c r="C396">
        <v>1</v>
      </c>
      <c r="D396">
        <v>3</v>
      </c>
      <c r="E396">
        <v>1</v>
      </c>
      <c r="F396">
        <v>0</v>
      </c>
      <c r="G396">
        <v>0</v>
      </c>
      <c r="H396">
        <v>0</v>
      </c>
      <c r="I396">
        <v>0</v>
      </c>
      <c r="J396">
        <v>0</v>
      </c>
      <c r="K396">
        <v>1</v>
      </c>
      <c r="L396">
        <v>1</v>
      </c>
      <c r="M396">
        <v>0</v>
      </c>
      <c r="N396">
        <v>0</v>
      </c>
      <c r="O396">
        <v>0</v>
      </c>
      <c r="P396">
        <v>5000</v>
      </c>
      <c r="Q396">
        <v>3000</v>
      </c>
      <c r="R396">
        <v>1</v>
      </c>
      <c r="S396">
        <v>1</v>
      </c>
      <c r="T396">
        <v>1</v>
      </c>
      <c r="U396">
        <v>0</v>
      </c>
      <c r="V396">
        <v>39260</v>
      </c>
      <c r="W396" s="3">
        <v>9375</v>
      </c>
      <c r="X396">
        <v>1</v>
      </c>
      <c r="Y396">
        <v>5000</v>
      </c>
    </row>
    <row r="397" spans="1:25" x14ac:dyDescent="0.3">
      <c r="A397" s="3">
        <v>60000</v>
      </c>
      <c r="B397">
        <v>1</v>
      </c>
      <c r="C397">
        <v>0</v>
      </c>
      <c r="D397">
        <v>5</v>
      </c>
      <c r="E397">
        <v>1</v>
      </c>
      <c r="F397">
        <v>0</v>
      </c>
      <c r="G397">
        <v>0</v>
      </c>
      <c r="H397">
        <v>0</v>
      </c>
      <c r="I397">
        <v>0</v>
      </c>
      <c r="J397">
        <v>0</v>
      </c>
      <c r="K397">
        <v>1</v>
      </c>
      <c r="L397">
        <v>1</v>
      </c>
      <c r="M397">
        <v>0</v>
      </c>
      <c r="N397">
        <v>0</v>
      </c>
      <c r="O397">
        <v>0</v>
      </c>
      <c r="P397">
        <v>0</v>
      </c>
      <c r="Q397">
        <v>2500</v>
      </c>
      <c r="R397">
        <v>1</v>
      </c>
      <c r="S397">
        <v>1</v>
      </c>
      <c r="T397">
        <v>1</v>
      </c>
      <c r="U397">
        <v>0</v>
      </c>
      <c r="V397">
        <v>60260</v>
      </c>
      <c r="W397" s="3">
        <v>47826.086960000001</v>
      </c>
      <c r="X397">
        <v>1</v>
      </c>
      <c r="Y397">
        <v>0</v>
      </c>
    </row>
    <row r="398" spans="1:25" x14ac:dyDescent="0.3">
      <c r="A398" s="3">
        <v>24000</v>
      </c>
      <c r="B398">
        <v>1</v>
      </c>
      <c r="C398">
        <v>0</v>
      </c>
      <c r="D398">
        <v>4</v>
      </c>
      <c r="E398">
        <v>1</v>
      </c>
      <c r="F398">
        <v>0</v>
      </c>
      <c r="G398">
        <v>0</v>
      </c>
      <c r="H398">
        <v>0</v>
      </c>
      <c r="I398">
        <v>1</v>
      </c>
      <c r="J398">
        <v>0</v>
      </c>
      <c r="K398">
        <v>1</v>
      </c>
      <c r="L398">
        <v>1</v>
      </c>
      <c r="M398">
        <v>0</v>
      </c>
      <c r="N398">
        <v>0</v>
      </c>
      <c r="O398">
        <v>0</v>
      </c>
      <c r="P398">
        <v>10000</v>
      </c>
      <c r="Q398">
        <v>3000</v>
      </c>
      <c r="R398">
        <v>1</v>
      </c>
      <c r="S398">
        <v>1</v>
      </c>
      <c r="T398">
        <v>1</v>
      </c>
      <c r="U398">
        <v>0</v>
      </c>
      <c r="V398">
        <v>100885</v>
      </c>
      <c r="W398" s="3">
        <v>5000</v>
      </c>
      <c r="X398">
        <v>1</v>
      </c>
      <c r="Y398">
        <v>10000</v>
      </c>
    </row>
    <row r="399" spans="1:25" x14ac:dyDescent="0.3">
      <c r="A399" s="3">
        <v>90000</v>
      </c>
      <c r="B399">
        <v>1</v>
      </c>
      <c r="C399">
        <v>0</v>
      </c>
      <c r="D399">
        <v>3</v>
      </c>
      <c r="E399">
        <v>0</v>
      </c>
      <c r="F399">
        <v>0</v>
      </c>
      <c r="G399">
        <v>0</v>
      </c>
      <c r="H399">
        <v>0</v>
      </c>
      <c r="I399">
        <v>0</v>
      </c>
      <c r="J399">
        <v>0</v>
      </c>
      <c r="K399">
        <v>1</v>
      </c>
      <c r="L399">
        <v>1</v>
      </c>
      <c r="M399">
        <v>0</v>
      </c>
      <c r="N399">
        <v>0</v>
      </c>
      <c r="O399">
        <v>0</v>
      </c>
      <c r="P399">
        <v>0</v>
      </c>
      <c r="Q399">
        <v>2000</v>
      </c>
      <c r="R399">
        <v>1</v>
      </c>
      <c r="S399">
        <v>1</v>
      </c>
      <c r="T399">
        <v>1</v>
      </c>
      <c r="U399">
        <v>0</v>
      </c>
      <c r="V399">
        <v>91000</v>
      </c>
      <c r="W399" s="3">
        <v>29761.904760000001</v>
      </c>
      <c r="X399">
        <v>1</v>
      </c>
      <c r="Y399">
        <v>0</v>
      </c>
    </row>
    <row r="400" spans="1:25" x14ac:dyDescent="0.3">
      <c r="A400" s="3">
        <v>200000</v>
      </c>
      <c r="B400">
        <v>0</v>
      </c>
      <c r="C400">
        <v>0</v>
      </c>
      <c r="D400">
        <v>17</v>
      </c>
      <c r="E400">
        <v>0</v>
      </c>
      <c r="F400">
        <v>0</v>
      </c>
      <c r="G400">
        <v>0</v>
      </c>
      <c r="H400">
        <v>1</v>
      </c>
      <c r="I400">
        <v>0</v>
      </c>
      <c r="J400">
        <v>0</v>
      </c>
      <c r="K400">
        <v>0</v>
      </c>
      <c r="L400">
        <v>0</v>
      </c>
      <c r="M400">
        <v>0</v>
      </c>
      <c r="N400">
        <v>1</v>
      </c>
      <c r="O400">
        <v>1</v>
      </c>
      <c r="P400" s="3">
        <v>25000</v>
      </c>
      <c r="Q400">
        <v>0</v>
      </c>
      <c r="R400">
        <v>1</v>
      </c>
      <c r="S400">
        <v>1</v>
      </c>
      <c r="T400">
        <v>1</v>
      </c>
      <c r="U400">
        <v>0</v>
      </c>
      <c r="V400">
        <v>141000</v>
      </c>
      <c r="W400" s="3">
        <v>4285.7142860000004</v>
      </c>
      <c r="X400">
        <v>1</v>
      </c>
      <c r="Y400">
        <v>25000</v>
      </c>
    </row>
    <row r="401" spans="1:25" x14ac:dyDescent="0.3">
      <c r="A401" s="3">
        <v>225000</v>
      </c>
      <c r="B401">
        <v>0</v>
      </c>
      <c r="C401">
        <v>0</v>
      </c>
      <c r="D401">
        <v>11</v>
      </c>
      <c r="E401">
        <v>1</v>
      </c>
      <c r="F401">
        <v>0</v>
      </c>
      <c r="G401">
        <v>0</v>
      </c>
      <c r="H401">
        <v>0</v>
      </c>
      <c r="I401">
        <v>0</v>
      </c>
      <c r="J401">
        <v>0</v>
      </c>
      <c r="K401">
        <v>0</v>
      </c>
      <c r="L401">
        <v>0</v>
      </c>
      <c r="M401">
        <v>0</v>
      </c>
      <c r="N401">
        <v>0</v>
      </c>
      <c r="O401">
        <v>1</v>
      </c>
      <c r="P401" s="3">
        <v>15000</v>
      </c>
      <c r="Q401">
        <v>15000</v>
      </c>
      <c r="R401">
        <v>1</v>
      </c>
      <c r="S401">
        <v>1</v>
      </c>
      <c r="T401">
        <v>1</v>
      </c>
      <c r="U401">
        <v>0</v>
      </c>
      <c r="V401">
        <v>122500</v>
      </c>
      <c r="W401" s="3">
        <v>6000</v>
      </c>
      <c r="X401">
        <v>1</v>
      </c>
      <c r="Y401">
        <v>15000</v>
      </c>
    </row>
    <row r="402" spans="1:25" x14ac:dyDescent="0.3">
      <c r="A402" s="3">
        <v>130000</v>
      </c>
      <c r="B402">
        <v>0</v>
      </c>
      <c r="C402">
        <v>0</v>
      </c>
      <c r="D402">
        <v>15</v>
      </c>
      <c r="E402">
        <v>0</v>
      </c>
      <c r="F402">
        <v>0</v>
      </c>
      <c r="G402">
        <v>0</v>
      </c>
      <c r="H402">
        <v>0</v>
      </c>
      <c r="I402">
        <v>0</v>
      </c>
      <c r="J402">
        <v>0</v>
      </c>
      <c r="K402">
        <v>0</v>
      </c>
      <c r="L402">
        <v>0</v>
      </c>
      <c r="M402">
        <v>0</v>
      </c>
      <c r="N402">
        <v>0</v>
      </c>
      <c r="O402">
        <v>1</v>
      </c>
      <c r="P402" s="3">
        <v>10000</v>
      </c>
      <c r="Q402">
        <v>10000</v>
      </c>
      <c r="R402">
        <v>1</v>
      </c>
      <c r="S402">
        <v>1</v>
      </c>
      <c r="T402">
        <v>1</v>
      </c>
      <c r="U402">
        <v>0</v>
      </c>
      <c r="V402">
        <v>160000</v>
      </c>
      <c r="W402" s="3">
        <v>3333.333333</v>
      </c>
      <c r="X402">
        <v>1</v>
      </c>
    </row>
    <row r="403" spans="1:25" x14ac:dyDescent="0.3">
      <c r="A403" s="3">
        <v>0</v>
      </c>
      <c r="B403">
        <v>1</v>
      </c>
      <c r="C403">
        <v>0</v>
      </c>
      <c r="D403">
        <v>3</v>
      </c>
      <c r="E403">
        <v>0</v>
      </c>
      <c r="F403">
        <v>0</v>
      </c>
      <c r="G403">
        <v>0</v>
      </c>
      <c r="H403">
        <v>0</v>
      </c>
      <c r="I403">
        <v>0</v>
      </c>
      <c r="J403">
        <v>0</v>
      </c>
      <c r="K403">
        <v>0</v>
      </c>
      <c r="L403">
        <v>0</v>
      </c>
      <c r="M403">
        <v>0</v>
      </c>
      <c r="N403">
        <v>0</v>
      </c>
      <c r="O403">
        <v>0</v>
      </c>
      <c r="P403">
        <v>20000</v>
      </c>
      <c r="Q403">
        <v>10000</v>
      </c>
      <c r="R403">
        <v>0</v>
      </c>
      <c r="S403">
        <v>0</v>
      </c>
      <c r="T403">
        <v>1</v>
      </c>
      <c r="U403">
        <v>0</v>
      </c>
      <c r="V403">
        <v>0</v>
      </c>
      <c r="W403" s="3">
        <v>7500</v>
      </c>
      <c r="X403">
        <v>1</v>
      </c>
      <c r="Y403">
        <v>20000</v>
      </c>
    </row>
    <row r="404" spans="1:25" x14ac:dyDescent="0.3">
      <c r="A404" s="3">
        <v>25000</v>
      </c>
      <c r="B404">
        <v>0</v>
      </c>
      <c r="C404">
        <v>0</v>
      </c>
      <c r="D404">
        <v>30</v>
      </c>
      <c r="E404">
        <v>1</v>
      </c>
      <c r="F404">
        <v>0</v>
      </c>
      <c r="G404">
        <v>0</v>
      </c>
      <c r="H404">
        <v>0</v>
      </c>
      <c r="I404">
        <v>0</v>
      </c>
      <c r="J404">
        <v>0</v>
      </c>
      <c r="K404">
        <v>0</v>
      </c>
      <c r="L404">
        <v>0</v>
      </c>
      <c r="M404">
        <v>0</v>
      </c>
      <c r="N404">
        <v>1</v>
      </c>
      <c r="O404">
        <v>0</v>
      </c>
      <c r="P404" s="3">
        <v>30000</v>
      </c>
      <c r="Q404">
        <v>5000</v>
      </c>
      <c r="R404">
        <v>0</v>
      </c>
      <c r="S404">
        <v>0</v>
      </c>
      <c r="T404">
        <v>1</v>
      </c>
      <c r="U404">
        <v>0</v>
      </c>
      <c r="V404">
        <v>0</v>
      </c>
      <c r="W404" s="3">
        <v>9090.9090909999995</v>
      </c>
      <c r="X404">
        <v>1</v>
      </c>
      <c r="Y404">
        <v>30000</v>
      </c>
    </row>
    <row r="405" spans="1:25" x14ac:dyDescent="0.3">
      <c r="A405" s="3">
        <v>0</v>
      </c>
      <c r="B405">
        <v>1</v>
      </c>
      <c r="C405">
        <v>0</v>
      </c>
      <c r="D405">
        <v>30</v>
      </c>
      <c r="E405">
        <v>1</v>
      </c>
      <c r="F405">
        <v>0</v>
      </c>
      <c r="G405">
        <v>0</v>
      </c>
      <c r="H405">
        <v>0</v>
      </c>
      <c r="I405">
        <v>0</v>
      </c>
      <c r="J405">
        <v>0</v>
      </c>
      <c r="K405">
        <v>0</v>
      </c>
      <c r="L405">
        <v>0</v>
      </c>
      <c r="M405">
        <v>0</v>
      </c>
      <c r="N405">
        <v>1</v>
      </c>
      <c r="O405">
        <v>1</v>
      </c>
      <c r="P405">
        <v>60000</v>
      </c>
      <c r="Q405">
        <v>10000</v>
      </c>
      <c r="R405">
        <v>0</v>
      </c>
      <c r="S405">
        <v>0</v>
      </c>
      <c r="T405">
        <v>1</v>
      </c>
      <c r="U405">
        <v>0</v>
      </c>
      <c r="V405">
        <v>0</v>
      </c>
      <c r="W405" s="3">
        <v>25000</v>
      </c>
      <c r="X405">
        <v>1</v>
      </c>
      <c r="Y405">
        <v>60000</v>
      </c>
    </row>
    <row r="406" spans="1:25" x14ac:dyDescent="0.3">
      <c r="A406" s="3">
        <v>0</v>
      </c>
      <c r="B406">
        <v>1</v>
      </c>
      <c r="C406">
        <v>0</v>
      </c>
      <c r="D406">
        <v>25</v>
      </c>
      <c r="E406">
        <v>1</v>
      </c>
      <c r="F406">
        <v>0</v>
      </c>
      <c r="G406">
        <v>0</v>
      </c>
      <c r="H406">
        <v>0</v>
      </c>
      <c r="I406">
        <v>0</v>
      </c>
      <c r="J406">
        <v>0</v>
      </c>
      <c r="K406">
        <v>0</v>
      </c>
      <c r="L406">
        <v>0</v>
      </c>
      <c r="M406">
        <v>0</v>
      </c>
      <c r="N406">
        <v>1</v>
      </c>
      <c r="O406">
        <v>1</v>
      </c>
      <c r="P406">
        <v>50000</v>
      </c>
      <c r="Q406">
        <v>10000</v>
      </c>
      <c r="R406">
        <v>0</v>
      </c>
      <c r="S406">
        <v>0</v>
      </c>
      <c r="T406">
        <v>1</v>
      </c>
      <c r="U406">
        <v>0</v>
      </c>
      <c r="V406">
        <v>170000</v>
      </c>
      <c r="W406" s="3">
        <v>7500</v>
      </c>
      <c r="X406">
        <v>1</v>
      </c>
      <c r="Y406">
        <v>50000</v>
      </c>
    </row>
    <row r="407" spans="1:25" x14ac:dyDescent="0.3">
      <c r="A407" s="3">
        <v>50000</v>
      </c>
      <c r="B407">
        <v>1</v>
      </c>
      <c r="C407">
        <v>0</v>
      </c>
      <c r="D407">
        <v>20</v>
      </c>
      <c r="E407">
        <v>0</v>
      </c>
      <c r="F407">
        <v>0</v>
      </c>
      <c r="G407">
        <v>0</v>
      </c>
      <c r="H407">
        <v>0</v>
      </c>
      <c r="I407">
        <v>0</v>
      </c>
      <c r="J407">
        <v>0</v>
      </c>
      <c r="K407">
        <v>0</v>
      </c>
      <c r="L407">
        <v>1</v>
      </c>
      <c r="M407">
        <v>0</v>
      </c>
      <c r="N407">
        <v>0</v>
      </c>
      <c r="O407">
        <v>0</v>
      </c>
      <c r="P407">
        <v>0</v>
      </c>
      <c r="Q407">
        <v>10000</v>
      </c>
      <c r="R407">
        <v>1</v>
      </c>
      <c r="S407">
        <v>1</v>
      </c>
      <c r="T407">
        <v>1</v>
      </c>
      <c r="U407">
        <v>0</v>
      </c>
      <c r="V407">
        <v>50000</v>
      </c>
      <c r="W407" s="3">
        <v>-20833.333330000001</v>
      </c>
      <c r="X407">
        <v>1</v>
      </c>
      <c r="Y407">
        <v>0</v>
      </c>
    </row>
    <row r="408" spans="1:25" x14ac:dyDescent="0.3">
      <c r="A408" s="3">
        <v>40000</v>
      </c>
      <c r="B408">
        <v>1</v>
      </c>
      <c r="C408">
        <v>0</v>
      </c>
      <c r="D408">
        <v>10</v>
      </c>
      <c r="E408">
        <v>1</v>
      </c>
      <c r="F408">
        <v>0</v>
      </c>
      <c r="G408">
        <v>0</v>
      </c>
      <c r="H408">
        <v>0</v>
      </c>
      <c r="I408">
        <v>1</v>
      </c>
      <c r="J408">
        <v>0</v>
      </c>
      <c r="K408">
        <v>1</v>
      </c>
      <c r="L408">
        <v>1</v>
      </c>
      <c r="M408">
        <v>0</v>
      </c>
      <c r="N408">
        <v>0</v>
      </c>
      <c r="O408">
        <v>0</v>
      </c>
      <c r="P408">
        <v>0</v>
      </c>
      <c r="Q408">
        <v>10000</v>
      </c>
      <c r="R408">
        <v>1</v>
      </c>
      <c r="S408">
        <v>1</v>
      </c>
      <c r="T408">
        <v>1</v>
      </c>
      <c r="U408">
        <v>1</v>
      </c>
      <c r="V408">
        <v>28500</v>
      </c>
      <c r="W408" s="3">
        <v>50000</v>
      </c>
      <c r="X408">
        <v>1</v>
      </c>
      <c r="Y408">
        <v>0</v>
      </c>
    </row>
    <row r="409" spans="1:25" x14ac:dyDescent="0.3">
      <c r="A409" s="3">
        <v>50000</v>
      </c>
      <c r="B409">
        <v>1</v>
      </c>
      <c r="C409">
        <v>0</v>
      </c>
      <c r="D409">
        <v>11</v>
      </c>
      <c r="E409">
        <v>1</v>
      </c>
      <c r="F409">
        <v>0</v>
      </c>
      <c r="G409">
        <v>0</v>
      </c>
      <c r="H409">
        <v>0</v>
      </c>
      <c r="I409">
        <v>1</v>
      </c>
      <c r="J409">
        <v>0</v>
      </c>
      <c r="K409">
        <v>1</v>
      </c>
      <c r="L409">
        <v>1</v>
      </c>
      <c r="M409">
        <v>1</v>
      </c>
      <c r="N409">
        <v>0</v>
      </c>
      <c r="O409">
        <v>0</v>
      </c>
      <c r="P409">
        <v>0</v>
      </c>
      <c r="Q409">
        <v>10000</v>
      </c>
      <c r="R409">
        <v>1</v>
      </c>
      <c r="S409">
        <v>1</v>
      </c>
      <c r="T409">
        <v>1</v>
      </c>
      <c r="U409">
        <v>1</v>
      </c>
      <c r="V409">
        <v>28500</v>
      </c>
      <c r="W409" s="3">
        <v>75000</v>
      </c>
      <c r="X409">
        <v>1</v>
      </c>
      <c r="Y409">
        <v>0</v>
      </c>
    </row>
    <row r="410" spans="1:25" x14ac:dyDescent="0.3">
      <c r="A410" s="3">
        <v>50000</v>
      </c>
      <c r="B410">
        <v>0</v>
      </c>
      <c r="C410">
        <v>0</v>
      </c>
      <c r="D410">
        <v>25</v>
      </c>
      <c r="E410">
        <v>0</v>
      </c>
      <c r="F410">
        <v>0</v>
      </c>
      <c r="G410">
        <v>0</v>
      </c>
      <c r="H410">
        <v>0</v>
      </c>
      <c r="I410">
        <v>1</v>
      </c>
      <c r="J410">
        <v>0</v>
      </c>
      <c r="K410">
        <v>1</v>
      </c>
      <c r="L410">
        <v>0</v>
      </c>
      <c r="M410">
        <v>0</v>
      </c>
      <c r="N410">
        <v>1</v>
      </c>
      <c r="O410">
        <v>0</v>
      </c>
      <c r="P410" s="3">
        <v>0</v>
      </c>
      <c r="Q410">
        <v>0</v>
      </c>
      <c r="R410">
        <v>0</v>
      </c>
      <c r="S410">
        <v>0</v>
      </c>
      <c r="T410">
        <v>0</v>
      </c>
      <c r="U410">
        <v>0</v>
      </c>
      <c r="V410">
        <v>0</v>
      </c>
      <c r="W410" s="3">
        <v>18000</v>
      </c>
      <c r="X410">
        <v>0</v>
      </c>
      <c r="Y410">
        <v>0</v>
      </c>
    </row>
    <row r="411" spans="1:25" x14ac:dyDescent="0.3">
      <c r="A411" s="3">
        <v>0</v>
      </c>
      <c r="B411">
        <v>1</v>
      </c>
      <c r="C411">
        <v>0</v>
      </c>
      <c r="D411">
        <v>25</v>
      </c>
      <c r="E411">
        <v>0</v>
      </c>
      <c r="F411">
        <v>0</v>
      </c>
      <c r="G411">
        <v>0</v>
      </c>
      <c r="H411">
        <v>0</v>
      </c>
      <c r="I411">
        <v>0</v>
      </c>
      <c r="J411">
        <v>0</v>
      </c>
      <c r="K411">
        <v>0</v>
      </c>
      <c r="L411">
        <v>0</v>
      </c>
      <c r="M411">
        <v>0</v>
      </c>
      <c r="N411">
        <v>1</v>
      </c>
      <c r="O411">
        <v>0</v>
      </c>
      <c r="P411">
        <v>20000</v>
      </c>
      <c r="Q411">
        <v>10000</v>
      </c>
      <c r="R411">
        <v>0</v>
      </c>
      <c r="S411">
        <v>0</v>
      </c>
      <c r="T411">
        <v>1</v>
      </c>
      <c r="U411">
        <v>0</v>
      </c>
      <c r="V411">
        <v>0</v>
      </c>
      <c r="W411" s="3">
        <v>18181.818179999998</v>
      </c>
      <c r="X411">
        <v>1</v>
      </c>
      <c r="Y411">
        <v>20000</v>
      </c>
    </row>
    <row r="412" spans="1:25" x14ac:dyDescent="0.3">
      <c r="A412" s="3">
        <v>0</v>
      </c>
      <c r="B412">
        <v>1</v>
      </c>
      <c r="C412">
        <v>1</v>
      </c>
      <c r="D412">
        <v>30</v>
      </c>
      <c r="E412">
        <v>1</v>
      </c>
      <c r="F412">
        <v>0</v>
      </c>
      <c r="G412">
        <v>0</v>
      </c>
      <c r="H412">
        <v>0</v>
      </c>
      <c r="I412">
        <v>0</v>
      </c>
      <c r="J412">
        <v>1</v>
      </c>
      <c r="K412">
        <v>0</v>
      </c>
      <c r="L412">
        <v>0</v>
      </c>
      <c r="M412">
        <v>0</v>
      </c>
      <c r="N412">
        <v>1</v>
      </c>
      <c r="O412">
        <v>0</v>
      </c>
      <c r="P412">
        <v>30000</v>
      </c>
      <c r="Q412">
        <v>10000</v>
      </c>
      <c r="R412">
        <v>0</v>
      </c>
      <c r="S412">
        <v>0</v>
      </c>
      <c r="T412">
        <v>1</v>
      </c>
      <c r="U412">
        <v>0</v>
      </c>
      <c r="V412">
        <v>0</v>
      </c>
      <c r="W412" s="3">
        <v>10683.760679999999</v>
      </c>
      <c r="X412">
        <v>1</v>
      </c>
      <c r="Y412">
        <v>30000</v>
      </c>
    </row>
    <row r="413" spans="1:25" x14ac:dyDescent="0.3">
      <c r="A413" s="3">
        <v>150000</v>
      </c>
      <c r="B413">
        <v>0</v>
      </c>
      <c r="C413">
        <v>0</v>
      </c>
      <c r="D413">
        <v>10</v>
      </c>
      <c r="E413">
        <v>1</v>
      </c>
      <c r="F413">
        <v>0</v>
      </c>
      <c r="G413">
        <v>0</v>
      </c>
      <c r="H413">
        <v>0</v>
      </c>
      <c r="I413">
        <v>0</v>
      </c>
      <c r="J413">
        <v>0</v>
      </c>
      <c r="K413">
        <v>0</v>
      </c>
      <c r="L413">
        <v>0</v>
      </c>
      <c r="M413">
        <v>1</v>
      </c>
      <c r="N413">
        <v>1</v>
      </c>
      <c r="O413">
        <v>1</v>
      </c>
      <c r="P413" s="3">
        <v>80000</v>
      </c>
      <c r="Q413">
        <v>10000</v>
      </c>
      <c r="R413">
        <v>0</v>
      </c>
      <c r="S413">
        <v>0</v>
      </c>
      <c r="T413">
        <v>1</v>
      </c>
      <c r="U413">
        <v>0</v>
      </c>
      <c r="V413">
        <v>160000</v>
      </c>
      <c r="W413" s="3">
        <v>13636.36364</v>
      </c>
      <c r="X413">
        <v>1</v>
      </c>
      <c r="Y413">
        <v>80000</v>
      </c>
    </row>
    <row r="414" spans="1:25" x14ac:dyDescent="0.3">
      <c r="A414" s="3">
        <v>25000</v>
      </c>
      <c r="B414">
        <v>0</v>
      </c>
      <c r="C414">
        <v>0</v>
      </c>
      <c r="D414">
        <v>9</v>
      </c>
      <c r="E414">
        <v>1</v>
      </c>
      <c r="F414">
        <v>0</v>
      </c>
      <c r="G414">
        <v>0</v>
      </c>
      <c r="H414">
        <v>0</v>
      </c>
      <c r="I414">
        <v>0</v>
      </c>
      <c r="J414">
        <v>0</v>
      </c>
      <c r="K414">
        <v>0</v>
      </c>
      <c r="L414">
        <v>1</v>
      </c>
      <c r="M414">
        <v>0</v>
      </c>
      <c r="N414">
        <v>0</v>
      </c>
      <c r="O414">
        <v>1</v>
      </c>
      <c r="P414" s="3">
        <v>20000</v>
      </c>
      <c r="Q414">
        <v>1000</v>
      </c>
      <c r="R414">
        <v>1</v>
      </c>
      <c r="S414">
        <v>1</v>
      </c>
      <c r="T414">
        <v>1</v>
      </c>
      <c r="U414">
        <v>0</v>
      </c>
      <c r="V414">
        <v>19000</v>
      </c>
      <c r="W414" s="3">
        <v>5882.3529410000001</v>
      </c>
      <c r="X414">
        <v>1</v>
      </c>
      <c r="Y414">
        <v>20000</v>
      </c>
    </row>
    <row r="415" spans="1:25" x14ac:dyDescent="0.3">
      <c r="A415" s="3">
        <v>0</v>
      </c>
      <c r="B415">
        <v>1</v>
      </c>
      <c r="C415">
        <v>0</v>
      </c>
      <c r="D415">
        <v>40</v>
      </c>
      <c r="E415">
        <v>0</v>
      </c>
      <c r="F415">
        <v>0</v>
      </c>
      <c r="G415">
        <v>0</v>
      </c>
      <c r="H415">
        <v>0</v>
      </c>
      <c r="I415">
        <v>0</v>
      </c>
      <c r="J415">
        <v>0</v>
      </c>
      <c r="K415">
        <v>0</v>
      </c>
      <c r="L415">
        <v>1</v>
      </c>
      <c r="M415">
        <v>1</v>
      </c>
      <c r="N415">
        <v>0</v>
      </c>
      <c r="O415">
        <v>0</v>
      </c>
      <c r="P415" s="2">
        <v>100000</v>
      </c>
      <c r="Q415">
        <v>7000</v>
      </c>
      <c r="R415">
        <v>1</v>
      </c>
      <c r="S415">
        <v>1</v>
      </c>
      <c r="T415">
        <v>1</v>
      </c>
      <c r="U415">
        <v>0</v>
      </c>
      <c r="V415">
        <v>0</v>
      </c>
      <c r="W415" s="3">
        <v>100000</v>
      </c>
      <c r="X415">
        <v>0</v>
      </c>
      <c r="Y415" s="2">
        <v>100000</v>
      </c>
    </row>
    <row r="416" spans="1:25" x14ac:dyDescent="0.3">
      <c r="A416" s="3">
        <v>0</v>
      </c>
      <c r="B416">
        <v>1</v>
      </c>
      <c r="C416">
        <v>0</v>
      </c>
      <c r="D416">
        <v>30</v>
      </c>
      <c r="E416">
        <v>0</v>
      </c>
      <c r="F416">
        <v>0</v>
      </c>
      <c r="G416">
        <v>0</v>
      </c>
      <c r="H416">
        <v>0</v>
      </c>
      <c r="I416">
        <v>0</v>
      </c>
      <c r="J416">
        <v>1</v>
      </c>
      <c r="K416">
        <v>0</v>
      </c>
      <c r="L416">
        <v>0</v>
      </c>
      <c r="M416">
        <v>1</v>
      </c>
      <c r="N416">
        <v>1</v>
      </c>
      <c r="O416">
        <v>1</v>
      </c>
      <c r="P416">
        <v>40000</v>
      </c>
      <c r="Q416">
        <v>2000</v>
      </c>
      <c r="R416">
        <v>1</v>
      </c>
      <c r="S416">
        <v>1</v>
      </c>
      <c r="T416">
        <v>1</v>
      </c>
      <c r="U416">
        <v>0</v>
      </c>
      <c r="V416">
        <v>0</v>
      </c>
      <c r="W416" s="3">
        <v>82857.142860000007</v>
      </c>
      <c r="X416">
        <v>0</v>
      </c>
      <c r="Y416">
        <v>40000</v>
      </c>
    </row>
    <row r="417" spans="1:25" x14ac:dyDescent="0.3">
      <c r="A417" s="3">
        <v>50000</v>
      </c>
      <c r="B417">
        <v>0</v>
      </c>
      <c r="C417">
        <v>0</v>
      </c>
      <c r="D417">
        <v>30</v>
      </c>
      <c r="E417">
        <v>0</v>
      </c>
      <c r="F417">
        <v>0</v>
      </c>
      <c r="G417">
        <v>0</v>
      </c>
      <c r="H417">
        <v>0</v>
      </c>
      <c r="I417">
        <v>0</v>
      </c>
      <c r="J417">
        <v>1</v>
      </c>
      <c r="K417">
        <v>0</v>
      </c>
      <c r="L417">
        <v>1</v>
      </c>
      <c r="M417">
        <v>1</v>
      </c>
      <c r="N417">
        <v>0</v>
      </c>
      <c r="O417">
        <v>1</v>
      </c>
      <c r="P417" s="3">
        <v>30000</v>
      </c>
      <c r="Q417">
        <v>2000</v>
      </c>
      <c r="R417">
        <v>1</v>
      </c>
      <c r="S417">
        <v>1</v>
      </c>
      <c r="T417">
        <v>1</v>
      </c>
      <c r="U417">
        <v>0</v>
      </c>
      <c r="V417">
        <v>0</v>
      </c>
      <c r="W417" s="3">
        <v>145000</v>
      </c>
      <c r="X417">
        <v>0</v>
      </c>
      <c r="Y417">
        <v>30000</v>
      </c>
    </row>
    <row r="418" spans="1:25" x14ac:dyDescent="0.3">
      <c r="A418" s="3">
        <v>200000</v>
      </c>
      <c r="B418">
        <v>1</v>
      </c>
      <c r="C418">
        <v>0</v>
      </c>
      <c r="D418">
        <v>5</v>
      </c>
      <c r="E418">
        <v>1</v>
      </c>
      <c r="F418">
        <v>0</v>
      </c>
      <c r="G418">
        <v>0</v>
      </c>
      <c r="H418">
        <v>0</v>
      </c>
      <c r="I418">
        <v>1</v>
      </c>
      <c r="J418">
        <v>0</v>
      </c>
      <c r="K418">
        <v>0</v>
      </c>
      <c r="L418">
        <v>1</v>
      </c>
      <c r="M418">
        <v>1</v>
      </c>
      <c r="N418">
        <v>1</v>
      </c>
      <c r="O418">
        <v>0</v>
      </c>
      <c r="P418">
        <v>45000</v>
      </c>
      <c r="Q418">
        <v>2000</v>
      </c>
      <c r="R418">
        <v>1</v>
      </c>
      <c r="S418">
        <v>1</v>
      </c>
      <c r="T418">
        <v>1</v>
      </c>
      <c r="U418">
        <v>0</v>
      </c>
      <c r="V418" s="2">
        <v>100000</v>
      </c>
      <c r="W418" s="3">
        <v>50000</v>
      </c>
      <c r="X418">
        <v>0</v>
      </c>
      <c r="Y418">
        <v>45000</v>
      </c>
    </row>
    <row r="419" spans="1:25" x14ac:dyDescent="0.3">
      <c r="A419" s="3">
        <v>0</v>
      </c>
      <c r="B419">
        <v>1</v>
      </c>
      <c r="C419">
        <v>0</v>
      </c>
      <c r="D419">
        <v>40</v>
      </c>
      <c r="E419">
        <v>0</v>
      </c>
      <c r="F419">
        <v>0</v>
      </c>
      <c r="G419">
        <v>0</v>
      </c>
      <c r="H419">
        <v>0</v>
      </c>
      <c r="I419">
        <v>0</v>
      </c>
      <c r="J419">
        <v>0</v>
      </c>
      <c r="K419">
        <v>0</v>
      </c>
      <c r="L419">
        <v>1</v>
      </c>
      <c r="M419">
        <v>1</v>
      </c>
      <c r="N419">
        <v>0</v>
      </c>
      <c r="O419">
        <v>0</v>
      </c>
      <c r="P419">
        <v>80000</v>
      </c>
      <c r="Q419">
        <v>5000</v>
      </c>
      <c r="R419">
        <v>1</v>
      </c>
      <c r="S419">
        <v>1</v>
      </c>
      <c r="T419">
        <v>1</v>
      </c>
      <c r="U419">
        <v>0</v>
      </c>
      <c r="V419">
        <v>0</v>
      </c>
      <c r="W419" s="3">
        <v>66666.666670000006</v>
      </c>
      <c r="X419">
        <v>0</v>
      </c>
      <c r="Y419">
        <v>80000</v>
      </c>
    </row>
    <row r="420" spans="1:25" x14ac:dyDescent="0.3">
      <c r="A420" s="3">
        <v>0</v>
      </c>
      <c r="B420">
        <v>1</v>
      </c>
      <c r="C420">
        <v>0</v>
      </c>
      <c r="D420">
        <v>40</v>
      </c>
      <c r="E420">
        <v>0</v>
      </c>
      <c r="F420">
        <v>0</v>
      </c>
      <c r="G420">
        <v>0</v>
      </c>
      <c r="H420">
        <v>0</v>
      </c>
      <c r="I420">
        <v>0</v>
      </c>
      <c r="J420">
        <v>0</v>
      </c>
      <c r="K420">
        <v>0</v>
      </c>
      <c r="L420">
        <v>1</v>
      </c>
      <c r="M420">
        <v>1</v>
      </c>
      <c r="N420">
        <v>0</v>
      </c>
      <c r="O420">
        <v>1</v>
      </c>
      <c r="P420">
        <v>80000</v>
      </c>
      <c r="Q420">
        <v>5000</v>
      </c>
      <c r="R420">
        <v>1</v>
      </c>
      <c r="S420">
        <v>1</v>
      </c>
      <c r="T420">
        <v>1</v>
      </c>
      <c r="U420">
        <v>0</v>
      </c>
      <c r="V420">
        <v>0</v>
      </c>
      <c r="W420" s="3">
        <v>100000</v>
      </c>
      <c r="X420">
        <v>0</v>
      </c>
      <c r="Y420">
        <v>80000</v>
      </c>
    </row>
    <row r="421" spans="1:25" x14ac:dyDescent="0.3">
      <c r="A421" s="3">
        <v>0</v>
      </c>
      <c r="B421">
        <v>1</v>
      </c>
      <c r="C421">
        <v>0</v>
      </c>
      <c r="D421">
        <v>20</v>
      </c>
      <c r="E421">
        <v>0</v>
      </c>
      <c r="F421">
        <v>0</v>
      </c>
      <c r="G421">
        <v>0</v>
      </c>
      <c r="H421">
        <v>0</v>
      </c>
      <c r="I421">
        <v>0</v>
      </c>
      <c r="J421">
        <v>0</v>
      </c>
      <c r="K421">
        <v>0</v>
      </c>
      <c r="L421">
        <v>1</v>
      </c>
      <c r="M421">
        <v>1</v>
      </c>
      <c r="N421">
        <v>0</v>
      </c>
      <c r="O421">
        <v>0</v>
      </c>
      <c r="P421">
        <v>60000</v>
      </c>
      <c r="Q421">
        <v>6000</v>
      </c>
      <c r="R421">
        <v>1</v>
      </c>
      <c r="S421">
        <v>1</v>
      </c>
      <c r="T421">
        <v>1</v>
      </c>
      <c r="U421">
        <v>0</v>
      </c>
      <c r="V421">
        <v>0</v>
      </c>
      <c r="W421" s="3">
        <v>136363.63639999999</v>
      </c>
      <c r="X421">
        <v>0</v>
      </c>
      <c r="Y421">
        <v>60000</v>
      </c>
    </row>
    <row r="422" spans="1:25" x14ac:dyDescent="0.3">
      <c r="A422" s="3">
        <v>0</v>
      </c>
      <c r="B422">
        <v>1</v>
      </c>
      <c r="C422">
        <v>0</v>
      </c>
      <c r="D422">
        <v>30</v>
      </c>
      <c r="E422">
        <v>0</v>
      </c>
      <c r="F422">
        <v>0</v>
      </c>
      <c r="G422">
        <v>0</v>
      </c>
      <c r="H422">
        <v>0</v>
      </c>
      <c r="I422">
        <v>0</v>
      </c>
      <c r="J422">
        <v>0</v>
      </c>
      <c r="K422">
        <v>0</v>
      </c>
      <c r="L422">
        <v>0</v>
      </c>
      <c r="M422">
        <v>1</v>
      </c>
      <c r="N422">
        <v>0</v>
      </c>
      <c r="O422">
        <v>1</v>
      </c>
      <c r="P422">
        <v>25000</v>
      </c>
      <c r="Q422">
        <v>1000</v>
      </c>
      <c r="R422">
        <v>1</v>
      </c>
      <c r="S422">
        <v>1</v>
      </c>
      <c r="T422">
        <v>1</v>
      </c>
      <c r="U422">
        <v>0</v>
      </c>
      <c r="V422">
        <v>0</v>
      </c>
      <c r="W422" s="3">
        <v>-5714.2857139999996</v>
      </c>
      <c r="X422">
        <v>0</v>
      </c>
      <c r="Y422">
        <v>25000</v>
      </c>
    </row>
    <row r="423" spans="1:25" x14ac:dyDescent="0.3">
      <c r="A423" s="3">
        <v>0</v>
      </c>
      <c r="B423">
        <v>1</v>
      </c>
      <c r="C423">
        <v>0</v>
      </c>
      <c r="D423">
        <v>32</v>
      </c>
      <c r="E423">
        <v>0</v>
      </c>
      <c r="F423">
        <v>0</v>
      </c>
      <c r="G423">
        <v>0</v>
      </c>
      <c r="H423">
        <v>0</v>
      </c>
      <c r="I423">
        <v>0</v>
      </c>
      <c r="J423">
        <v>1</v>
      </c>
      <c r="K423">
        <v>0</v>
      </c>
      <c r="L423">
        <v>0</v>
      </c>
      <c r="M423">
        <v>1</v>
      </c>
      <c r="N423">
        <v>0</v>
      </c>
      <c r="O423">
        <v>1</v>
      </c>
      <c r="P423">
        <v>35000</v>
      </c>
      <c r="Q423">
        <v>2000</v>
      </c>
      <c r="R423">
        <v>1</v>
      </c>
      <c r="S423">
        <v>1</v>
      </c>
      <c r="T423">
        <v>1</v>
      </c>
      <c r="U423">
        <v>0</v>
      </c>
      <c r="V423">
        <v>0</v>
      </c>
      <c r="W423" s="3">
        <v>111111.11109999999</v>
      </c>
      <c r="X423">
        <v>0</v>
      </c>
      <c r="Y423">
        <v>35000</v>
      </c>
    </row>
    <row r="424" spans="1:25" x14ac:dyDescent="0.3">
      <c r="A424" s="3">
        <v>0</v>
      </c>
      <c r="B424">
        <v>1</v>
      </c>
      <c r="C424">
        <v>0</v>
      </c>
      <c r="D424">
        <v>0</v>
      </c>
      <c r="E424">
        <v>0</v>
      </c>
      <c r="F424">
        <v>0</v>
      </c>
      <c r="G424">
        <v>0</v>
      </c>
      <c r="H424">
        <v>0</v>
      </c>
      <c r="I424">
        <v>0</v>
      </c>
      <c r="J424">
        <v>0</v>
      </c>
      <c r="K424">
        <v>0</v>
      </c>
      <c r="L424">
        <v>1</v>
      </c>
      <c r="M424">
        <v>0</v>
      </c>
      <c r="N424">
        <v>0</v>
      </c>
      <c r="O424">
        <v>0</v>
      </c>
      <c r="P424">
        <v>75000</v>
      </c>
      <c r="Q424">
        <v>2000</v>
      </c>
      <c r="R424">
        <v>1</v>
      </c>
      <c r="S424">
        <v>1</v>
      </c>
      <c r="T424">
        <v>1</v>
      </c>
      <c r="U424">
        <v>0</v>
      </c>
      <c r="V424">
        <v>0</v>
      </c>
      <c r="W424" s="3">
        <v>100000</v>
      </c>
      <c r="X424">
        <v>0</v>
      </c>
      <c r="Y424">
        <v>75000</v>
      </c>
    </row>
    <row r="425" spans="1:25" x14ac:dyDescent="0.3">
      <c r="A425" s="3">
        <v>0</v>
      </c>
      <c r="B425">
        <v>1</v>
      </c>
      <c r="C425">
        <v>0</v>
      </c>
      <c r="D425">
        <v>25</v>
      </c>
      <c r="E425">
        <v>0</v>
      </c>
      <c r="F425">
        <v>0</v>
      </c>
      <c r="G425">
        <v>0</v>
      </c>
      <c r="H425">
        <v>0</v>
      </c>
      <c r="I425">
        <v>0</v>
      </c>
      <c r="J425">
        <v>0</v>
      </c>
      <c r="K425">
        <v>1</v>
      </c>
      <c r="L425">
        <v>1</v>
      </c>
      <c r="M425">
        <v>1</v>
      </c>
      <c r="N425">
        <v>0</v>
      </c>
      <c r="O425">
        <v>0</v>
      </c>
      <c r="P425">
        <v>50000</v>
      </c>
      <c r="Q425">
        <v>5000</v>
      </c>
      <c r="R425">
        <v>1</v>
      </c>
      <c r="S425">
        <v>1</v>
      </c>
      <c r="T425">
        <v>1</v>
      </c>
      <c r="U425">
        <v>1</v>
      </c>
      <c r="V425">
        <v>0</v>
      </c>
      <c r="W425" s="3">
        <v>136363.63639999999</v>
      </c>
      <c r="X425">
        <v>0</v>
      </c>
      <c r="Y425">
        <v>50000</v>
      </c>
    </row>
    <row r="426" spans="1:25" x14ac:dyDescent="0.3">
      <c r="A426" s="3">
        <v>0</v>
      </c>
      <c r="B426">
        <v>1</v>
      </c>
      <c r="C426">
        <v>0</v>
      </c>
      <c r="D426">
        <v>15</v>
      </c>
      <c r="E426">
        <v>0</v>
      </c>
      <c r="F426">
        <v>1</v>
      </c>
      <c r="G426">
        <v>0</v>
      </c>
      <c r="H426">
        <v>0</v>
      </c>
      <c r="I426">
        <v>0</v>
      </c>
      <c r="J426">
        <v>1</v>
      </c>
      <c r="K426">
        <v>0</v>
      </c>
      <c r="L426">
        <v>0</v>
      </c>
      <c r="M426">
        <v>1</v>
      </c>
      <c r="N426">
        <v>0</v>
      </c>
      <c r="O426">
        <v>1</v>
      </c>
      <c r="P426">
        <v>0</v>
      </c>
      <c r="Q426">
        <v>2000</v>
      </c>
      <c r="R426">
        <v>1</v>
      </c>
      <c r="S426">
        <v>1</v>
      </c>
      <c r="T426">
        <v>1</v>
      </c>
      <c r="U426">
        <v>0</v>
      </c>
      <c r="V426">
        <v>30000</v>
      </c>
      <c r="W426" s="3">
        <v>100000</v>
      </c>
      <c r="X426">
        <v>0</v>
      </c>
      <c r="Y426">
        <v>0</v>
      </c>
    </row>
    <row r="427" spans="1:25" x14ac:dyDescent="0.3">
      <c r="A427" s="3">
        <v>0</v>
      </c>
      <c r="B427">
        <v>1</v>
      </c>
      <c r="C427">
        <v>0</v>
      </c>
      <c r="D427">
        <v>40</v>
      </c>
      <c r="E427">
        <v>0</v>
      </c>
      <c r="F427">
        <v>0</v>
      </c>
      <c r="G427">
        <v>0</v>
      </c>
      <c r="H427">
        <v>0</v>
      </c>
      <c r="I427">
        <v>0</v>
      </c>
      <c r="J427">
        <v>0</v>
      </c>
      <c r="K427">
        <v>0</v>
      </c>
      <c r="L427">
        <v>1</v>
      </c>
      <c r="M427">
        <v>1</v>
      </c>
      <c r="N427">
        <v>0</v>
      </c>
      <c r="O427">
        <v>0</v>
      </c>
      <c r="P427">
        <v>80000</v>
      </c>
      <c r="Q427">
        <v>5000</v>
      </c>
      <c r="R427">
        <v>1</v>
      </c>
      <c r="S427">
        <v>1</v>
      </c>
      <c r="T427">
        <v>1</v>
      </c>
      <c r="U427">
        <v>0</v>
      </c>
      <c r="V427">
        <v>25000</v>
      </c>
      <c r="W427" s="3">
        <v>100000</v>
      </c>
      <c r="X427">
        <v>0</v>
      </c>
      <c r="Y427">
        <v>80000</v>
      </c>
    </row>
    <row r="428" spans="1:25" x14ac:dyDescent="0.3">
      <c r="A428" s="3">
        <v>0</v>
      </c>
      <c r="B428">
        <v>1</v>
      </c>
      <c r="C428">
        <v>0</v>
      </c>
      <c r="D428">
        <v>40</v>
      </c>
      <c r="E428">
        <v>0</v>
      </c>
      <c r="F428">
        <v>0</v>
      </c>
      <c r="G428">
        <v>1</v>
      </c>
      <c r="H428">
        <v>0</v>
      </c>
      <c r="I428">
        <v>0</v>
      </c>
      <c r="J428">
        <v>0</v>
      </c>
      <c r="K428">
        <v>1</v>
      </c>
      <c r="L428">
        <v>1</v>
      </c>
      <c r="M428">
        <v>1</v>
      </c>
      <c r="N428">
        <v>1</v>
      </c>
      <c r="O428">
        <v>0</v>
      </c>
      <c r="P428">
        <v>45000</v>
      </c>
      <c r="Q428">
        <v>2000</v>
      </c>
      <c r="R428">
        <v>1</v>
      </c>
      <c r="S428">
        <v>1</v>
      </c>
      <c r="T428">
        <v>1</v>
      </c>
      <c r="U428">
        <v>0</v>
      </c>
      <c r="V428">
        <v>0</v>
      </c>
      <c r="W428" s="3">
        <v>25000</v>
      </c>
      <c r="X428">
        <v>0</v>
      </c>
      <c r="Y428">
        <v>45000</v>
      </c>
    </row>
    <row r="429" spans="1:25" x14ac:dyDescent="0.3">
      <c r="A429" s="3">
        <v>0</v>
      </c>
      <c r="B429">
        <v>1</v>
      </c>
      <c r="C429">
        <v>0</v>
      </c>
      <c r="D429">
        <v>15</v>
      </c>
      <c r="E429">
        <v>0</v>
      </c>
      <c r="F429">
        <v>0</v>
      </c>
      <c r="G429">
        <v>0</v>
      </c>
      <c r="H429">
        <v>0</v>
      </c>
      <c r="I429">
        <v>0</v>
      </c>
      <c r="J429">
        <v>0</v>
      </c>
      <c r="K429">
        <v>0</v>
      </c>
      <c r="L429">
        <v>1</v>
      </c>
      <c r="M429">
        <v>0</v>
      </c>
      <c r="N429">
        <v>0</v>
      </c>
      <c r="O429">
        <v>0</v>
      </c>
      <c r="P429">
        <v>45000</v>
      </c>
      <c r="Q429">
        <v>1000</v>
      </c>
      <c r="R429">
        <v>1</v>
      </c>
      <c r="S429">
        <v>1</v>
      </c>
      <c r="T429">
        <v>0</v>
      </c>
      <c r="U429">
        <v>0</v>
      </c>
      <c r="V429">
        <v>0</v>
      </c>
      <c r="W429" s="3">
        <v>83333.333329999994</v>
      </c>
      <c r="X429">
        <v>0</v>
      </c>
      <c r="Y429">
        <v>45000</v>
      </c>
    </row>
    <row r="430" spans="1:25" x14ac:dyDescent="0.3">
      <c r="A430" s="3">
        <v>0</v>
      </c>
      <c r="B430">
        <v>1</v>
      </c>
      <c r="C430">
        <v>0</v>
      </c>
      <c r="D430">
        <v>15</v>
      </c>
      <c r="E430">
        <v>0</v>
      </c>
      <c r="F430">
        <v>0</v>
      </c>
      <c r="G430">
        <v>0</v>
      </c>
      <c r="H430">
        <v>0</v>
      </c>
      <c r="I430">
        <v>0</v>
      </c>
      <c r="J430">
        <v>0</v>
      </c>
      <c r="K430">
        <v>0</v>
      </c>
      <c r="L430">
        <v>1</v>
      </c>
      <c r="M430">
        <v>0</v>
      </c>
      <c r="N430">
        <v>0</v>
      </c>
      <c r="O430">
        <v>0</v>
      </c>
      <c r="P430">
        <v>35000</v>
      </c>
      <c r="Q430">
        <v>2000</v>
      </c>
      <c r="R430">
        <v>1</v>
      </c>
      <c r="S430">
        <v>1</v>
      </c>
      <c r="T430">
        <v>0</v>
      </c>
      <c r="U430">
        <v>0</v>
      </c>
      <c r="V430">
        <v>0</v>
      </c>
      <c r="W430" s="3">
        <v>36904.761899999998</v>
      </c>
      <c r="X430">
        <v>0</v>
      </c>
      <c r="Y430">
        <v>35000</v>
      </c>
    </row>
    <row r="431" spans="1:25" x14ac:dyDescent="0.3">
      <c r="A431" s="3">
        <v>0</v>
      </c>
      <c r="B431">
        <v>1</v>
      </c>
      <c r="C431">
        <v>0</v>
      </c>
      <c r="D431">
        <v>10</v>
      </c>
      <c r="E431">
        <v>0</v>
      </c>
      <c r="F431">
        <v>0</v>
      </c>
      <c r="G431">
        <v>0</v>
      </c>
      <c r="H431">
        <v>0</v>
      </c>
      <c r="I431">
        <v>1</v>
      </c>
      <c r="J431">
        <v>0</v>
      </c>
      <c r="K431">
        <v>0</v>
      </c>
      <c r="L431">
        <v>1</v>
      </c>
      <c r="M431">
        <v>1</v>
      </c>
      <c r="N431">
        <v>0</v>
      </c>
      <c r="O431">
        <v>0</v>
      </c>
      <c r="P431">
        <v>40000</v>
      </c>
      <c r="Q431">
        <v>8000</v>
      </c>
      <c r="R431">
        <v>1</v>
      </c>
      <c r="S431">
        <v>1</v>
      </c>
      <c r="T431">
        <v>1</v>
      </c>
      <c r="U431">
        <v>0</v>
      </c>
      <c r="V431">
        <v>0</v>
      </c>
      <c r="W431" s="3">
        <v>100000</v>
      </c>
      <c r="X431">
        <v>0</v>
      </c>
      <c r="Y431">
        <v>40000</v>
      </c>
    </row>
    <row r="432" spans="1:25" x14ac:dyDescent="0.3">
      <c r="A432" s="3">
        <v>0</v>
      </c>
      <c r="B432">
        <v>1</v>
      </c>
      <c r="C432">
        <v>0</v>
      </c>
      <c r="D432">
        <v>10</v>
      </c>
      <c r="E432">
        <v>0</v>
      </c>
      <c r="F432">
        <v>0</v>
      </c>
      <c r="G432">
        <v>0</v>
      </c>
      <c r="H432">
        <v>0</v>
      </c>
      <c r="I432">
        <v>0</v>
      </c>
      <c r="J432">
        <v>0</v>
      </c>
      <c r="K432">
        <v>0</v>
      </c>
      <c r="L432">
        <v>0</v>
      </c>
      <c r="M432">
        <v>1</v>
      </c>
      <c r="N432">
        <v>1</v>
      </c>
      <c r="O432">
        <v>0</v>
      </c>
      <c r="P432">
        <v>60000</v>
      </c>
      <c r="Q432">
        <v>9000</v>
      </c>
      <c r="R432">
        <v>1</v>
      </c>
      <c r="S432">
        <v>1</v>
      </c>
      <c r="T432">
        <v>1</v>
      </c>
      <c r="U432">
        <v>0</v>
      </c>
      <c r="V432">
        <v>0</v>
      </c>
      <c r="W432" s="3">
        <v>75000</v>
      </c>
      <c r="X432">
        <v>0</v>
      </c>
      <c r="Y432">
        <v>60000</v>
      </c>
    </row>
    <row r="433" spans="1:25" x14ac:dyDescent="0.3">
      <c r="A433" s="3">
        <v>0</v>
      </c>
      <c r="B433">
        <v>1</v>
      </c>
      <c r="C433">
        <v>0</v>
      </c>
      <c r="D433">
        <v>20</v>
      </c>
      <c r="E433">
        <v>0</v>
      </c>
      <c r="F433">
        <v>1</v>
      </c>
      <c r="G433">
        <v>0</v>
      </c>
      <c r="H433">
        <v>0</v>
      </c>
      <c r="I433">
        <v>1</v>
      </c>
      <c r="J433">
        <v>0</v>
      </c>
      <c r="K433">
        <v>1</v>
      </c>
      <c r="L433">
        <v>1</v>
      </c>
      <c r="M433">
        <v>0</v>
      </c>
      <c r="N433">
        <v>0</v>
      </c>
      <c r="O433">
        <v>0</v>
      </c>
      <c r="P433">
        <v>40000</v>
      </c>
      <c r="Q433">
        <v>10000</v>
      </c>
      <c r="R433">
        <v>1</v>
      </c>
      <c r="S433">
        <v>1</v>
      </c>
      <c r="T433">
        <v>1</v>
      </c>
      <c r="U433">
        <v>0</v>
      </c>
      <c r="V433">
        <v>75000</v>
      </c>
      <c r="W433" s="3">
        <v>70093.457939999993</v>
      </c>
      <c r="X433">
        <v>0</v>
      </c>
      <c r="Y433">
        <v>40000</v>
      </c>
    </row>
    <row r="434" spans="1:25" x14ac:dyDescent="0.3">
      <c r="A434" s="3">
        <v>0</v>
      </c>
      <c r="B434">
        <v>1</v>
      </c>
      <c r="C434">
        <v>0</v>
      </c>
      <c r="D434">
        <v>30</v>
      </c>
      <c r="E434">
        <v>0</v>
      </c>
      <c r="F434">
        <v>0</v>
      </c>
      <c r="G434">
        <v>0</v>
      </c>
      <c r="H434">
        <v>0</v>
      </c>
      <c r="I434">
        <v>1</v>
      </c>
      <c r="J434">
        <v>0</v>
      </c>
      <c r="K434">
        <v>0</v>
      </c>
      <c r="L434">
        <v>1</v>
      </c>
      <c r="M434">
        <v>1</v>
      </c>
      <c r="N434">
        <v>1</v>
      </c>
      <c r="O434">
        <v>0</v>
      </c>
      <c r="P434">
        <v>75000</v>
      </c>
      <c r="Q434">
        <v>10000</v>
      </c>
      <c r="R434">
        <v>1</v>
      </c>
      <c r="S434">
        <v>1</v>
      </c>
      <c r="T434">
        <v>1</v>
      </c>
      <c r="U434">
        <v>0</v>
      </c>
      <c r="V434">
        <v>40000</v>
      </c>
      <c r="W434" s="3">
        <v>83333.333329999994</v>
      </c>
      <c r="X434">
        <v>0</v>
      </c>
      <c r="Y434">
        <v>75000</v>
      </c>
    </row>
    <row r="435" spans="1:25" x14ac:dyDescent="0.3">
      <c r="A435" s="3">
        <v>0</v>
      </c>
      <c r="B435">
        <v>1</v>
      </c>
      <c r="C435">
        <v>0</v>
      </c>
      <c r="D435">
        <v>20</v>
      </c>
      <c r="E435">
        <v>0</v>
      </c>
      <c r="F435">
        <v>0</v>
      </c>
      <c r="G435">
        <v>0</v>
      </c>
      <c r="H435">
        <v>0</v>
      </c>
      <c r="I435">
        <v>1</v>
      </c>
      <c r="J435">
        <v>0</v>
      </c>
      <c r="K435">
        <v>0</v>
      </c>
      <c r="L435">
        <v>1</v>
      </c>
      <c r="M435">
        <v>1</v>
      </c>
      <c r="N435">
        <v>0</v>
      </c>
      <c r="O435">
        <v>0</v>
      </c>
      <c r="P435">
        <v>50000</v>
      </c>
      <c r="Q435">
        <v>1000</v>
      </c>
      <c r="R435">
        <v>1</v>
      </c>
      <c r="S435">
        <v>1</v>
      </c>
      <c r="T435">
        <v>1</v>
      </c>
      <c r="U435">
        <v>0</v>
      </c>
      <c r="V435">
        <v>0</v>
      </c>
      <c r="W435" s="3">
        <v>50000</v>
      </c>
      <c r="X435">
        <v>0</v>
      </c>
      <c r="Y435">
        <v>50000</v>
      </c>
    </row>
    <row r="436" spans="1:25" x14ac:dyDescent="0.3">
      <c r="A436" s="3">
        <v>100000</v>
      </c>
      <c r="B436">
        <v>0</v>
      </c>
      <c r="C436">
        <v>0</v>
      </c>
      <c r="D436">
        <v>10</v>
      </c>
      <c r="E436">
        <v>0</v>
      </c>
      <c r="F436">
        <v>0</v>
      </c>
      <c r="G436">
        <v>0</v>
      </c>
      <c r="H436">
        <v>0</v>
      </c>
      <c r="I436">
        <v>1</v>
      </c>
      <c r="J436">
        <v>0</v>
      </c>
      <c r="K436">
        <v>0</v>
      </c>
      <c r="L436">
        <v>1</v>
      </c>
      <c r="M436">
        <v>1</v>
      </c>
      <c r="N436">
        <v>1</v>
      </c>
      <c r="O436">
        <v>0</v>
      </c>
      <c r="P436" s="3">
        <v>30000</v>
      </c>
      <c r="Q436">
        <v>1000</v>
      </c>
      <c r="R436">
        <v>1</v>
      </c>
      <c r="S436">
        <v>1</v>
      </c>
      <c r="T436">
        <v>1</v>
      </c>
      <c r="U436">
        <v>0</v>
      </c>
      <c r="V436">
        <v>0</v>
      </c>
      <c r="W436" s="3">
        <v>50000</v>
      </c>
      <c r="X436">
        <v>0</v>
      </c>
      <c r="Y436">
        <v>30000</v>
      </c>
    </row>
    <row r="437" spans="1:25" x14ac:dyDescent="0.3">
      <c r="A437" s="3">
        <v>0</v>
      </c>
      <c r="B437">
        <v>1</v>
      </c>
      <c r="C437">
        <v>0</v>
      </c>
      <c r="D437">
        <v>0</v>
      </c>
      <c r="E437">
        <v>0</v>
      </c>
      <c r="F437">
        <v>0</v>
      </c>
      <c r="G437">
        <v>0</v>
      </c>
      <c r="H437">
        <v>0</v>
      </c>
      <c r="I437">
        <v>1</v>
      </c>
      <c r="J437">
        <v>0</v>
      </c>
      <c r="K437">
        <v>0</v>
      </c>
      <c r="L437">
        <v>1</v>
      </c>
      <c r="M437">
        <v>1</v>
      </c>
      <c r="N437">
        <v>0</v>
      </c>
      <c r="O437">
        <v>0</v>
      </c>
      <c r="P437">
        <v>50000</v>
      </c>
      <c r="Q437">
        <v>800</v>
      </c>
      <c r="R437">
        <v>1</v>
      </c>
      <c r="S437">
        <v>1</v>
      </c>
      <c r="T437">
        <v>1</v>
      </c>
      <c r="U437">
        <v>0</v>
      </c>
      <c r="V437">
        <v>0</v>
      </c>
      <c r="W437" s="3">
        <v>150000</v>
      </c>
      <c r="X437">
        <v>0</v>
      </c>
      <c r="Y437">
        <v>50000</v>
      </c>
    </row>
    <row r="438" spans="1:25" x14ac:dyDescent="0.3">
      <c r="A438" s="3">
        <v>0</v>
      </c>
      <c r="B438">
        <v>1</v>
      </c>
      <c r="C438">
        <v>0</v>
      </c>
      <c r="D438">
        <v>20</v>
      </c>
      <c r="E438">
        <v>0</v>
      </c>
      <c r="F438">
        <v>0</v>
      </c>
      <c r="G438">
        <v>0</v>
      </c>
      <c r="H438">
        <v>0</v>
      </c>
      <c r="I438">
        <v>0</v>
      </c>
      <c r="J438">
        <v>0</v>
      </c>
      <c r="K438">
        <v>0</v>
      </c>
      <c r="L438">
        <v>1</v>
      </c>
      <c r="M438">
        <v>1</v>
      </c>
      <c r="N438">
        <v>0</v>
      </c>
      <c r="O438">
        <v>0</v>
      </c>
      <c r="P438">
        <v>60000</v>
      </c>
      <c r="Q438">
        <v>10000</v>
      </c>
      <c r="R438">
        <v>1</v>
      </c>
      <c r="S438">
        <v>1</v>
      </c>
      <c r="T438">
        <v>1</v>
      </c>
      <c r="U438">
        <v>0</v>
      </c>
      <c r="V438">
        <v>0</v>
      </c>
      <c r="W438" s="3">
        <v>100000</v>
      </c>
      <c r="X438">
        <v>0</v>
      </c>
      <c r="Y438">
        <v>60000</v>
      </c>
    </row>
    <row r="439" spans="1:25" x14ac:dyDescent="0.3">
      <c r="A439" s="3">
        <v>0</v>
      </c>
      <c r="B439">
        <v>1</v>
      </c>
      <c r="C439">
        <v>0</v>
      </c>
      <c r="D439">
        <v>10</v>
      </c>
      <c r="E439">
        <v>0</v>
      </c>
      <c r="F439">
        <v>0</v>
      </c>
      <c r="G439">
        <v>0</v>
      </c>
      <c r="H439">
        <v>0</v>
      </c>
      <c r="I439">
        <v>1</v>
      </c>
      <c r="J439">
        <v>1</v>
      </c>
      <c r="K439">
        <v>0</v>
      </c>
      <c r="L439">
        <v>1</v>
      </c>
      <c r="M439">
        <v>1</v>
      </c>
      <c r="N439">
        <v>0</v>
      </c>
      <c r="O439">
        <v>0</v>
      </c>
      <c r="P439">
        <v>30000</v>
      </c>
      <c r="Q439">
        <v>10000</v>
      </c>
      <c r="R439">
        <v>1</v>
      </c>
      <c r="S439">
        <v>1</v>
      </c>
      <c r="T439">
        <v>1</v>
      </c>
      <c r="U439">
        <v>0</v>
      </c>
      <c r="V439">
        <v>0</v>
      </c>
      <c r="W439" s="3">
        <v>100000</v>
      </c>
      <c r="X439">
        <v>0</v>
      </c>
      <c r="Y439">
        <v>30000</v>
      </c>
    </row>
    <row r="440" spans="1:25" x14ac:dyDescent="0.3">
      <c r="A440" s="3">
        <v>0</v>
      </c>
      <c r="B440">
        <v>1</v>
      </c>
      <c r="C440">
        <v>0</v>
      </c>
      <c r="D440">
        <v>20</v>
      </c>
      <c r="E440">
        <v>0</v>
      </c>
      <c r="F440">
        <v>0</v>
      </c>
      <c r="G440">
        <v>0</v>
      </c>
      <c r="H440">
        <v>0</v>
      </c>
      <c r="I440">
        <v>1</v>
      </c>
      <c r="J440">
        <v>0</v>
      </c>
      <c r="K440">
        <v>0</v>
      </c>
      <c r="L440">
        <v>1</v>
      </c>
      <c r="M440">
        <v>1</v>
      </c>
      <c r="N440">
        <v>1</v>
      </c>
      <c r="O440">
        <v>0</v>
      </c>
      <c r="P440">
        <v>60000</v>
      </c>
      <c r="Q440">
        <v>7000</v>
      </c>
      <c r="R440">
        <v>1</v>
      </c>
      <c r="S440">
        <v>1</v>
      </c>
      <c r="T440">
        <v>1</v>
      </c>
      <c r="U440">
        <v>0</v>
      </c>
      <c r="V440">
        <v>0</v>
      </c>
      <c r="W440" s="3">
        <v>68493.150680000006</v>
      </c>
      <c r="X440">
        <v>0</v>
      </c>
      <c r="Y440">
        <v>60000</v>
      </c>
    </row>
    <row r="441" spans="1:25" x14ac:dyDescent="0.3">
      <c r="A441" s="3">
        <v>0</v>
      </c>
      <c r="B441">
        <v>1</v>
      </c>
      <c r="C441">
        <v>0</v>
      </c>
      <c r="D441">
        <v>10</v>
      </c>
      <c r="E441">
        <v>0</v>
      </c>
      <c r="F441">
        <v>0</v>
      </c>
      <c r="G441">
        <v>0</v>
      </c>
      <c r="H441">
        <v>0</v>
      </c>
      <c r="I441">
        <v>1</v>
      </c>
      <c r="J441">
        <v>0</v>
      </c>
      <c r="K441">
        <v>0</v>
      </c>
      <c r="L441">
        <v>1</v>
      </c>
      <c r="M441">
        <v>1</v>
      </c>
      <c r="N441">
        <v>0</v>
      </c>
      <c r="O441">
        <v>0</v>
      </c>
      <c r="P441">
        <v>40000</v>
      </c>
      <c r="Q441">
        <v>10000</v>
      </c>
      <c r="R441">
        <v>1</v>
      </c>
      <c r="S441">
        <v>1</v>
      </c>
      <c r="T441">
        <v>1</v>
      </c>
      <c r="U441">
        <v>0</v>
      </c>
      <c r="V441">
        <v>0</v>
      </c>
      <c r="W441" s="3">
        <v>100000</v>
      </c>
      <c r="X441">
        <v>0</v>
      </c>
      <c r="Y441">
        <v>40000</v>
      </c>
    </row>
    <row r="442" spans="1:25" x14ac:dyDescent="0.3">
      <c r="A442" s="3">
        <v>0</v>
      </c>
      <c r="B442">
        <v>1</v>
      </c>
      <c r="C442">
        <v>0</v>
      </c>
      <c r="D442">
        <v>30</v>
      </c>
      <c r="E442">
        <v>0</v>
      </c>
      <c r="F442">
        <v>0</v>
      </c>
      <c r="G442">
        <v>0</v>
      </c>
      <c r="H442">
        <v>0</v>
      </c>
      <c r="I442">
        <v>1</v>
      </c>
      <c r="J442">
        <v>0</v>
      </c>
      <c r="K442">
        <v>0</v>
      </c>
      <c r="L442">
        <v>1</v>
      </c>
      <c r="M442">
        <v>1</v>
      </c>
      <c r="N442">
        <v>1</v>
      </c>
      <c r="O442">
        <v>0</v>
      </c>
      <c r="P442">
        <v>4000</v>
      </c>
      <c r="Q442">
        <v>10000</v>
      </c>
      <c r="R442">
        <v>1</v>
      </c>
      <c r="S442">
        <v>1</v>
      </c>
      <c r="T442">
        <v>1</v>
      </c>
      <c r="U442">
        <v>0</v>
      </c>
      <c r="V442">
        <v>0</v>
      </c>
      <c r="W442" s="3">
        <v>136363.63639999999</v>
      </c>
      <c r="X442">
        <v>0</v>
      </c>
      <c r="Y442">
        <v>4000</v>
      </c>
    </row>
    <row r="443" spans="1:25" x14ac:dyDescent="0.3">
      <c r="A443" s="3">
        <v>100000</v>
      </c>
      <c r="B443">
        <v>0</v>
      </c>
      <c r="C443">
        <v>0</v>
      </c>
      <c r="D443">
        <v>40</v>
      </c>
      <c r="E443">
        <v>1</v>
      </c>
      <c r="F443">
        <v>0</v>
      </c>
      <c r="G443">
        <v>0</v>
      </c>
      <c r="H443">
        <v>0</v>
      </c>
      <c r="I443">
        <v>0</v>
      </c>
      <c r="J443">
        <v>0</v>
      </c>
      <c r="K443">
        <v>0</v>
      </c>
      <c r="L443">
        <v>0</v>
      </c>
      <c r="M443">
        <v>0</v>
      </c>
      <c r="N443">
        <v>1</v>
      </c>
      <c r="O443">
        <v>1</v>
      </c>
      <c r="P443" s="3">
        <v>60000</v>
      </c>
      <c r="Q443">
        <v>15000</v>
      </c>
      <c r="R443">
        <v>0</v>
      </c>
      <c r="S443">
        <v>0</v>
      </c>
      <c r="T443">
        <v>1</v>
      </c>
      <c r="U443">
        <v>0</v>
      </c>
      <c r="V443">
        <v>75000</v>
      </c>
      <c r="W443" s="3">
        <v>-40000</v>
      </c>
      <c r="X443">
        <v>1</v>
      </c>
      <c r="Y443">
        <v>60000</v>
      </c>
    </row>
    <row r="444" spans="1:25" x14ac:dyDescent="0.3">
      <c r="A444" s="3">
        <v>0</v>
      </c>
      <c r="B444">
        <v>1</v>
      </c>
      <c r="C444">
        <v>0</v>
      </c>
      <c r="D444">
        <v>15</v>
      </c>
      <c r="E444">
        <v>0</v>
      </c>
      <c r="F444">
        <v>0</v>
      </c>
      <c r="G444">
        <v>0</v>
      </c>
      <c r="H444">
        <v>0</v>
      </c>
      <c r="I444">
        <v>0</v>
      </c>
      <c r="J444">
        <v>0</v>
      </c>
      <c r="K444">
        <v>0</v>
      </c>
      <c r="L444">
        <v>0</v>
      </c>
      <c r="M444">
        <v>0</v>
      </c>
      <c r="N444">
        <v>1</v>
      </c>
      <c r="O444">
        <v>0</v>
      </c>
      <c r="P444">
        <v>0</v>
      </c>
      <c r="Q444">
        <v>3500</v>
      </c>
      <c r="R444">
        <v>0</v>
      </c>
      <c r="S444">
        <v>0</v>
      </c>
      <c r="T444">
        <v>1</v>
      </c>
      <c r="U444">
        <v>0</v>
      </c>
      <c r="V444">
        <v>0</v>
      </c>
      <c r="W444" s="3">
        <v>25000</v>
      </c>
      <c r="X444">
        <v>1</v>
      </c>
      <c r="Y444">
        <v>0</v>
      </c>
    </row>
    <row r="445" spans="1:25" x14ac:dyDescent="0.3">
      <c r="A445" s="3">
        <v>0</v>
      </c>
      <c r="B445">
        <v>1</v>
      </c>
      <c r="C445">
        <v>0</v>
      </c>
      <c r="D445">
        <v>20</v>
      </c>
      <c r="E445">
        <v>0</v>
      </c>
      <c r="F445">
        <v>0</v>
      </c>
      <c r="G445">
        <v>0</v>
      </c>
      <c r="H445">
        <v>0</v>
      </c>
      <c r="I445">
        <v>1</v>
      </c>
      <c r="J445">
        <v>0</v>
      </c>
      <c r="K445">
        <v>0</v>
      </c>
      <c r="L445">
        <v>1</v>
      </c>
      <c r="M445">
        <v>1</v>
      </c>
      <c r="N445">
        <v>1</v>
      </c>
      <c r="O445">
        <v>0</v>
      </c>
      <c r="P445">
        <v>40000</v>
      </c>
      <c r="Q445">
        <v>1000</v>
      </c>
      <c r="R445">
        <v>1</v>
      </c>
      <c r="S445">
        <v>1</v>
      </c>
      <c r="T445">
        <v>1</v>
      </c>
      <c r="U445">
        <v>0</v>
      </c>
      <c r="V445">
        <v>0</v>
      </c>
      <c r="W445" s="3">
        <v>83333.333329999994</v>
      </c>
      <c r="X445">
        <v>0</v>
      </c>
      <c r="Y445">
        <v>40000</v>
      </c>
    </row>
    <row r="446" spans="1:25" x14ac:dyDescent="0.3">
      <c r="A446" s="3">
        <v>0</v>
      </c>
      <c r="B446">
        <v>1</v>
      </c>
      <c r="C446">
        <v>0</v>
      </c>
      <c r="D446">
        <v>20</v>
      </c>
      <c r="E446">
        <v>0</v>
      </c>
      <c r="F446">
        <v>0</v>
      </c>
      <c r="G446">
        <v>0</v>
      </c>
      <c r="H446">
        <v>0</v>
      </c>
      <c r="I446">
        <v>1</v>
      </c>
      <c r="J446">
        <v>0</v>
      </c>
      <c r="K446">
        <v>0</v>
      </c>
      <c r="L446">
        <v>1</v>
      </c>
      <c r="M446">
        <v>1</v>
      </c>
      <c r="N446">
        <v>1</v>
      </c>
      <c r="O446">
        <v>0</v>
      </c>
      <c r="P446">
        <v>40000</v>
      </c>
      <c r="Q446">
        <v>1000</v>
      </c>
      <c r="R446">
        <v>1</v>
      </c>
      <c r="S446">
        <v>1</v>
      </c>
      <c r="T446">
        <v>1</v>
      </c>
      <c r="U446">
        <v>0</v>
      </c>
      <c r="V446">
        <v>0</v>
      </c>
      <c r="W446" s="3">
        <v>150000</v>
      </c>
      <c r="X446">
        <v>0</v>
      </c>
      <c r="Y446">
        <v>40000</v>
      </c>
    </row>
    <row r="447" spans="1:25" x14ac:dyDescent="0.3">
      <c r="A447" s="3">
        <v>0</v>
      </c>
      <c r="B447">
        <v>1</v>
      </c>
      <c r="C447">
        <v>0</v>
      </c>
      <c r="D447">
        <v>5</v>
      </c>
      <c r="E447">
        <v>0</v>
      </c>
      <c r="F447">
        <v>0</v>
      </c>
      <c r="G447">
        <v>0</v>
      </c>
      <c r="H447">
        <v>0</v>
      </c>
      <c r="I447">
        <v>1</v>
      </c>
      <c r="J447">
        <v>0</v>
      </c>
      <c r="K447">
        <v>0</v>
      </c>
      <c r="L447">
        <v>1</v>
      </c>
      <c r="M447">
        <v>1</v>
      </c>
      <c r="N447">
        <v>1</v>
      </c>
      <c r="O447">
        <v>0</v>
      </c>
      <c r="P447">
        <v>40000</v>
      </c>
      <c r="Q447">
        <v>1000</v>
      </c>
      <c r="R447">
        <v>1</v>
      </c>
      <c r="S447">
        <v>1</v>
      </c>
      <c r="T447">
        <v>1</v>
      </c>
      <c r="U447">
        <v>0</v>
      </c>
      <c r="V447">
        <v>0</v>
      </c>
      <c r="W447" s="3">
        <v>100000</v>
      </c>
      <c r="X447">
        <v>0</v>
      </c>
      <c r="Y447">
        <v>40000</v>
      </c>
    </row>
    <row r="448" spans="1:25" x14ac:dyDescent="0.3">
      <c r="A448" s="3">
        <v>0</v>
      </c>
      <c r="B448">
        <v>1</v>
      </c>
      <c r="C448">
        <v>0</v>
      </c>
      <c r="D448">
        <v>40</v>
      </c>
      <c r="E448">
        <v>0</v>
      </c>
      <c r="F448">
        <v>0</v>
      </c>
      <c r="G448">
        <v>0</v>
      </c>
      <c r="H448">
        <v>0</v>
      </c>
      <c r="I448">
        <v>0</v>
      </c>
      <c r="J448">
        <v>1</v>
      </c>
      <c r="K448">
        <v>0</v>
      </c>
      <c r="L448">
        <v>0</v>
      </c>
      <c r="M448">
        <v>1</v>
      </c>
      <c r="N448">
        <v>0</v>
      </c>
      <c r="O448">
        <v>1</v>
      </c>
      <c r="P448">
        <v>30000</v>
      </c>
      <c r="Q448">
        <v>2000</v>
      </c>
      <c r="R448">
        <v>1</v>
      </c>
      <c r="S448">
        <v>1</v>
      </c>
      <c r="T448">
        <v>1</v>
      </c>
      <c r="U448">
        <v>0</v>
      </c>
      <c r="V448">
        <v>0</v>
      </c>
      <c r="W448" s="3">
        <v>100000</v>
      </c>
      <c r="X448">
        <v>0</v>
      </c>
      <c r="Y448">
        <v>30000</v>
      </c>
    </row>
    <row r="449" spans="1:25" x14ac:dyDescent="0.3">
      <c r="A449" s="3">
        <v>100000</v>
      </c>
      <c r="B449">
        <v>1</v>
      </c>
      <c r="C449">
        <v>0</v>
      </c>
      <c r="D449">
        <v>20</v>
      </c>
      <c r="E449">
        <v>0</v>
      </c>
      <c r="F449">
        <v>0</v>
      </c>
      <c r="G449">
        <v>0</v>
      </c>
      <c r="H449">
        <v>0</v>
      </c>
      <c r="I449">
        <v>1</v>
      </c>
      <c r="J449">
        <v>0</v>
      </c>
      <c r="K449">
        <v>0</v>
      </c>
      <c r="L449">
        <v>1</v>
      </c>
      <c r="M449">
        <v>1</v>
      </c>
      <c r="N449">
        <v>1</v>
      </c>
      <c r="O449">
        <v>0</v>
      </c>
      <c r="P449">
        <v>30000</v>
      </c>
      <c r="Q449">
        <v>1000</v>
      </c>
      <c r="R449">
        <v>1</v>
      </c>
      <c r="S449">
        <v>1</v>
      </c>
      <c r="T449">
        <v>1</v>
      </c>
      <c r="U449">
        <v>0</v>
      </c>
      <c r="V449">
        <v>25000</v>
      </c>
      <c r="W449" s="3">
        <v>100000</v>
      </c>
      <c r="X449">
        <v>0</v>
      </c>
      <c r="Y449">
        <v>30000</v>
      </c>
    </row>
    <row r="450" spans="1:25" x14ac:dyDescent="0.3">
      <c r="A450" s="3">
        <v>0</v>
      </c>
      <c r="B450">
        <v>1</v>
      </c>
      <c r="C450">
        <v>0</v>
      </c>
      <c r="D450">
        <v>10</v>
      </c>
      <c r="E450">
        <v>0</v>
      </c>
      <c r="F450">
        <v>0</v>
      </c>
      <c r="G450">
        <v>0</v>
      </c>
      <c r="H450">
        <v>0</v>
      </c>
      <c r="I450">
        <v>1</v>
      </c>
      <c r="J450">
        <v>0</v>
      </c>
      <c r="K450">
        <v>0</v>
      </c>
      <c r="L450">
        <v>1</v>
      </c>
      <c r="M450">
        <v>1</v>
      </c>
      <c r="N450">
        <v>0</v>
      </c>
      <c r="O450">
        <v>0</v>
      </c>
      <c r="P450">
        <v>40000</v>
      </c>
      <c r="Q450">
        <v>8000</v>
      </c>
      <c r="R450">
        <v>1</v>
      </c>
      <c r="S450">
        <v>1</v>
      </c>
      <c r="T450">
        <v>1</v>
      </c>
      <c r="U450">
        <v>0</v>
      </c>
      <c r="V450">
        <v>0</v>
      </c>
      <c r="W450" s="3">
        <v>143884.8921</v>
      </c>
      <c r="X450">
        <v>0</v>
      </c>
    </row>
    <row r="451" spans="1:25" x14ac:dyDescent="0.3">
      <c r="A451" s="3">
        <v>0</v>
      </c>
      <c r="B451">
        <v>1</v>
      </c>
      <c r="C451">
        <v>0</v>
      </c>
      <c r="D451">
        <v>1</v>
      </c>
      <c r="E451">
        <v>0</v>
      </c>
      <c r="F451">
        <v>0</v>
      </c>
      <c r="G451">
        <v>0</v>
      </c>
      <c r="H451">
        <v>0</v>
      </c>
      <c r="I451">
        <v>0</v>
      </c>
      <c r="J451">
        <v>0</v>
      </c>
      <c r="K451">
        <v>0</v>
      </c>
      <c r="L451">
        <v>0</v>
      </c>
      <c r="M451">
        <v>1</v>
      </c>
      <c r="N451">
        <v>1</v>
      </c>
      <c r="O451">
        <v>0</v>
      </c>
      <c r="P451">
        <v>50000</v>
      </c>
      <c r="Q451">
        <v>0</v>
      </c>
      <c r="R451">
        <v>1</v>
      </c>
      <c r="S451">
        <v>1</v>
      </c>
      <c r="T451">
        <v>1</v>
      </c>
      <c r="U451">
        <v>0</v>
      </c>
      <c r="V451">
        <v>16000</v>
      </c>
      <c r="W451" s="3">
        <v>12500</v>
      </c>
      <c r="X451">
        <v>1</v>
      </c>
      <c r="Y451">
        <v>50000</v>
      </c>
    </row>
    <row r="452" spans="1:25" x14ac:dyDescent="0.3">
      <c r="A452" s="3">
        <v>0</v>
      </c>
      <c r="B452">
        <v>1</v>
      </c>
      <c r="C452">
        <v>0</v>
      </c>
      <c r="D452">
        <v>30</v>
      </c>
      <c r="E452">
        <v>0</v>
      </c>
      <c r="F452">
        <v>0</v>
      </c>
      <c r="G452">
        <v>0</v>
      </c>
      <c r="H452">
        <v>0</v>
      </c>
      <c r="I452">
        <v>0</v>
      </c>
      <c r="J452">
        <v>0</v>
      </c>
      <c r="K452">
        <v>0</v>
      </c>
      <c r="L452">
        <v>0</v>
      </c>
      <c r="M452">
        <v>0</v>
      </c>
      <c r="N452">
        <v>1</v>
      </c>
      <c r="O452">
        <v>1</v>
      </c>
      <c r="P452">
        <v>20000</v>
      </c>
      <c r="Q452">
        <v>10000</v>
      </c>
      <c r="R452">
        <v>0</v>
      </c>
      <c r="S452">
        <v>0</v>
      </c>
      <c r="T452">
        <v>0</v>
      </c>
      <c r="U452">
        <v>0</v>
      </c>
      <c r="V452">
        <v>0</v>
      </c>
      <c r="W452" s="3">
        <v>30000</v>
      </c>
      <c r="X452">
        <v>1</v>
      </c>
      <c r="Y452">
        <v>20000</v>
      </c>
    </row>
    <row r="453" spans="1:25" x14ac:dyDescent="0.3">
      <c r="A453" s="3">
        <v>0</v>
      </c>
      <c r="B453">
        <v>1</v>
      </c>
      <c r="C453">
        <v>0</v>
      </c>
      <c r="D453">
        <v>30</v>
      </c>
      <c r="E453">
        <v>1</v>
      </c>
      <c r="F453">
        <v>0</v>
      </c>
      <c r="G453">
        <v>0</v>
      </c>
      <c r="H453">
        <v>0</v>
      </c>
      <c r="I453">
        <v>0</v>
      </c>
      <c r="J453">
        <v>0</v>
      </c>
      <c r="K453">
        <v>0</v>
      </c>
      <c r="L453">
        <v>0</v>
      </c>
      <c r="M453">
        <v>0</v>
      </c>
      <c r="N453">
        <v>0</v>
      </c>
      <c r="O453">
        <v>0</v>
      </c>
      <c r="P453">
        <v>30000</v>
      </c>
      <c r="Q453">
        <v>10000</v>
      </c>
      <c r="R453">
        <v>0</v>
      </c>
      <c r="S453">
        <v>0</v>
      </c>
      <c r="T453">
        <v>1</v>
      </c>
      <c r="U453">
        <v>0</v>
      </c>
      <c r="V453">
        <v>0</v>
      </c>
      <c r="W453" s="3">
        <v>16666.666669999999</v>
      </c>
      <c r="X453">
        <v>1</v>
      </c>
      <c r="Y453">
        <v>30000</v>
      </c>
    </row>
    <row r="454" spans="1:25" x14ac:dyDescent="0.3">
      <c r="A454" s="3">
        <v>0</v>
      </c>
      <c r="B454">
        <v>1</v>
      </c>
      <c r="C454">
        <v>0</v>
      </c>
      <c r="D454">
        <v>10</v>
      </c>
      <c r="E454">
        <v>0</v>
      </c>
      <c r="F454">
        <v>0</v>
      </c>
      <c r="G454">
        <v>0</v>
      </c>
      <c r="H454">
        <v>0</v>
      </c>
      <c r="I454">
        <v>1</v>
      </c>
      <c r="J454">
        <v>0</v>
      </c>
      <c r="K454">
        <v>0</v>
      </c>
      <c r="L454">
        <v>1</v>
      </c>
      <c r="M454">
        <v>1</v>
      </c>
      <c r="N454">
        <v>0</v>
      </c>
      <c r="O454">
        <v>0</v>
      </c>
      <c r="P454">
        <v>60000</v>
      </c>
      <c r="Q454">
        <v>1000</v>
      </c>
      <c r="R454">
        <v>1</v>
      </c>
      <c r="S454">
        <v>1</v>
      </c>
      <c r="T454">
        <v>1</v>
      </c>
      <c r="U454">
        <v>0</v>
      </c>
      <c r="V454">
        <v>0</v>
      </c>
      <c r="W454" s="3">
        <v>150000</v>
      </c>
      <c r="X454">
        <v>0</v>
      </c>
      <c r="Y454">
        <v>60000</v>
      </c>
    </row>
    <row r="455" spans="1:25" x14ac:dyDescent="0.3">
      <c r="A455" s="3">
        <v>0</v>
      </c>
      <c r="B455">
        <v>1</v>
      </c>
      <c r="C455">
        <v>0</v>
      </c>
      <c r="D455">
        <v>20</v>
      </c>
      <c r="E455">
        <v>0</v>
      </c>
      <c r="F455">
        <v>0</v>
      </c>
      <c r="G455">
        <v>0</v>
      </c>
      <c r="H455">
        <v>0</v>
      </c>
      <c r="I455">
        <v>0</v>
      </c>
      <c r="J455">
        <v>0</v>
      </c>
      <c r="K455">
        <v>0</v>
      </c>
      <c r="L455">
        <v>1</v>
      </c>
      <c r="M455">
        <v>1</v>
      </c>
      <c r="N455">
        <v>1</v>
      </c>
      <c r="O455">
        <v>0</v>
      </c>
      <c r="P455" s="2">
        <v>100000</v>
      </c>
      <c r="Q455">
        <v>8000</v>
      </c>
      <c r="R455">
        <v>1</v>
      </c>
      <c r="S455">
        <v>1</v>
      </c>
      <c r="T455">
        <v>1</v>
      </c>
      <c r="U455">
        <v>0</v>
      </c>
      <c r="V455">
        <v>0</v>
      </c>
      <c r="W455" s="3">
        <v>75000</v>
      </c>
      <c r="X455">
        <v>0</v>
      </c>
    </row>
    <row r="456" spans="1:25" x14ac:dyDescent="0.3">
      <c r="A456" s="3">
        <v>0</v>
      </c>
      <c r="B456">
        <v>1</v>
      </c>
      <c r="C456">
        <v>0</v>
      </c>
      <c r="D456">
        <v>15</v>
      </c>
      <c r="E456">
        <v>0</v>
      </c>
      <c r="F456">
        <v>0</v>
      </c>
      <c r="G456">
        <v>0</v>
      </c>
      <c r="H456">
        <v>0</v>
      </c>
      <c r="I456">
        <v>0</v>
      </c>
      <c r="J456">
        <v>0</v>
      </c>
      <c r="K456">
        <v>0</v>
      </c>
      <c r="L456">
        <v>0</v>
      </c>
      <c r="M456">
        <v>1</v>
      </c>
      <c r="N456">
        <v>0</v>
      </c>
      <c r="O456">
        <v>1</v>
      </c>
      <c r="P456">
        <v>55000</v>
      </c>
      <c r="Q456">
        <v>10000</v>
      </c>
      <c r="R456">
        <v>1</v>
      </c>
      <c r="S456">
        <v>1</v>
      </c>
      <c r="T456">
        <v>1</v>
      </c>
      <c r="U456">
        <v>0</v>
      </c>
      <c r="V456">
        <v>0</v>
      </c>
      <c r="W456" s="3">
        <v>87719.298250000007</v>
      </c>
      <c r="X456">
        <v>0</v>
      </c>
      <c r="Y456">
        <v>55000</v>
      </c>
    </row>
    <row r="457" spans="1:25" x14ac:dyDescent="0.3">
      <c r="A457" s="3">
        <v>0</v>
      </c>
      <c r="B457">
        <v>1</v>
      </c>
      <c r="C457">
        <v>0</v>
      </c>
      <c r="D457">
        <v>20</v>
      </c>
      <c r="E457">
        <v>0</v>
      </c>
      <c r="F457">
        <v>0</v>
      </c>
      <c r="G457">
        <v>0</v>
      </c>
      <c r="H457">
        <v>0</v>
      </c>
      <c r="I457">
        <v>1</v>
      </c>
      <c r="J457">
        <v>1</v>
      </c>
      <c r="K457">
        <v>0</v>
      </c>
      <c r="L457">
        <v>1</v>
      </c>
      <c r="M457">
        <v>1</v>
      </c>
      <c r="N457">
        <v>0</v>
      </c>
      <c r="O457">
        <v>0</v>
      </c>
      <c r="P457">
        <v>60000</v>
      </c>
      <c r="Q457">
        <v>10000</v>
      </c>
      <c r="R457">
        <v>1</v>
      </c>
      <c r="S457">
        <v>1</v>
      </c>
      <c r="T457">
        <v>1</v>
      </c>
      <c r="U457">
        <v>0</v>
      </c>
      <c r="V457">
        <v>0</v>
      </c>
      <c r="W457" s="3">
        <v>45454.545449999998</v>
      </c>
      <c r="X457">
        <v>0</v>
      </c>
      <c r="Y457">
        <v>60000</v>
      </c>
    </row>
    <row r="458" spans="1:25" x14ac:dyDescent="0.3">
      <c r="A458" s="3">
        <v>0</v>
      </c>
      <c r="B458">
        <v>1</v>
      </c>
      <c r="C458">
        <v>0</v>
      </c>
      <c r="D458">
        <v>10</v>
      </c>
      <c r="E458">
        <v>0</v>
      </c>
      <c r="F458">
        <v>0</v>
      </c>
      <c r="G458">
        <v>0</v>
      </c>
      <c r="H458">
        <v>0</v>
      </c>
      <c r="I458">
        <v>1</v>
      </c>
      <c r="J458">
        <v>0</v>
      </c>
      <c r="K458">
        <v>0</v>
      </c>
      <c r="L458">
        <v>1</v>
      </c>
      <c r="M458">
        <v>1</v>
      </c>
      <c r="N458">
        <v>1</v>
      </c>
      <c r="O458">
        <v>0</v>
      </c>
      <c r="P458">
        <v>40000</v>
      </c>
      <c r="Q458">
        <v>10000</v>
      </c>
      <c r="R458">
        <v>1</v>
      </c>
      <c r="S458">
        <v>1</v>
      </c>
      <c r="T458">
        <v>1</v>
      </c>
      <c r="U458">
        <v>0</v>
      </c>
      <c r="V458">
        <v>0</v>
      </c>
      <c r="W458" s="3">
        <v>31250</v>
      </c>
      <c r="X458">
        <v>0</v>
      </c>
      <c r="Y458">
        <v>40000</v>
      </c>
    </row>
    <row r="459" spans="1:25" x14ac:dyDescent="0.3">
      <c r="A459" s="3">
        <v>0</v>
      </c>
      <c r="B459">
        <v>1</v>
      </c>
      <c r="C459">
        <v>0</v>
      </c>
      <c r="D459">
        <v>15</v>
      </c>
      <c r="E459">
        <v>0</v>
      </c>
      <c r="F459">
        <v>0</v>
      </c>
      <c r="G459">
        <v>0</v>
      </c>
      <c r="H459">
        <v>0</v>
      </c>
      <c r="I459">
        <v>1</v>
      </c>
      <c r="J459">
        <v>0</v>
      </c>
      <c r="K459">
        <v>0</v>
      </c>
      <c r="L459">
        <v>1</v>
      </c>
      <c r="M459">
        <v>1</v>
      </c>
      <c r="N459">
        <v>0</v>
      </c>
      <c r="O459">
        <v>0</v>
      </c>
      <c r="P459" s="2">
        <v>100000</v>
      </c>
      <c r="Q459">
        <v>10000</v>
      </c>
      <c r="R459">
        <v>1</v>
      </c>
      <c r="S459">
        <v>1</v>
      </c>
      <c r="T459">
        <v>1</v>
      </c>
      <c r="U459">
        <v>0</v>
      </c>
      <c r="V459">
        <v>0</v>
      </c>
      <c r="W459" s="3">
        <v>33333.333330000001</v>
      </c>
      <c r="X459">
        <v>0</v>
      </c>
    </row>
    <row r="460" spans="1:25" x14ac:dyDescent="0.3">
      <c r="A460" s="3">
        <v>0</v>
      </c>
      <c r="B460">
        <v>1</v>
      </c>
      <c r="C460">
        <v>0</v>
      </c>
      <c r="D460">
        <v>10</v>
      </c>
      <c r="E460">
        <v>0</v>
      </c>
      <c r="F460">
        <v>0</v>
      </c>
      <c r="G460">
        <v>0</v>
      </c>
      <c r="H460">
        <v>0</v>
      </c>
      <c r="I460">
        <v>1</v>
      </c>
      <c r="J460">
        <v>0</v>
      </c>
      <c r="K460">
        <v>0</v>
      </c>
      <c r="L460">
        <v>1</v>
      </c>
      <c r="M460">
        <v>1</v>
      </c>
      <c r="N460">
        <v>1</v>
      </c>
      <c r="O460">
        <v>0</v>
      </c>
      <c r="P460">
        <v>30000</v>
      </c>
      <c r="Q460">
        <v>1000</v>
      </c>
      <c r="R460">
        <v>1</v>
      </c>
      <c r="S460">
        <v>1</v>
      </c>
      <c r="T460">
        <v>1</v>
      </c>
      <c r="U460">
        <v>0</v>
      </c>
      <c r="V460">
        <v>0</v>
      </c>
      <c r="W460" s="3">
        <v>150000</v>
      </c>
      <c r="X460">
        <v>0</v>
      </c>
      <c r="Y460">
        <v>30000</v>
      </c>
    </row>
    <row r="461" spans="1:25" x14ac:dyDescent="0.3">
      <c r="A461" s="3">
        <v>0</v>
      </c>
      <c r="B461">
        <v>1</v>
      </c>
      <c r="C461">
        <v>0</v>
      </c>
      <c r="D461">
        <v>30</v>
      </c>
      <c r="E461">
        <v>0</v>
      </c>
      <c r="F461">
        <v>1</v>
      </c>
      <c r="G461">
        <v>0</v>
      </c>
      <c r="H461">
        <v>0</v>
      </c>
      <c r="I461">
        <v>0</v>
      </c>
      <c r="J461">
        <v>1</v>
      </c>
      <c r="K461">
        <v>1</v>
      </c>
      <c r="L461">
        <v>0</v>
      </c>
      <c r="M461">
        <v>1</v>
      </c>
      <c r="N461">
        <v>0</v>
      </c>
      <c r="O461">
        <v>1</v>
      </c>
      <c r="P461">
        <v>30000</v>
      </c>
      <c r="Q461">
        <v>2000</v>
      </c>
      <c r="R461">
        <v>1</v>
      </c>
      <c r="S461">
        <v>1</v>
      </c>
      <c r="T461">
        <v>1</v>
      </c>
      <c r="U461">
        <v>0</v>
      </c>
      <c r="V461">
        <v>0</v>
      </c>
      <c r="W461" s="3">
        <v>99264.705879999994</v>
      </c>
      <c r="X461">
        <v>0</v>
      </c>
      <c r="Y461">
        <v>30000</v>
      </c>
    </row>
    <row r="462" spans="1:25" x14ac:dyDescent="0.3">
      <c r="A462" s="3">
        <v>0</v>
      </c>
      <c r="B462">
        <v>1</v>
      </c>
      <c r="C462">
        <v>0</v>
      </c>
      <c r="D462">
        <v>30</v>
      </c>
      <c r="E462">
        <v>0</v>
      </c>
      <c r="F462">
        <v>0</v>
      </c>
      <c r="G462">
        <v>0</v>
      </c>
      <c r="H462">
        <v>0</v>
      </c>
      <c r="I462">
        <v>0</v>
      </c>
      <c r="J462">
        <v>1</v>
      </c>
      <c r="K462">
        <v>0</v>
      </c>
      <c r="L462">
        <v>0</v>
      </c>
      <c r="M462">
        <v>1</v>
      </c>
      <c r="N462">
        <v>1</v>
      </c>
      <c r="O462">
        <v>1</v>
      </c>
      <c r="P462">
        <v>30000</v>
      </c>
      <c r="Q462">
        <v>2000</v>
      </c>
      <c r="R462">
        <v>1</v>
      </c>
      <c r="S462">
        <v>1</v>
      </c>
      <c r="T462">
        <v>1</v>
      </c>
      <c r="U462">
        <v>0</v>
      </c>
      <c r="V462">
        <v>0</v>
      </c>
      <c r="W462" s="3">
        <v>100000</v>
      </c>
      <c r="X462">
        <v>0</v>
      </c>
      <c r="Y462">
        <v>30000</v>
      </c>
    </row>
    <row r="463" spans="1:25" x14ac:dyDescent="0.3">
      <c r="A463" s="3">
        <v>0</v>
      </c>
      <c r="B463">
        <v>1</v>
      </c>
      <c r="C463">
        <v>0</v>
      </c>
      <c r="D463">
        <v>15</v>
      </c>
      <c r="E463">
        <v>0</v>
      </c>
      <c r="F463">
        <v>0</v>
      </c>
      <c r="G463">
        <v>0</v>
      </c>
      <c r="H463">
        <v>0</v>
      </c>
      <c r="I463">
        <v>1</v>
      </c>
      <c r="J463">
        <v>0</v>
      </c>
      <c r="K463">
        <v>0</v>
      </c>
      <c r="L463">
        <v>1</v>
      </c>
      <c r="M463">
        <v>1</v>
      </c>
      <c r="N463">
        <v>0</v>
      </c>
      <c r="O463">
        <v>0</v>
      </c>
      <c r="P463">
        <v>40000</v>
      </c>
      <c r="Q463">
        <v>10000</v>
      </c>
      <c r="R463">
        <v>1</v>
      </c>
      <c r="S463">
        <v>1</v>
      </c>
      <c r="T463">
        <v>1</v>
      </c>
      <c r="U463">
        <v>0</v>
      </c>
      <c r="V463">
        <v>0</v>
      </c>
      <c r="W463" s="3">
        <v>100000</v>
      </c>
      <c r="X463">
        <v>0</v>
      </c>
      <c r="Y463">
        <v>40000</v>
      </c>
    </row>
    <row r="464" spans="1:25" x14ac:dyDescent="0.3">
      <c r="A464" s="3">
        <v>0</v>
      </c>
      <c r="B464">
        <v>1</v>
      </c>
      <c r="C464">
        <v>0</v>
      </c>
      <c r="D464">
        <v>10</v>
      </c>
      <c r="E464">
        <v>0</v>
      </c>
      <c r="F464">
        <v>0</v>
      </c>
      <c r="G464">
        <v>0</v>
      </c>
      <c r="H464">
        <v>0</v>
      </c>
      <c r="I464">
        <v>1</v>
      </c>
      <c r="J464">
        <v>0</v>
      </c>
      <c r="K464">
        <v>0</v>
      </c>
      <c r="L464">
        <v>1</v>
      </c>
      <c r="M464">
        <v>1</v>
      </c>
      <c r="N464">
        <v>1</v>
      </c>
      <c r="O464">
        <v>0</v>
      </c>
      <c r="P464">
        <v>50000</v>
      </c>
      <c r="Q464">
        <v>1000</v>
      </c>
      <c r="R464">
        <v>1</v>
      </c>
      <c r="S464">
        <v>1</v>
      </c>
      <c r="T464">
        <v>1</v>
      </c>
      <c r="U464">
        <v>0</v>
      </c>
      <c r="V464">
        <v>0</v>
      </c>
      <c r="W464" s="3">
        <v>38834.951459999997</v>
      </c>
      <c r="X464">
        <v>0</v>
      </c>
      <c r="Y464">
        <v>50000</v>
      </c>
    </row>
    <row r="465" spans="1:25" x14ac:dyDescent="0.3">
      <c r="A465" s="3">
        <v>0</v>
      </c>
      <c r="B465">
        <v>1</v>
      </c>
      <c r="C465">
        <v>0</v>
      </c>
      <c r="D465">
        <v>20</v>
      </c>
      <c r="E465">
        <v>0</v>
      </c>
      <c r="F465">
        <v>0</v>
      </c>
      <c r="G465">
        <v>0</v>
      </c>
      <c r="H465">
        <v>0</v>
      </c>
      <c r="I465">
        <v>1</v>
      </c>
      <c r="J465">
        <v>0</v>
      </c>
      <c r="K465">
        <v>0</v>
      </c>
      <c r="L465">
        <v>1</v>
      </c>
      <c r="M465">
        <v>1</v>
      </c>
      <c r="N465">
        <v>1</v>
      </c>
      <c r="O465">
        <v>0</v>
      </c>
      <c r="P465">
        <v>40000</v>
      </c>
      <c r="Q465">
        <v>1000</v>
      </c>
      <c r="R465">
        <v>1</v>
      </c>
      <c r="S465">
        <v>1</v>
      </c>
      <c r="T465">
        <v>1</v>
      </c>
      <c r="U465">
        <v>0</v>
      </c>
      <c r="V465">
        <v>0</v>
      </c>
      <c r="W465" s="3">
        <v>44052.863440000001</v>
      </c>
      <c r="X465">
        <v>0</v>
      </c>
      <c r="Y465">
        <v>40000</v>
      </c>
    </row>
    <row r="466" spans="1:25" x14ac:dyDescent="0.3">
      <c r="A466" s="3">
        <v>0</v>
      </c>
      <c r="B466">
        <v>1</v>
      </c>
      <c r="C466">
        <v>0</v>
      </c>
      <c r="D466">
        <v>2</v>
      </c>
      <c r="E466">
        <v>1</v>
      </c>
      <c r="F466">
        <v>1</v>
      </c>
      <c r="G466">
        <v>0</v>
      </c>
      <c r="H466">
        <v>0</v>
      </c>
      <c r="I466">
        <v>1</v>
      </c>
      <c r="J466">
        <v>0</v>
      </c>
      <c r="K466">
        <v>0</v>
      </c>
      <c r="L466">
        <v>0</v>
      </c>
      <c r="M466">
        <v>0</v>
      </c>
      <c r="N466">
        <v>0</v>
      </c>
      <c r="O466">
        <v>0</v>
      </c>
      <c r="P466">
        <v>80000</v>
      </c>
      <c r="Q466">
        <v>2000</v>
      </c>
      <c r="R466">
        <v>1</v>
      </c>
      <c r="S466">
        <v>1</v>
      </c>
      <c r="T466">
        <v>1</v>
      </c>
      <c r="U466">
        <v>0</v>
      </c>
      <c r="V466">
        <v>0</v>
      </c>
      <c r="W466" s="3">
        <v>32154.340840000001</v>
      </c>
      <c r="X466">
        <v>1</v>
      </c>
      <c r="Y466">
        <v>80000</v>
      </c>
    </row>
    <row r="467" spans="1:25" x14ac:dyDescent="0.3">
      <c r="A467" s="3">
        <v>0</v>
      </c>
      <c r="B467">
        <v>1</v>
      </c>
      <c r="C467">
        <v>0</v>
      </c>
      <c r="D467">
        <v>1</v>
      </c>
      <c r="E467">
        <v>0</v>
      </c>
      <c r="F467">
        <v>0</v>
      </c>
      <c r="G467">
        <v>0</v>
      </c>
      <c r="H467">
        <v>0</v>
      </c>
      <c r="I467">
        <v>0</v>
      </c>
      <c r="J467">
        <v>0</v>
      </c>
      <c r="K467">
        <v>0</v>
      </c>
      <c r="L467">
        <v>0</v>
      </c>
      <c r="M467">
        <v>0</v>
      </c>
      <c r="N467">
        <v>0</v>
      </c>
      <c r="O467">
        <v>0</v>
      </c>
      <c r="P467">
        <v>10000</v>
      </c>
      <c r="Q467">
        <v>0</v>
      </c>
      <c r="R467">
        <v>1</v>
      </c>
      <c r="S467">
        <v>1</v>
      </c>
      <c r="T467">
        <v>1</v>
      </c>
      <c r="U467">
        <v>0</v>
      </c>
      <c r="V467">
        <v>42870</v>
      </c>
      <c r="W467" s="3">
        <v>9500</v>
      </c>
      <c r="X467">
        <v>1</v>
      </c>
      <c r="Y467">
        <v>10000</v>
      </c>
    </row>
    <row r="468" spans="1:25" x14ac:dyDescent="0.3">
      <c r="A468" s="3">
        <v>0</v>
      </c>
      <c r="B468">
        <v>1</v>
      </c>
      <c r="C468">
        <v>0</v>
      </c>
      <c r="D468">
        <v>10</v>
      </c>
      <c r="E468">
        <v>0</v>
      </c>
      <c r="F468">
        <v>0</v>
      </c>
      <c r="G468">
        <v>0</v>
      </c>
      <c r="H468">
        <v>0</v>
      </c>
      <c r="I468">
        <v>1</v>
      </c>
      <c r="J468">
        <v>0</v>
      </c>
      <c r="K468">
        <v>0</v>
      </c>
      <c r="L468">
        <v>1</v>
      </c>
      <c r="M468">
        <v>1</v>
      </c>
      <c r="N468">
        <v>1</v>
      </c>
      <c r="O468">
        <v>0</v>
      </c>
      <c r="P468">
        <v>50000</v>
      </c>
      <c r="Q468">
        <v>1000</v>
      </c>
      <c r="R468">
        <v>1</v>
      </c>
      <c r="S468">
        <v>1</v>
      </c>
      <c r="T468">
        <v>1</v>
      </c>
      <c r="U468">
        <v>0</v>
      </c>
      <c r="V468">
        <v>0</v>
      </c>
      <c r="W468" s="3">
        <v>100000</v>
      </c>
      <c r="X468">
        <v>0</v>
      </c>
      <c r="Y468">
        <v>50000</v>
      </c>
    </row>
    <row r="469" spans="1:25" x14ac:dyDescent="0.3">
      <c r="A469" s="3">
        <v>50000</v>
      </c>
      <c r="B469">
        <v>1</v>
      </c>
      <c r="C469">
        <v>0</v>
      </c>
      <c r="D469">
        <v>20</v>
      </c>
      <c r="E469">
        <v>0</v>
      </c>
      <c r="F469">
        <v>0</v>
      </c>
      <c r="G469">
        <v>0</v>
      </c>
      <c r="H469">
        <v>0</v>
      </c>
      <c r="I469">
        <v>1</v>
      </c>
      <c r="J469">
        <v>0</v>
      </c>
      <c r="K469">
        <v>0</v>
      </c>
      <c r="L469">
        <v>1</v>
      </c>
      <c r="M469">
        <v>1</v>
      </c>
      <c r="N469">
        <v>1</v>
      </c>
      <c r="O469">
        <v>0</v>
      </c>
      <c r="P469">
        <v>30000</v>
      </c>
      <c r="Q469">
        <v>1000</v>
      </c>
      <c r="R469">
        <v>1</v>
      </c>
      <c r="S469">
        <v>1</v>
      </c>
      <c r="T469">
        <v>1</v>
      </c>
      <c r="U469">
        <v>0</v>
      </c>
      <c r="V469">
        <v>25000</v>
      </c>
      <c r="W469" s="3">
        <v>83333.333329999994</v>
      </c>
      <c r="X469">
        <v>0</v>
      </c>
      <c r="Y469">
        <v>30000</v>
      </c>
    </row>
    <row r="470" spans="1:25" x14ac:dyDescent="0.3">
      <c r="A470" s="3">
        <v>0</v>
      </c>
      <c r="B470">
        <v>1</v>
      </c>
      <c r="C470">
        <v>0</v>
      </c>
      <c r="D470">
        <v>25</v>
      </c>
      <c r="E470">
        <v>0</v>
      </c>
      <c r="F470">
        <v>0</v>
      </c>
      <c r="G470">
        <v>0</v>
      </c>
      <c r="H470">
        <v>0</v>
      </c>
      <c r="I470">
        <v>0</v>
      </c>
      <c r="J470">
        <v>1</v>
      </c>
      <c r="K470">
        <v>0</v>
      </c>
      <c r="L470">
        <v>0</v>
      </c>
      <c r="M470">
        <v>1</v>
      </c>
      <c r="N470">
        <v>0</v>
      </c>
      <c r="O470">
        <v>1</v>
      </c>
      <c r="P470">
        <v>30000</v>
      </c>
      <c r="Q470">
        <v>2000</v>
      </c>
      <c r="R470">
        <v>1</v>
      </c>
      <c r="S470">
        <v>1</v>
      </c>
      <c r="T470">
        <v>1</v>
      </c>
      <c r="U470">
        <v>0</v>
      </c>
      <c r="V470">
        <v>30000</v>
      </c>
      <c r="W470" s="3">
        <v>83333.333329999994</v>
      </c>
      <c r="X470">
        <v>0</v>
      </c>
      <c r="Y470">
        <v>30000</v>
      </c>
    </row>
    <row r="471" spans="1:25" x14ac:dyDescent="0.3">
      <c r="A471" s="3">
        <v>0</v>
      </c>
      <c r="B471">
        <v>1</v>
      </c>
      <c r="C471">
        <v>0</v>
      </c>
      <c r="D471">
        <v>30</v>
      </c>
      <c r="E471">
        <v>0</v>
      </c>
      <c r="F471">
        <v>0</v>
      </c>
      <c r="G471">
        <v>0</v>
      </c>
      <c r="H471">
        <v>0</v>
      </c>
      <c r="I471">
        <v>0</v>
      </c>
      <c r="J471">
        <v>1</v>
      </c>
      <c r="K471">
        <v>0</v>
      </c>
      <c r="L471">
        <v>0</v>
      </c>
      <c r="M471">
        <v>1</v>
      </c>
      <c r="N471">
        <v>0</v>
      </c>
      <c r="O471">
        <v>1</v>
      </c>
      <c r="P471">
        <v>30000</v>
      </c>
      <c r="Q471">
        <v>2000</v>
      </c>
      <c r="R471">
        <v>1</v>
      </c>
      <c r="S471">
        <v>1</v>
      </c>
      <c r="T471">
        <v>1</v>
      </c>
      <c r="U471">
        <v>0</v>
      </c>
      <c r="V471">
        <v>0</v>
      </c>
      <c r="W471" s="3">
        <v>100000</v>
      </c>
      <c r="X471">
        <v>0</v>
      </c>
      <c r="Y471">
        <v>30000</v>
      </c>
    </row>
    <row r="472" spans="1:25" x14ac:dyDescent="0.3">
      <c r="A472" s="3">
        <v>0</v>
      </c>
      <c r="B472">
        <v>1</v>
      </c>
      <c r="C472">
        <v>0</v>
      </c>
      <c r="D472">
        <v>30</v>
      </c>
      <c r="E472">
        <v>0</v>
      </c>
      <c r="F472">
        <v>0</v>
      </c>
      <c r="G472">
        <v>0</v>
      </c>
      <c r="H472">
        <v>0</v>
      </c>
      <c r="I472">
        <v>0</v>
      </c>
      <c r="J472">
        <v>1</v>
      </c>
      <c r="K472">
        <v>0</v>
      </c>
      <c r="L472">
        <v>0</v>
      </c>
      <c r="M472">
        <v>1</v>
      </c>
      <c r="N472">
        <v>0</v>
      </c>
      <c r="O472">
        <v>1</v>
      </c>
      <c r="P472">
        <v>30000</v>
      </c>
      <c r="Q472">
        <v>2000</v>
      </c>
      <c r="R472">
        <v>1</v>
      </c>
      <c r="S472">
        <v>1</v>
      </c>
      <c r="T472">
        <v>1</v>
      </c>
      <c r="U472">
        <v>0</v>
      </c>
      <c r="V472">
        <v>30000</v>
      </c>
      <c r="W472" s="3">
        <v>50000</v>
      </c>
      <c r="X472">
        <v>0</v>
      </c>
      <c r="Y472">
        <v>30000</v>
      </c>
    </row>
    <row r="473" spans="1:25" x14ac:dyDescent="0.3">
      <c r="A473" s="3">
        <v>0</v>
      </c>
      <c r="B473">
        <v>1</v>
      </c>
      <c r="C473">
        <v>0</v>
      </c>
      <c r="D473">
        <v>20</v>
      </c>
      <c r="E473">
        <v>0</v>
      </c>
      <c r="F473">
        <v>0</v>
      </c>
      <c r="G473">
        <v>0</v>
      </c>
      <c r="H473">
        <v>0</v>
      </c>
      <c r="I473">
        <v>0</v>
      </c>
      <c r="J473">
        <v>1</v>
      </c>
      <c r="K473">
        <v>0</v>
      </c>
      <c r="L473">
        <v>0</v>
      </c>
      <c r="M473">
        <v>1</v>
      </c>
      <c r="N473">
        <v>0</v>
      </c>
      <c r="O473">
        <v>1</v>
      </c>
      <c r="P473">
        <v>3000</v>
      </c>
      <c r="Q473">
        <v>2000</v>
      </c>
      <c r="R473">
        <v>1</v>
      </c>
      <c r="S473">
        <v>1</v>
      </c>
      <c r="T473">
        <v>1</v>
      </c>
      <c r="U473">
        <v>0</v>
      </c>
      <c r="V473">
        <v>0</v>
      </c>
      <c r="W473" s="3">
        <v>100000</v>
      </c>
      <c r="X473">
        <v>0</v>
      </c>
      <c r="Y473">
        <v>3000</v>
      </c>
    </row>
    <row r="474" spans="1:25" x14ac:dyDescent="0.3">
      <c r="A474" s="3">
        <v>0</v>
      </c>
      <c r="B474">
        <v>1</v>
      </c>
      <c r="C474">
        <v>0</v>
      </c>
      <c r="D474">
        <v>20</v>
      </c>
      <c r="E474">
        <v>0</v>
      </c>
      <c r="F474">
        <v>0</v>
      </c>
      <c r="G474">
        <v>0</v>
      </c>
      <c r="H474">
        <v>0</v>
      </c>
      <c r="I474">
        <v>1</v>
      </c>
      <c r="J474">
        <v>0</v>
      </c>
      <c r="K474">
        <v>0</v>
      </c>
      <c r="L474">
        <v>1</v>
      </c>
      <c r="M474">
        <v>1</v>
      </c>
      <c r="N474">
        <v>0</v>
      </c>
      <c r="O474">
        <v>0</v>
      </c>
      <c r="P474">
        <v>40000</v>
      </c>
      <c r="Q474">
        <v>10000</v>
      </c>
      <c r="R474">
        <v>1</v>
      </c>
      <c r="S474">
        <v>1</v>
      </c>
      <c r="T474">
        <v>1</v>
      </c>
      <c r="U474">
        <v>0</v>
      </c>
      <c r="V474">
        <v>0</v>
      </c>
      <c r="W474" s="3">
        <v>92307.692309999999</v>
      </c>
      <c r="X474">
        <v>0</v>
      </c>
      <c r="Y474">
        <v>40000</v>
      </c>
    </row>
    <row r="475" spans="1:25" x14ac:dyDescent="0.3">
      <c r="A475" s="3">
        <v>0</v>
      </c>
      <c r="B475">
        <v>1</v>
      </c>
      <c r="C475">
        <v>0</v>
      </c>
      <c r="D475">
        <v>0</v>
      </c>
      <c r="E475">
        <v>0</v>
      </c>
      <c r="F475">
        <v>0</v>
      </c>
      <c r="G475">
        <v>0</v>
      </c>
      <c r="H475">
        <v>0</v>
      </c>
      <c r="I475">
        <v>1</v>
      </c>
      <c r="J475">
        <v>1</v>
      </c>
      <c r="K475">
        <v>0</v>
      </c>
      <c r="L475">
        <v>0</v>
      </c>
      <c r="M475">
        <v>0</v>
      </c>
      <c r="N475">
        <v>0</v>
      </c>
      <c r="O475">
        <v>0</v>
      </c>
      <c r="P475">
        <v>8000</v>
      </c>
      <c r="Q475">
        <v>500</v>
      </c>
      <c r="R475">
        <v>1</v>
      </c>
      <c r="S475">
        <v>1</v>
      </c>
      <c r="T475">
        <v>1</v>
      </c>
      <c r="U475">
        <v>0</v>
      </c>
      <c r="V475">
        <v>21000</v>
      </c>
      <c r="W475" s="3">
        <v>18264.840179999999</v>
      </c>
      <c r="X475">
        <v>1</v>
      </c>
      <c r="Y475">
        <v>8000</v>
      </c>
    </row>
    <row r="476" spans="1:25" x14ac:dyDescent="0.3">
      <c r="A476" s="3">
        <v>0</v>
      </c>
      <c r="B476">
        <v>1</v>
      </c>
      <c r="C476">
        <v>0</v>
      </c>
      <c r="D476">
        <v>20</v>
      </c>
      <c r="E476">
        <v>0</v>
      </c>
      <c r="F476">
        <v>0</v>
      </c>
      <c r="G476">
        <v>0</v>
      </c>
      <c r="H476">
        <v>0</v>
      </c>
      <c r="I476">
        <v>1</v>
      </c>
      <c r="J476">
        <v>0</v>
      </c>
      <c r="K476">
        <v>0</v>
      </c>
      <c r="L476">
        <v>1</v>
      </c>
      <c r="M476">
        <v>1</v>
      </c>
      <c r="N476">
        <v>1</v>
      </c>
      <c r="O476">
        <v>0</v>
      </c>
      <c r="P476">
        <v>50000</v>
      </c>
      <c r="Q476">
        <v>2000</v>
      </c>
      <c r="R476">
        <v>1</v>
      </c>
      <c r="S476">
        <v>1</v>
      </c>
      <c r="T476">
        <v>1</v>
      </c>
      <c r="U476">
        <v>0</v>
      </c>
      <c r="V476">
        <v>80000</v>
      </c>
      <c r="W476" s="3">
        <v>150000</v>
      </c>
      <c r="X476">
        <v>0</v>
      </c>
      <c r="Y476">
        <v>50000</v>
      </c>
    </row>
    <row r="477" spans="1:25" x14ac:dyDescent="0.3">
      <c r="A477" s="3">
        <v>0</v>
      </c>
      <c r="B477">
        <v>1</v>
      </c>
      <c r="C477">
        <v>0</v>
      </c>
      <c r="D477">
        <v>20</v>
      </c>
      <c r="E477">
        <v>0</v>
      </c>
      <c r="F477">
        <v>0</v>
      </c>
      <c r="G477">
        <v>0</v>
      </c>
      <c r="H477">
        <v>0</v>
      </c>
      <c r="I477">
        <v>0</v>
      </c>
      <c r="J477">
        <v>1</v>
      </c>
      <c r="K477">
        <v>0</v>
      </c>
      <c r="L477">
        <v>0</v>
      </c>
      <c r="M477">
        <v>1</v>
      </c>
      <c r="N477">
        <v>0</v>
      </c>
      <c r="O477">
        <v>1</v>
      </c>
      <c r="P477">
        <v>30000</v>
      </c>
      <c r="Q477">
        <v>2000</v>
      </c>
      <c r="R477">
        <v>1</v>
      </c>
      <c r="S477">
        <v>1</v>
      </c>
      <c r="T477">
        <v>1</v>
      </c>
      <c r="U477">
        <v>0</v>
      </c>
      <c r="V477">
        <v>0</v>
      </c>
      <c r="W477" s="3">
        <v>50000</v>
      </c>
      <c r="X477">
        <v>0</v>
      </c>
      <c r="Y477">
        <v>30000</v>
      </c>
    </row>
    <row r="478" spans="1:25" x14ac:dyDescent="0.3">
      <c r="A478" s="3">
        <v>0</v>
      </c>
      <c r="B478">
        <v>1</v>
      </c>
      <c r="C478">
        <v>0</v>
      </c>
      <c r="D478">
        <v>40</v>
      </c>
      <c r="E478">
        <v>0</v>
      </c>
      <c r="F478">
        <v>0</v>
      </c>
      <c r="G478">
        <v>0</v>
      </c>
      <c r="H478">
        <v>0</v>
      </c>
      <c r="I478">
        <v>0</v>
      </c>
      <c r="J478">
        <v>1</v>
      </c>
      <c r="K478">
        <v>0</v>
      </c>
      <c r="L478">
        <v>0</v>
      </c>
      <c r="M478">
        <v>1</v>
      </c>
      <c r="N478">
        <v>1</v>
      </c>
      <c r="O478">
        <v>1</v>
      </c>
      <c r="P478">
        <v>20000</v>
      </c>
      <c r="Q478">
        <v>2000</v>
      </c>
      <c r="R478">
        <v>1</v>
      </c>
      <c r="S478">
        <v>1</v>
      </c>
      <c r="T478">
        <v>1</v>
      </c>
      <c r="U478">
        <v>0</v>
      </c>
      <c r="V478">
        <v>30000</v>
      </c>
      <c r="W478" s="3">
        <v>50000</v>
      </c>
      <c r="X478">
        <v>0</v>
      </c>
      <c r="Y478">
        <v>20000</v>
      </c>
    </row>
    <row r="479" spans="1:25" x14ac:dyDescent="0.3">
      <c r="A479" s="3">
        <v>0</v>
      </c>
      <c r="B479">
        <v>1</v>
      </c>
      <c r="C479">
        <v>0</v>
      </c>
      <c r="D479">
        <v>35</v>
      </c>
      <c r="E479">
        <v>0</v>
      </c>
      <c r="F479">
        <v>0</v>
      </c>
      <c r="G479">
        <v>0</v>
      </c>
      <c r="H479">
        <v>0</v>
      </c>
      <c r="I479">
        <v>0</v>
      </c>
      <c r="J479">
        <v>1</v>
      </c>
      <c r="K479">
        <v>0</v>
      </c>
      <c r="L479">
        <v>0</v>
      </c>
      <c r="M479">
        <v>1</v>
      </c>
      <c r="N479">
        <v>0</v>
      </c>
      <c r="O479">
        <v>1</v>
      </c>
      <c r="P479">
        <v>30000</v>
      </c>
      <c r="Q479">
        <v>2000</v>
      </c>
      <c r="R479">
        <v>1</v>
      </c>
      <c r="S479">
        <v>1</v>
      </c>
      <c r="T479">
        <v>1</v>
      </c>
      <c r="U479">
        <v>0</v>
      </c>
      <c r="V479">
        <v>30000</v>
      </c>
      <c r="W479" s="3">
        <v>50000</v>
      </c>
      <c r="X479">
        <v>0</v>
      </c>
    </row>
    <row r="480" spans="1:25" x14ac:dyDescent="0.3">
      <c r="A480" s="3">
        <v>0</v>
      </c>
      <c r="B480">
        <v>1</v>
      </c>
      <c r="C480">
        <v>0</v>
      </c>
      <c r="D480">
        <v>30</v>
      </c>
      <c r="E480">
        <v>0</v>
      </c>
      <c r="F480">
        <v>0</v>
      </c>
      <c r="G480">
        <v>0</v>
      </c>
      <c r="H480">
        <v>0</v>
      </c>
      <c r="I480">
        <v>0</v>
      </c>
      <c r="J480">
        <v>1</v>
      </c>
      <c r="K480">
        <v>0</v>
      </c>
      <c r="L480">
        <v>0</v>
      </c>
      <c r="M480">
        <v>1</v>
      </c>
      <c r="N480">
        <v>0</v>
      </c>
      <c r="O480">
        <v>1</v>
      </c>
      <c r="P480">
        <v>40000</v>
      </c>
      <c r="Q480">
        <v>2000</v>
      </c>
      <c r="R480">
        <v>1</v>
      </c>
      <c r="S480">
        <v>1</v>
      </c>
      <c r="T480">
        <v>1</v>
      </c>
      <c r="U480">
        <v>0</v>
      </c>
      <c r="V480">
        <v>0</v>
      </c>
      <c r="W480" s="3">
        <v>84745.762709999995</v>
      </c>
      <c r="X480">
        <v>0</v>
      </c>
      <c r="Y480">
        <v>40000</v>
      </c>
    </row>
    <row r="481" spans="1:25" x14ac:dyDescent="0.3">
      <c r="A481" s="3">
        <v>200000</v>
      </c>
      <c r="B481">
        <v>0</v>
      </c>
      <c r="C481">
        <v>0</v>
      </c>
      <c r="D481">
        <v>30</v>
      </c>
      <c r="E481">
        <v>0</v>
      </c>
      <c r="F481">
        <v>0</v>
      </c>
      <c r="G481">
        <v>0</v>
      </c>
      <c r="H481">
        <v>0</v>
      </c>
      <c r="I481">
        <v>1</v>
      </c>
      <c r="J481">
        <v>1</v>
      </c>
      <c r="K481">
        <v>0</v>
      </c>
      <c r="L481">
        <v>0</v>
      </c>
      <c r="M481">
        <v>1</v>
      </c>
      <c r="N481">
        <v>0</v>
      </c>
      <c r="O481">
        <v>1</v>
      </c>
      <c r="P481" s="3">
        <v>25000</v>
      </c>
      <c r="Q481">
        <v>5000</v>
      </c>
      <c r="R481">
        <v>1</v>
      </c>
      <c r="S481">
        <v>1</v>
      </c>
      <c r="T481">
        <v>1</v>
      </c>
      <c r="U481">
        <v>1</v>
      </c>
      <c r="V481">
        <v>0</v>
      </c>
      <c r="W481" s="3">
        <v>20000</v>
      </c>
      <c r="X481">
        <v>0</v>
      </c>
      <c r="Y481">
        <v>25000</v>
      </c>
    </row>
    <row r="482" spans="1:25" x14ac:dyDescent="0.3">
      <c r="A482" s="3">
        <v>50000</v>
      </c>
      <c r="B482">
        <v>0</v>
      </c>
      <c r="C482">
        <v>0</v>
      </c>
      <c r="D482">
        <v>30</v>
      </c>
      <c r="E482">
        <v>0</v>
      </c>
      <c r="F482">
        <v>1</v>
      </c>
      <c r="G482">
        <v>0</v>
      </c>
      <c r="H482">
        <v>0</v>
      </c>
      <c r="I482">
        <v>0</v>
      </c>
      <c r="J482">
        <v>1</v>
      </c>
      <c r="K482">
        <v>0</v>
      </c>
      <c r="L482">
        <v>0</v>
      </c>
      <c r="M482">
        <v>1</v>
      </c>
      <c r="N482">
        <v>0</v>
      </c>
      <c r="O482">
        <v>1</v>
      </c>
      <c r="P482" s="3">
        <v>30000</v>
      </c>
      <c r="Q482">
        <v>3000</v>
      </c>
      <c r="R482">
        <v>1</v>
      </c>
      <c r="S482">
        <v>1</v>
      </c>
      <c r="T482">
        <v>1</v>
      </c>
      <c r="U482">
        <v>0</v>
      </c>
      <c r="V482">
        <v>30000</v>
      </c>
      <c r="W482" s="3">
        <v>83333.333329999994</v>
      </c>
      <c r="X482">
        <v>0</v>
      </c>
      <c r="Y482">
        <v>30000</v>
      </c>
    </row>
    <row r="483" spans="1:25" x14ac:dyDescent="0.3">
      <c r="A483" s="3">
        <v>100000</v>
      </c>
      <c r="B483">
        <v>1</v>
      </c>
      <c r="C483">
        <v>0</v>
      </c>
      <c r="D483">
        <v>1</v>
      </c>
      <c r="E483">
        <v>1</v>
      </c>
      <c r="F483">
        <v>0</v>
      </c>
      <c r="G483">
        <v>0</v>
      </c>
      <c r="H483">
        <v>0</v>
      </c>
      <c r="I483">
        <v>1</v>
      </c>
      <c r="J483">
        <v>0</v>
      </c>
      <c r="K483">
        <v>0</v>
      </c>
      <c r="L483">
        <v>0</v>
      </c>
      <c r="M483">
        <v>0</v>
      </c>
      <c r="N483">
        <v>0</v>
      </c>
      <c r="O483">
        <v>0</v>
      </c>
      <c r="P483">
        <v>30000</v>
      </c>
      <c r="Q483">
        <v>2000</v>
      </c>
      <c r="R483">
        <v>1</v>
      </c>
      <c r="S483">
        <v>1</v>
      </c>
      <c r="T483">
        <v>1</v>
      </c>
      <c r="U483">
        <v>0</v>
      </c>
      <c r="V483">
        <v>157500</v>
      </c>
      <c r="W483" s="3">
        <v>40000</v>
      </c>
      <c r="X483">
        <v>1</v>
      </c>
      <c r="Y483">
        <v>30000</v>
      </c>
    </row>
    <row r="484" spans="1:25" x14ac:dyDescent="0.3">
      <c r="A484" s="3">
        <v>110000</v>
      </c>
      <c r="B484">
        <v>1</v>
      </c>
      <c r="C484">
        <v>0</v>
      </c>
      <c r="D484">
        <v>4</v>
      </c>
      <c r="E484">
        <v>1</v>
      </c>
      <c r="F484">
        <v>0</v>
      </c>
      <c r="G484">
        <v>0</v>
      </c>
      <c r="H484">
        <v>0</v>
      </c>
      <c r="I484">
        <v>1</v>
      </c>
      <c r="J484">
        <v>0</v>
      </c>
      <c r="K484">
        <v>0</v>
      </c>
      <c r="L484">
        <v>0</v>
      </c>
      <c r="M484">
        <v>0</v>
      </c>
      <c r="N484">
        <v>0</v>
      </c>
      <c r="O484">
        <v>0</v>
      </c>
      <c r="P484">
        <v>0</v>
      </c>
      <c r="Q484">
        <v>0</v>
      </c>
      <c r="R484">
        <v>1</v>
      </c>
      <c r="S484">
        <v>1</v>
      </c>
      <c r="T484">
        <v>1</v>
      </c>
      <c r="U484">
        <v>0</v>
      </c>
      <c r="V484">
        <v>87500</v>
      </c>
      <c r="W484" s="3">
        <v>48449.541279999998</v>
      </c>
      <c r="X484">
        <v>1</v>
      </c>
      <c r="Y484">
        <v>0</v>
      </c>
    </row>
    <row r="485" spans="1:25" x14ac:dyDescent="0.3">
      <c r="A485" s="3">
        <v>0</v>
      </c>
      <c r="B485">
        <v>1</v>
      </c>
      <c r="C485">
        <v>0</v>
      </c>
      <c r="D485">
        <v>20</v>
      </c>
      <c r="E485">
        <v>0</v>
      </c>
      <c r="F485">
        <v>0</v>
      </c>
      <c r="G485">
        <v>0</v>
      </c>
      <c r="H485">
        <v>0</v>
      </c>
      <c r="I485">
        <v>1</v>
      </c>
      <c r="J485">
        <v>1</v>
      </c>
      <c r="K485">
        <v>0</v>
      </c>
      <c r="L485">
        <v>0</v>
      </c>
      <c r="M485">
        <v>1</v>
      </c>
      <c r="N485">
        <v>1</v>
      </c>
      <c r="O485">
        <v>1</v>
      </c>
      <c r="P485">
        <v>30000</v>
      </c>
      <c r="Q485">
        <v>12000</v>
      </c>
      <c r="R485">
        <v>1</v>
      </c>
      <c r="S485">
        <v>1</v>
      </c>
      <c r="T485">
        <v>1</v>
      </c>
      <c r="U485">
        <v>1</v>
      </c>
      <c r="V485">
        <v>0</v>
      </c>
      <c r="W485" s="3">
        <v>47761.194029999999</v>
      </c>
      <c r="X485">
        <v>0</v>
      </c>
      <c r="Y485">
        <v>30000</v>
      </c>
    </row>
    <row r="486" spans="1:25" x14ac:dyDescent="0.3">
      <c r="A486" s="3">
        <v>100000</v>
      </c>
      <c r="B486">
        <v>1</v>
      </c>
      <c r="C486">
        <v>0</v>
      </c>
      <c r="D486">
        <v>10</v>
      </c>
      <c r="E486">
        <v>0</v>
      </c>
      <c r="F486">
        <v>0</v>
      </c>
      <c r="G486">
        <v>0</v>
      </c>
      <c r="H486">
        <v>0</v>
      </c>
      <c r="I486">
        <v>1</v>
      </c>
      <c r="J486">
        <v>0</v>
      </c>
      <c r="K486">
        <v>0</v>
      </c>
      <c r="L486">
        <v>1</v>
      </c>
      <c r="M486">
        <v>1</v>
      </c>
      <c r="N486">
        <v>1</v>
      </c>
      <c r="O486">
        <v>0</v>
      </c>
      <c r="P486">
        <v>50000</v>
      </c>
      <c r="Q486">
        <v>1000</v>
      </c>
      <c r="R486">
        <v>1</v>
      </c>
      <c r="S486">
        <v>1</v>
      </c>
      <c r="T486">
        <v>1</v>
      </c>
      <c r="U486">
        <v>0</v>
      </c>
      <c r="V486">
        <v>0</v>
      </c>
      <c r="W486" s="3">
        <v>45454.545449999998</v>
      </c>
      <c r="X486">
        <v>0</v>
      </c>
    </row>
    <row r="487" spans="1:25" x14ac:dyDescent="0.3">
      <c r="A487" s="3">
        <v>0</v>
      </c>
      <c r="B487">
        <v>1</v>
      </c>
      <c r="C487">
        <v>0</v>
      </c>
      <c r="D487">
        <v>20</v>
      </c>
      <c r="E487">
        <v>0</v>
      </c>
      <c r="F487">
        <v>0</v>
      </c>
      <c r="G487">
        <v>0</v>
      </c>
      <c r="H487">
        <v>0</v>
      </c>
      <c r="I487">
        <v>0</v>
      </c>
      <c r="J487">
        <v>0</v>
      </c>
      <c r="K487">
        <v>0</v>
      </c>
      <c r="L487">
        <v>1</v>
      </c>
      <c r="M487">
        <v>1</v>
      </c>
      <c r="N487">
        <v>1</v>
      </c>
      <c r="O487">
        <v>0</v>
      </c>
      <c r="P487">
        <v>45000</v>
      </c>
      <c r="Q487">
        <v>3000</v>
      </c>
      <c r="R487">
        <v>1</v>
      </c>
      <c r="S487">
        <v>1</v>
      </c>
      <c r="T487">
        <v>1</v>
      </c>
      <c r="U487">
        <v>0</v>
      </c>
      <c r="V487">
        <v>0</v>
      </c>
      <c r="W487" s="3">
        <v>150000</v>
      </c>
      <c r="X487">
        <v>0</v>
      </c>
      <c r="Y487">
        <v>45000</v>
      </c>
    </row>
    <row r="488" spans="1:25" x14ac:dyDescent="0.3">
      <c r="A488" s="3">
        <v>0</v>
      </c>
      <c r="B488">
        <v>1</v>
      </c>
      <c r="C488">
        <v>0</v>
      </c>
      <c r="D488">
        <v>30</v>
      </c>
      <c r="E488">
        <v>0</v>
      </c>
      <c r="F488">
        <v>0</v>
      </c>
      <c r="G488">
        <v>0</v>
      </c>
      <c r="H488">
        <v>0</v>
      </c>
      <c r="I488">
        <v>0</v>
      </c>
      <c r="J488">
        <v>0</v>
      </c>
      <c r="K488">
        <v>1</v>
      </c>
      <c r="L488">
        <v>1</v>
      </c>
      <c r="M488">
        <v>1</v>
      </c>
      <c r="N488">
        <v>0</v>
      </c>
      <c r="O488">
        <v>0</v>
      </c>
      <c r="P488">
        <v>80000</v>
      </c>
      <c r="Q488">
        <v>3000</v>
      </c>
      <c r="R488">
        <v>1</v>
      </c>
      <c r="S488">
        <v>1</v>
      </c>
      <c r="T488">
        <v>1</v>
      </c>
      <c r="U488">
        <v>0</v>
      </c>
      <c r="V488">
        <v>0</v>
      </c>
      <c r="W488" s="3">
        <v>76923.076920000007</v>
      </c>
      <c r="X488">
        <v>0</v>
      </c>
    </row>
    <row r="489" spans="1:25" x14ac:dyDescent="0.3">
      <c r="A489" s="3">
        <v>0</v>
      </c>
      <c r="B489">
        <v>1</v>
      </c>
      <c r="C489">
        <v>0</v>
      </c>
      <c r="D489">
        <v>20</v>
      </c>
      <c r="E489">
        <v>0</v>
      </c>
      <c r="F489">
        <v>0</v>
      </c>
      <c r="G489">
        <v>0</v>
      </c>
      <c r="H489">
        <v>0</v>
      </c>
      <c r="I489">
        <v>1</v>
      </c>
      <c r="J489">
        <v>1</v>
      </c>
      <c r="K489">
        <v>0</v>
      </c>
      <c r="L489">
        <v>0</v>
      </c>
      <c r="M489">
        <v>1</v>
      </c>
      <c r="N489">
        <v>1</v>
      </c>
      <c r="O489">
        <v>1</v>
      </c>
      <c r="P489">
        <v>0</v>
      </c>
      <c r="Q489">
        <v>0</v>
      </c>
      <c r="R489">
        <v>1</v>
      </c>
      <c r="S489">
        <v>1</v>
      </c>
      <c r="T489">
        <v>1</v>
      </c>
      <c r="U489">
        <v>0</v>
      </c>
      <c r="V489">
        <v>0</v>
      </c>
      <c r="W489" s="3">
        <v>86363.636360000004</v>
      </c>
      <c r="X489">
        <v>0</v>
      </c>
      <c r="Y489">
        <v>0</v>
      </c>
    </row>
    <row r="490" spans="1:25" x14ac:dyDescent="0.3">
      <c r="A490" s="3">
        <v>0</v>
      </c>
      <c r="B490">
        <v>1</v>
      </c>
      <c r="C490">
        <v>0</v>
      </c>
      <c r="D490">
        <v>20</v>
      </c>
      <c r="E490">
        <v>0</v>
      </c>
      <c r="F490">
        <v>0</v>
      </c>
      <c r="G490">
        <v>0</v>
      </c>
      <c r="H490">
        <v>0</v>
      </c>
      <c r="I490">
        <v>0</v>
      </c>
      <c r="J490">
        <v>0</v>
      </c>
      <c r="K490">
        <v>0</v>
      </c>
      <c r="L490">
        <v>1</v>
      </c>
      <c r="M490">
        <v>1</v>
      </c>
      <c r="N490">
        <v>0</v>
      </c>
      <c r="O490">
        <v>0</v>
      </c>
      <c r="P490">
        <v>60000</v>
      </c>
      <c r="Q490">
        <v>4000</v>
      </c>
      <c r="R490">
        <v>1</v>
      </c>
      <c r="S490">
        <v>1</v>
      </c>
      <c r="T490">
        <v>1</v>
      </c>
      <c r="U490">
        <v>0</v>
      </c>
      <c r="V490">
        <v>0</v>
      </c>
      <c r="W490" s="3">
        <v>142857.14290000001</v>
      </c>
      <c r="X490">
        <v>0</v>
      </c>
      <c r="Y490">
        <v>60000</v>
      </c>
    </row>
    <row r="491" spans="1:25" x14ac:dyDescent="0.3">
      <c r="A491" s="3">
        <v>0</v>
      </c>
      <c r="B491">
        <v>1</v>
      </c>
      <c r="C491">
        <v>0</v>
      </c>
      <c r="D491">
        <v>23</v>
      </c>
      <c r="E491">
        <v>0</v>
      </c>
      <c r="F491">
        <v>0</v>
      </c>
      <c r="G491">
        <v>0</v>
      </c>
      <c r="H491">
        <v>0</v>
      </c>
      <c r="I491">
        <v>0</v>
      </c>
      <c r="J491">
        <v>0</v>
      </c>
      <c r="K491">
        <v>1</v>
      </c>
      <c r="L491">
        <v>1</v>
      </c>
      <c r="M491">
        <v>1</v>
      </c>
      <c r="N491">
        <v>0</v>
      </c>
      <c r="O491">
        <v>0</v>
      </c>
      <c r="P491">
        <v>60000</v>
      </c>
      <c r="Q491">
        <v>3000</v>
      </c>
      <c r="R491">
        <v>1</v>
      </c>
      <c r="S491">
        <v>1</v>
      </c>
      <c r="T491">
        <v>1</v>
      </c>
      <c r="U491">
        <v>0</v>
      </c>
      <c r="V491">
        <v>0</v>
      </c>
      <c r="W491" s="3">
        <v>96774.193549999996</v>
      </c>
      <c r="X491">
        <v>0</v>
      </c>
      <c r="Y491">
        <v>60000</v>
      </c>
    </row>
    <row r="492" spans="1:25" x14ac:dyDescent="0.3">
      <c r="A492" s="3">
        <v>0</v>
      </c>
      <c r="B492">
        <v>1</v>
      </c>
      <c r="C492">
        <v>0</v>
      </c>
      <c r="D492">
        <v>10</v>
      </c>
      <c r="E492">
        <v>0</v>
      </c>
      <c r="F492">
        <v>0</v>
      </c>
      <c r="G492">
        <v>0</v>
      </c>
      <c r="H492">
        <v>0</v>
      </c>
      <c r="I492">
        <v>1</v>
      </c>
      <c r="J492">
        <v>0</v>
      </c>
      <c r="K492">
        <v>0</v>
      </c>
      <c r="L492">
        <v>1</v>
      </c>
      <c r="M492">
        <v>1</v>
      </c>
      <c r="N492">
        <v>0</v>
      </c>
      <c r="O492">
        <v>0</v>
      </c>
      <c r="P492">
        <v>60000</v>
      </c>
      <c r="Q492">
        <v>9000</v>
      </c>
      <c r="R492">
        <v>1</v>
      </c>
      <c r="S492">
        <v>1</v>
      </c>
      <c r="T492">
        <v>1</v>
      </c>
      <c r="U492">
        <v>0</v>
      </c>
      <c r="V492">
        <v>0</v>
      </c>
      <c r="W492" s="3">
        <v>95238.095239999995</v>
      </c>
      <c r="X492">
        <v>0</v>
      </c>
      <c r="Y492">
        <v>60000</v>
      </c>
    </row>
    <row r="493" spans="1:25" x14ac:dyDescent="0.3">
      <c r="A493" s="3">
        <v>0</v>
      </c>
      <c r="B493">
        <v>1</v>
      </c>
      <c r="C493">
        <v>0</v>
      </c>
      <c r="D493">
        <v>10</v>
      </c>
      <c r="E493">
        <v>0</v>
      </c>
      <c r="F493">
        <v>0</v>
      </c>
      <c r="G493">
        <v>0</v>
      </c>
      <c r="H493">
        <v>0</v>
      </c>
      <c r="I493">
        <v>1</v>
      </c>
      <c r="J493">
        <v>0</v>
      </c>
      <c r="K493">
        <v>0</v>
      </c>
      <c r="L493">
        <v>1</v>
      </c>
      <c r="M493">
        <v>1</v>
      </c>
      <c r="N493">
        <v>1</v>
      </c>
      <c r="O493">
        <v>0</v>
      </c>
      <c r="P493">
        <v>40000</v>
      </c>
      <c r="Q493">
        <v>8000</v>
      </c>
      <c r="R493">
        <v>1</v>
      </c>
      <c r="S493">
        <v>1</v>
      </c>
      <c r="T493">
        <v>1</v>
      </c>
      <c r="U493">
        <v>0</v>
      </c>
      <c r="V493">
        <v>0</v>
      </c>
      <c r="W493" s="3">
        <v>66666.666670000006</v>
      </c>
      <c r="X493">
        <v>0</v>
      </c>
      <c r="Y493">
        <v>40000</v>
      </c>
    </row>
    <row r="494" spans="1:25" x14ac:dyDescent="0.3">
      <c r="A494" s="3">
        <v>0</v>
      </c>
      <c r="B494">
        <v>1</v>
      </c>
      <c r="C494">
        <v>0</v>
      </c>
      <c r="D494">
        <v>30</v>
      </c>
      <c r="E494">
        <v>0</v>
      </c>
      <c r="F494">
        <v>1</v>
      </c>
      <c r="G494">
        <v>0</v>
      </c>
      <c r="H494">
        <v>0</v>
      </c>
      <c r="I494">
        <v>0</v>
      </c>
      <c r="J494">
        <v>0</v>
      </c>
      <c r="K494">
        <v>0</v>
      </c>
      <c r="L494">
        <v>1</v>
      </c>
      <c r="M494">
        <v>1</v>
      </c>
      <c r="N494">
        <v>1</v>
      </c>
      <c r="O494">
        <v>0</v>
      </c>
      <c r="P494">
        <v>40000</v>
      </c>
      <c r="Q494">
        <v>2000</v>
      </c>
      <c r="R494">
        <v>1</v>
      </c>
      <c r="S494">
        <v>1</v>
      </c>
      <c r="T494">
        <v>1</v>
      </c>
      <c r="U494">
        <v>0</v>
      </c>
      <c r="V494">
        <v>0</v>
      </c>
      <c r="W494" s="3">
        <v>60000</v>
      </c>
      <c r="X494">
        <v>0</v>
      </c>
      <c r="Y494">
        <v>40000</v>
      </c>
    </row>
    <row r="495" spans="1:25" x14ac:dyDescent="0.3">
      <c r="A495" s="3">
        <v>0</v>
      </c>
      <c r="B495">
        <v>1</v>
      </c>
      <c r="C495">
        <v>0</v>
      </c>
      <c r="D495">
        <v>30</v>
      </c>
      <c r="E495">
        <v>0</v>
      </c>
      <c r="F495">
        <v>0</v>
      </c>
      <c r="G495">
        <v>0</v>
      </c>
      <c r="H495">
        <v>0</v>
      </c>
      <c r="I495">
        <v>0</v>
      </c>
      <c r="J495">
        <v>0</v>
      </c>
      <c r="K495">
        <v>0</v>
      </c>
      <c r="L495">
        <v>1</v>
      </c>
      <c r="M495">
        <v>1</v>
      </c>
      <c r="N495">
        <v>0</v>
      </c>
      <c r="O495">
        <v>0</v>
      </c>
      <c r="P495">
        <v>65000</v>
      </c>
      <c r="Q495">
        <v>4000</v>
      </c>
      <c r="R495">
        <v>1</v>
      </c>
      <c r="S495">
        <v>1</v>
      </c>
      <c r="T495">
        <v>1</v>
      </c>
      <c r="U495">
        <v>0</v>
      </c>
      <c r="V495">
        <v>0</v>
      </c>
      <c r="W495" s="3">
        <v>64516.129029999996</v>
      </c>
      <c r="X495">
        <v>0</v>
      </c>
      <c r="Y495">
        <v>65000</v>
      </c>
    </row>
    <row r="496" spans="1:25" x14ac:dyDescent="0.3">
      <c r="A496" s="3">
        <v>0</v>
      </c>
      <c r="B496">
        <v>1</v>
      </c>
      <c r="C496">
        <v>0</v>
      </c>
      <c r="D496">
        <v>40</v>
      </c>
      <c r="E496">
        <v>0</v>
      </c>
      <c r="F496">
        <v>0</v>
      </c>
      <c r="G496">
        <v>0</v>
      </c>
      <c r="H496">
        <v>0</v>
      </c>
      <c r="I496">
        <v>0</v>
      </c>
      <c r="J496">
        <v>0</v>
      </c>
      <c r="K496">
        <v>1</v>
      </c>
      <c r="L496">
        <v>1</v>
      </c>
      <c r="M496">
        <v>1</v>
      </c>
      <c r="N496">
        <v>0</v>
      </c>
      <c r="O496">
        <v>0</v>
      </c>
      <c r="P496">
        <v>65000</v>
      </c>
      <c r="Q496">
        <v>2000</v>
      </c>
      <c r="R496">
        <v>1</v>
      </c>
      <c r="S496">
        <v>1</v>
      </c>
      <c r="T496">
        <v>1</v>
      </c>
      <c r="U496">
        <v>0</v>
      </c>
      <c r="V496">
        <v>0</v>
      </c>
      <c r="W496" s="3">
        <v>80645.161290000004</v>
      </c>
      <c r="X496">
        <v>0</v>
      </c>
      <c r="Y496">
        <v>65000</v>
      </c>
    </row>
    <row r="497" spans="1:25" x14ac:dyDescent="0.3">
      <c r="A497" s="3">
        <v>100000</v>
      </c>
      <c r="B497">
        <v>1</v>
      </c>
      <c r="C497">
        <v>0</v>
      </c>
      <c r="D497">
        <v>20</v>
      </c>
      <c r="E497">
        <v>0</v>
      </c>
      <c r="F497">
        <v>0</v>
      </c>
      <c r="G497">
        <v>0</v>
      </c>
      <c r="H497">
        <v>0</v>
      </c>
      <c r="I497">
        <v>0</v>
      </c>
      <c r="J497">
        <v>0</v>
      </c>
      <c r="K497">
        <v>0</v>
      </c>
      <c r="L497">
        <v>0</v>
      </c>
      <c r="M497">
        <v>1</v>
      </c>
      <c r="N497">
        <v>0</v>
      </c>
      <c r="O497">
        <v>0</v>
      </c>
      <c r="P497">
        <v>40000</v>
      </c>
      <c r="Q497">
        <v>5000</v>
      </c>
      <c r="R497">
        <v>1</v>
      </c>
      <c r="S497">
        <v>1</v>
      </c>
      <c r="T497">
        <v>1</v>
      </c>
      <c r="U497">
        <v>0</v>
      </c>
      <c r="V497">
        <v>0</v>
      </c>
      <c r="W497" s="3">
        <v>100000</v>
      </c>
      <c r="X497">
        <v>0</v>
      </c>
      <c r="Y497">
        <v>40000</v>
      </c>
    </row>
    <row r="498" spans="1:25" x14ac:dyDescent="0.3">
      <c r="A498" s="3">
        <v>0</v>
      </c>
      <c r="B498">
        <v>1</v>
      </c>
      <c r="C498">
        <v>0</v>
      </c>
      <c r="D498">
        <v>20</v>
      </c>
      <c r="E498">
        <v>0</v>
      </c>
      <c r="F498">
        <v>0</v>
      </c>
      <c r="G498">
        <v>0</v>
      </c>
      <c r="H498">
        <v>0</v>
      </c>
      <c r="I498">
        <v>0</v>
      </c>
      <c r="J498">
        <v>0</v>
      </c>
      <c r="K498">
        <v>0</v>
      </c>
      <c r="L498">
        <v>1</v>
      </c>
      <c r="M498">
        <v>1</v>
      </c>
      <c r="N498">
        <v>0</v>
      </c>
      <c r="O498">
        <v>0</v>
      </c>
      <c r="P498">
        <v>30000</v>
      </c>
      <c r="Q498">
        <v>2000</v>
      </c>
      <c r="R498">
        <v>1</v>
      </c>
      <c r="S498">
        <v>1</v>
      </c>
      <c r="T498">
        <v>1</v>
      </c>
      <c r="U498">
        <v>0</v>
      </c>
      <c r="V498">
        <v>0</v>
      </c>
      <c r="W498" s="3">
        <v>150000</v>
      </c>
      <c r="X498">
        <v>0</v>
      </c>
      <c r="Y498">
        <v>30000</v>
      </c>
    </row>
    <row r="499" spans="1:25" x14ac:dyDescent="0.3">
      <c r="A499" s="3">
        <v>100000</v>
      </c>
      <c r="B499">
        <v>1</v>
      </c>
      <c r="C499">
        <v>0</v>
      </c>
      <c r="D499">
        <v>30</v>
      </c>
      <c r="E499">
        <v>0</v>
      </c>
      <c r="F499">
        <v>0</v>
      </c>
      <c r="G499">
        <v>0</v>
      </c>
      <c r="H499">
        <v>0</v>
      </c>
      <c r="I499">
        <v>0</v>
      </c>
      <c r="J499">
        <v>0</v>
      </c>
      <c r="K499">
        <v>0</v>
      </c>
      <c r="L499">
        <v>1</v>
      </c>
      <c r="M499">
        <v>1</v>
      </c>
      <c r="N499">
        <v>0</v>
      </c>
      <c r="O499">
        <v>1</v>
      </c>
      <c r="P499">
        <v>60000</v>
      </c>
      <c r="Q499">
        <v>5000</v>
      </c>
      <c r="R499">
        <v>1</v>
      </c>
      <c r="S499">
        <v>1</v>
      </c>
      <c r="T499">
        <v>1</v>
      </c>
      <c r="U499">
        <v>0</v>
      </c>
      <c r="V499">
        <v>0</v>
      </c>
      <c r="W499" s="3">
        <v>100000</v>
      </c>
      <c r="X499">
        <v>0</v>
      </c>
      <c r="Y499">
        <v>60000</v>
      </c>
    </row>
    <row r="500" spans="1:25" x14ac:dyDescent="0.3">
      <c r="A500" s="3">
        <v>100000</v>
      </c>
      <c r="B500">
        <v>0</v>
      </c>
      <c r="C500">
        <v>0</v>
      </c>
      <c r="D500">
        <v>32</v>
      </c>
      <c r="E500">
        <v>0</v>
      </c>
      <c r="F500">
        <v>1</v>
      </c>
      <c r="G500">
        <v>0</v>
      </c>
      <c r="H500">
        <v>0</v>
      </c>
      <c r="I500">
        <v>0</v>
      </c>
      <c r="J500">
        <v>1</v>
      </c>
      <c r="K500">
        <v>0</v>
      </c>
      <c r="L500">
        <v>0</v>
      </c>
      <c r="M500">
        <v>1</v>
      </c>
      <c r="N500">
        <v>0</v>
      </c>
      <c r="O500">
        <v>1</v>
      </c>
      <c r="P500" s="3">
        <v>40000</v>
      </c>
      <c r="Q500">
        <v>2000</v>
      </c>
      <c r="R500">
        <v>1</v>
      </c>
      <c r="S500">
        <v>1</v>
      </c>
      <c r="T500">
        <v>1</v>
      </c>
      <c r="U500">
        <v>0</v>
      </c>
      <c r="V500">
        <v>0</v>
      </c>
      <c r="W500" s="3">
        <v>100000</v>
      </c>
      <c r="X500">
        <v>0</v>
      </c>
      <c r="Y500">
        <v>40000</v>
      </c>
    </row>
    <row r="501" spans="1:25" x14ac:dyDescent="0.3">
      <c r="A501" s="3">
        <v>0</v>
      </c>
      <c r="B501">
        <v>1</v>
      </c>
      <c r="C501">
        <v>0</v>
      </c>
      <c r="D501">
        <v>35</v>
      </c>
      <c r="E501">
        <v>0</v>
      </c>
      <c r="F501">
        <v>0</v>
      </c>
      <c r="G501">
        <v>0</v>
      </c>
      <c r="H501">
        <v>0</v>
      </c>
      <c r="I501">
        <v>0</v>
      </c>
      <c r="J501">
        <v>1</v>
      </c>
      <c r="K501">
        <v>0</v>
      </c>
      <c r="L501">
        <v>0</v>
      </c>
      <c r="M501">
        <v>1</v>
      </c>
      <c r="N501">
        <v>0</v>
      </c>
      <c r="O501">
        <v>1</v>
      </c>
      <c r="P501">
        <v>30000</v>
      </c>
      <c r="Q501">
        <v>2000</v>
      </c>
      <c r="R501">
        <v>1</v>
      </c>
      <c r="S501">
        <v>1</v>
      </c>
      <c r="T501">
        <v>1</v>
      </c>
      <c r="U501">
        <v>0</v>
      </c>
      <c r="V501">
        <v>0</v>
      </c>
      <c r="W501" s="3">
        <v>153846.1538</v>
      </c>
      <c r="X501">
        <v>0</v>
      </c>
      <c r="Y501">
        <v>30000</v>
      </c>
    </row>
    <row r="502" spans="1:25" x14ac:dyDescent="0.3">
      <c r="A502" s="3">
        <v>0</v>
      </c>
      <c r="B502">
        <v>1</v>
      </c>
      <c r="C502">
        <v>0</v>
      </c>
      <c r="D502">
        <v>30</v>
      </c>
      <c r="E502">
        <v>0</v>
      </c>
      <c r="F502">
        <v>1</v>
      </c>
      <c r="G502">
        <v>0</v>
      </c>
      <c r="H502">
        <v>0</v>
      </c>
      <c r="I502">
        <v>0</v>
      </c>
      <c r="J502">
        <v>1</v>
      </c>
      <c r="K502">
        <v>0</v>
      </c>
      <c r="L502">
        <v>0</v>
      </c>
      <c r="M502">
        <v>1</v>
      </c>
      <c r="N502">
        <v>0</v>
      </c>
      <c r="O502">
        <v>1</v>
      </c>
      <c r="P502">
        <v>35000</v>
      </c>
      <c r="Q502">
        <v>3000</v>
      </c>
      <c r="R502">
        <v>1</v>
      </c>
      <c r="S502">
        <v>1</v>
      </c>
      <c r="T502">
        <v>1</v>
      </c>
      <c r="U502">
        <v>0</v>
      </c>
      <c r="V502">
        <v>0</v>
      </c>
      <c r="W502" s="3">
        <v>100000</v>
      </c>
      <c r="X502">
        <v>0</v>
      </c>
      <c r="Y502">
        <v>35000</v>
      </c>
    </row>
    <row r="503" spans="1:25" x14ac:dyDescent="0.3">
      <c r="A503" s="3">
        <v>0</v>
      </c>
      <c r="B503">
        <v>1</v>
      </c>
      <c r="C503">
        <v>0</v>
      </c>
      <c r="D503">
        <v>0</v>
      </c>
      <c r="E503">
        <v>0</v>
      </c>
      <c r="F503">
        <v>1</v>
      </c>
      <c r="G503">
        <v>0</v>
      </c>
      <c r="H503">
        <v>0</v>
      </c>
      <c r="I503">
        <v>0</v>
      </c>
      <c r="J503">
        <v>1</v>
      </c>
      <c r="K503">
        <v>0</v>
      </c>
      <c r="L503">
        <v>0</v>
      </c>
      <c r="M503">
        <v>0</v>
      </c>
      <c r="N503">
        <v>0</v>
      </c>
      <c r="O503">
        <v>1</v>
      </c>
      <c r="P503">
        <v>35000</v>
      </c>
      <c r="Q503">
        <v>3000</v>
      </c>
      <c r="R503">
        <v>1</v>
      </c>
      <c r="S503">
        <v>1</v>
      </c>
      <c r="T503">
        <v>1</v>
      </c>
      <c r="U503">
        <v>0</v>
      </c>
      <c r="V503">
        <v>0</v>
      </c>
      <c r="W503" s="3">
        <v>32786.885249999999</v>
      </c>
      <c r="X503">
        <v>0</v>
      </c>
      <c r="Y503">
        <v>35000</v>
      </c>
    </row>
    <row r="504" spans="1:25" x14ac:dyDescent="0.3">
      <c r="A504" s="3">
        <v>0</v>
      </c>
      <c r="B504">
        <v>1</v>
      </c>
      <c r="C504">
        <v>0</v>
      </c>
      <c r="D504">
        <v>20</v>
      </c>
      <c r="E504">
        <v>0</v>
      </c>
      <c r="F504">
        <v>0</v>
      </c>
      <c r="G504">
        <v>0</v>
      </c>
      <c r="H504">
        <v>0</v>
      </c>
      <c r="I504">
        <v>0</v>
      </c>
      <c r="J504">
        <v>0</v>
      </c>
      <c r="K504">
        <v>0</v>
      </c>
      <c r="L504">
        <v>1</v>
      </c>
      <c r="M504">
        <v>1</v>
      </c>
      <c r="N504">
        <v>0</v>
      </c>
      <c r="O504">
        <v>0</v>
      </c>
      <c r="P504">
        <v>60000</v>
      </c>
      <c r="Q504">
        <v>3000</v>
      </c>
      <c r="R504">
        <v>1</v>
      </c>
      <c r="S504">
        <v>1</v>
      </c>
      <c r="T504">
        <v>1</v>
      </c>
      <c r="U504">
        <v>0</v>
      </c>
      <c r="V504">
        <v>0</v>
      </c>
      <c r="W504" s="3">
        <v>150000</v>
      </c>
      <c r="X504">
        <v>0</v>
      </c>
      <c r="Y504">
        <v>60000</v>
      </c>
    </row>
    <row r="505" spans="1:25" x14ac:dyDescent="0.3">
      <c r="A505" s="3">
        <v>0</v>
      </c>
      <c r="B505">
        <v>1</v>
      </c>
      <c r="C505">
        <v>0</v>
      </c>
      <c r="D505">
        <v>30</v>
      </c>
      <c r="E505">
        <v>0</v>
      </c>
      <c r="F505">
        <v>1</v>
      </c>
      <c r="G505">
        <v>0</v>
      </c>
      <c r="H505">
        <v>0</v>
      </c>
      <c r="I505">
        <v>0</v>
      </c>
      <c r="J505">
        <v>1</v>
      </c>
      <c r="K505">
        <v>0</v>
      </c>
      <c r="L505">
        <v>0</v>
      </c>
      <c r="M505">
        <v>1</v>
      </c>
      <c r="N505">
        <v>0</v>
      </c>
      <c r="O505">
        <v>1</v>
      </c>
      <c r="P505">
        <v>30000</v>
      </c>
      <c r="Q505">
        <v>2000</v>
      </c>
      <c r="R505">
        <v>1</v>
      </c>
      <c r="S505">
        <v>1</v>
      </c>
      <c r="T505">
        <v>1</v>
      </c>
      <c r="U505">
        <v>0</v>
      </c>
      <c r="V505">
        <v>0</v>
      </c>
      <c r="W505" s="3">
        <v>90909.090909999999</v>
      </c>
      <c r="X505">
        <v>0</v>
      </c>
      <c r="Y505">
        <v>30000</v>
      </c>
    </row>
    <row r="506" spans="1:25" x14ac:dyDescent="0.3">
      <c r="A506" s="3">
        <v>0</v>
      </c>
      <c r="B506">
        <v>1</v>
      </c>
      <c r="C506">
        <v>0</v>
      </c>
      <c r="D506">
        <v>29</v>
      </c>
      <c r="E506">
        <v>0</v>
      </c>
      <c r="F506">
        <v>0</v>
      </c>
      <c r="G506">
        <v>0</v>
      </c>
      <c r="H506">
        <v>0</v>
      </c>
      <c r="I506">
        <v>0</v>
      </c>
      <c r="J506">
        <v>1</v>
      </c>
      <c r="K506">
        <v>0</v>
      </c>
      <c r="L506">
        <v>0</v>
      </c>
      <c r="M506">
        <v>1</v>
      </c>
      <c r="N506">
        <v>0</v>
      </c>
      <c r="O506">
        <v>1</v>
      </c>
      <c r="P506">
        <v>30000</v>
      </c>
      <c r="Q506">
        <v>2000</v>
      </c>
      <c r="R506">
        <v>1</v>
      </c>
      <c r="S506">
        <v>1</v>
      </c>
      <c r="T506">
        <v>1</v>
      </c>
      <c r="U506">
        <v>0</v>
      </c>
      <c r="V506">
        <v>25000</v>
      </c>
      <c r="W506" s="3">
        <v>76923.076920000007</v>
      </c>
      <c r="X506">
        <v>0</v>
      </c>
      <c r="Y506">
        <v>30000</v>
      </c>
    </row>
    <row r="507" spans="1:25" x14ac:dyDescent="0.3">
      <c r="A507" s="3">
        <v>0</v>
      </c>
      <c r="B507">
        <v>1</v>
      </c>
      <c r="C507">
        <v>0</v>
      </c>
      <c r="D507">
        <v>30</v>
      </c>
      <c r="E507">
        <v>0</v>
      </c>
      <c r="F507">
        <v>0</v>
      </c>
      <c r="G507">
        <v>0</v>
      </c>
      <c r="H507">
        <v>0</v>
      </c>
      <c r="I507">
        <v>0</v>
      </c>
      <c r="J507">
        <v>1</v>
      </c>
      <c r="K507">
        <v>0</v>
      </c>
      <c r="L507">
        <v>0</v>
      </c>
      <c r="M507">
        <v>1</v>
      </c>
      <c r="N507">
        <v>0</v>
      </c>
      <c r="O507">
        <v>1</v>
      </c>
      <c r="P507">
        <v>30000</v>
      </c>
      <c r="Q507">
        <v>2000</v>
      </c>
      <c r="R507">
        <v>1</v>
      </c>
      <c r="S507">
        <v>1</v>
      </c>
      <c r="T507">
        <v>1</v>
      </c>
      <c r="U507">
        <v>0</v>
      </c>
      <c r="V507">
        <v>0</v>
      </c>
      <c r="W507" s="3">
        <v>125000</v>
      </c>
      <c r="X507">
        <v>0</v>
      </c>
      <c r="Y507">
        <v>30000</v>
      </c>
    </row>
    <row r="508" spans="1:25" x14ac:dyDescent="0.3">
      <c r="A508" s="3">
        <v>0</v>
      </c>
      <c r="B508">
        <v>1</v>
      </c>
      <c r="C508">
        <v>0</v>
      </c>
      <c r="D508">
        <v>30</v>
      </c>
      <c r="E508">
        <v>0</v>
      </c>
      <c r="F508">
        <v>0</v>
      </c>
      <c r="G508">
        <v>0</v>
      </c>
      <c r="H508">
        <v>0</v>
      </c>
      <c r="I508">
        <v>0</v>
      </c>
      <c r="J508">
        <v>1</v>
      </c>
      <c r="K508">
        <v>0</v>
      </c>
      <c r="L508">
        <v>0</v>
      </c>
      <c r="M508">
        <v>1</v>
      </c>
      <c r="N508">
        <v>0</v>
      </c>
      <c r="O508">
        <v>1</v>
      </c>
      <c r="P508">
        <v>20000</v>
      </c>
      <c r="Q508">
        <v>2000</v>
      </c>
      <c r="R508">
        <v>1</v>
      </c>
      <c r="S508">
        <v>1</v>
      </c>
      <c r="T508">
        <v>1</v>
      </c>
      <c r="U508">
        <v>0</v>
      </c>
      <c r="V508">
        <v>20000</v>
      </c>
      <c r="W508" s="3">
        <v>91666.666670000006</v>
      </c>
      <c r="X508">
        <v>0</v>
      </c>
      <c r="Y508">
        <v>20000</v>
      </c>
    </row>
    <row r="509" spans="1:25" x14ac:dyDescent="0.3">
      <c r="A509" s="3">
        <v>0</v>
      </c>
      <c r="B509">
        <v>1</v>
      </c>
      <c r="C509">
        <v>0</v>
      </c>
      <c r="D509">
        <v>35</v>
      </c>
      <c r="E509">
        <v>0</v>
      </c>
      <c r="F509">
        <v>0</v>
      </c>
      <c r="G509">
        <v>0</v>
      </c>
      <c r="H509">
        <v>0</v>
      </c>
      <c r="I509">
        <v>0</v>
      </c>
      <c r="J509">
        <v>1</v>
      </c>
      <c r="K509">
        <v>0</v>
      </c>
      <c r="L509">
        <v>0</v>
      </c>
      <c r="M509">
        <v>1</v>
      </c>
      <c r="N509">
        <v>1</v>
      </c>
      <c r="O509">
        <v>1</v>
      </c>
      <c r="P509">
        <v>30000</v>
      </c>
      <c r="Q509">
        <v>2000</v>
      </c>
      <c r="R509">
        <v>1</v>
      </c>
      <c r="S509">
        <v>1</v>
      </c>
      <c r="T509">
        <v>1</v>
      </c>
      <c r="U509">
        <v>0</v>
      </c>
      <c r="V509">
        <v>0</v>
      </c>
      <c r="W509" s="3">
        <v>83333.333329999994</v>
      </c>
      <c r="X509">
        <v>0</v>
      </c>
      <c r="Y509">
        <v>30000</v>
      </c>
    </row>
  </sheetData>
  <autoFilter ref="A1:Y509" xr:uid="{E0424D67-AF02-4EB4-BB1C-0DD416B9425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17AD3-3A7A-4BB3-803F-586E2E1EAA4A}">
  <dimension ref="A1"/>
  <sheetViews>
    <sheetView tabSelected="1" zoomScale="69" zoomScaleNormal="69" workbookViewId="0">
      <selection activeCell="F47" sqref="F47"/>
    </sheetView>
  </sheetViews>
  <sheetFormatPr defaultRowHeight="14.4" x14ac:dyDescent="0.3"/>
  <cols>
    <col min="1" max="16384" width="8.88671875" style="3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Copyright@ IIMB</vt:lpstr>
      <vt:lpstr>Detail1</vt:lpstr>
      <vt:lpstr>crop insured vs people trained</vt:lpstr>
      <vt:lpstr>Hypotheis Test Data</vt:lpstr>
      <vt:lpstr>Problem no. 1</vt:lpstr>
      <vt:lpstr>Problem no. 2</vt:lpstr>
      <vt:lpstr>income across regions</vt:lpstr>
      <vt:lpstr>Regression Data</vt:lpstr>
      <vt:lpstr>Dashboard</vt:lpstr>
    </vt:vector>
  </TitlesOfParts>
  <Company>Accenture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pramod.kumar.bagri</dc:creator>
  <cp:lastModifiedBy>Eshan Yadav</cp:lastModifiedBy>
  <dcterms:created xsi:type="dcterms:W3CDTF">2015-05-05T05:05:07Z</dcterms:created>
  <dcterms:modified xsi:type="dcterms:W3CDTF">2025-09-12T09:46:23Z</dcterms:modified>
</cp:coreProperties>
</file>